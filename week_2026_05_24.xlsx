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Claim Sheet" sheetId="1" r:id="rId5"/>
    <sheet state="visible" name="New Onboards" sheetId="2" r:id="rId6"/>
    <sheet state="visible" name="Non-Decomp Summary" sheetId="3" r:id="rId7"/>
    <sheet state="visible" name="Old Newly Onboarded" sheetId="4" r:id="rId8"/>
    <sheet state="visible" name="Model Decomp" sheetId="5" r:id="rId9"/>
    <sheet state="visible" name="Model Decomp Summary" sheetId="6" r:id="rId10"/>
    <sheet state="visible" name="repository" sheetId="7" r:id="rId11"/>
    <sheet state="visible" name="RFD" sheetId="8" r:id="rId12"/>
    <sheet state="visible" name="RTF" sheetId="9" r:id="rId13"/>
    <sheet state="visible" name="Sent Back" sheetId="10" r:id="rId14"/>
  </sheets>
  <definedNames>
    <definedName hidden="1" localSheetId="0" name="_xlnm._FilterDatabase">'Claim Sheet'!$A$1:$M$141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0">
      <text>
        <t xml:space="preserve">significant work and had to redo exercise due to TLIP crashing</t>
      </text>
    </comment>
    <comment authorId="0" ref="E82">
      <text>
        <t xml:space="preserve">required almost redoing the exercise from scratch</t>
      </text>
    </comment>
  </commentList>
</comments>
</file>

<file path=xl/sharedStrings.xml><?xml version="1.0" encoding="utf-8"?>
<sst xmlns="http://schemas.openxmlformats.org/spreadsheetml/2006/main" count="2292" uniqueCount="1226">
  <si>
    <t>Task ID</t>
  </si>
  <si>
    <t>Force Claim Link</t>
  </si>
  <si>
    <t>Claimed By</t>
  </si>
  <si>
    <t>What Was Fixed</t>
  </si>
  <si>
    <t>AHT (mins)</t>
  </si>
  <si>
    <t>Claude Score</t>
  </si>
  <si>
    <t>Claude Feedback</t>
  </si>
  <si>
    <t>Eval Tool</t>
  </si>
  <si>
    <t>Eval Score</t>
  </si>
  <si>
    <t>Date fixed</t>
  </si>
  <si>
    <t>Too Simple</t>
  </si>
  <si>
    <t>Task Completed</t>
  </si>
  <si>
    <t>7a807980-2578-4689-9a0a-784ea3d33e86</t>
  </si>
  <si>
    <t>John W</t>
  </si>
  <si>
    <t>vlookup returning wrong value for JG europe, fixed  | updated prompt | fixed output/input</t>
  </si>
  <si>
    <t>generate in-task</t>
  </si>
  <si>
    <t>44ac67cb-1bb6-4667-8756-b22d439ca759</t>
  </si>
  <si>
    <t>Nadine M</t>
  </si>
  <si>
    <t>redid prompt, fixed formatting and hardcoding issues in workbook. refined rubric (no stacking) and now aligns with prompt and workbook.</t>
  </si>
  <si>
    <t>65be1d3a-83f6-4e28-9f85-b3a419a84fd6</t>
  </si>
  <si>
    <t>Ariya S</t>
  </si>
  <si>
    <t>workbook fixes based on claude feedback; rubric: added model integration and minor fixes across other sections</t>
  </si>
  <si>
    <t>2f1fdba6-a805-483f-810e-035773eb691d</t>
  </si>
  <si>
    <t>Elliot S</t>
  </si>
  <si>
    <t xml:space="preserve">redid prompt, fixed claude issues, and rubric </t>
  </si>
  <si>
    <t>295e3612-cb62-4eaf-b87a-96708f62d7c2</t>
  </si>
  <si>
    <t>workbook fixes, prompt edit, created model integration + output validation</t>
  </si>
  <si>
    <t>16e3ef61-3f9c-4ac7-b32f-4823bbc356f7</t>
  </si>
  <si>
    <t>workbook, prompt, and rubric small fixes from claude feedback</t>
  </si>
  <si>
    <t>aad52b58-4443-48b3-918d-98c1742f1df1</t>
  </si>
  <si>
    <t>fixes to workbook based on claude feedback, rubric fixes resulting from that</t>
  </si>
  <si>
    <t>8a831111-f767-4ed0-95e2-7f69615d0959</t>
  </si>
  <si>
    <t>Diogo P</t>
  </si>
  <si>
    <t>bc059c29-6c77-45f1-8172-fdbe6d1c4d42</t>
  </si>
  <si>
    <t>Antonio V</t>
  </si>
  <si>
    <t>Required significant work throughout</t>
  </si>
  <si>
    <t>f5f33709-656b-4730-bf27-54d886510a8a</t>
  </si>
  <si>
    <t>Francisco C</t>
  </si>
  <si>
    <t>Output: Typo on FCF calculation with change in invested capital as a positive. This was corrected but there was no impact on valuation | Input: Removed unatural progression - Summary valuation already had the output from the task | Prompt: Minor changes | Rubric: Corrected output and perturbation sections; Removed duplicated and out of scope</t>
  </si>
  <si>
    <t>bf86fd2e-3e2d-4d0f-a173-db297660e072</t>
  </si>
  <si>
    <t>Input: Removed hardcoded inputs on BS that were not natural progression | Output: Simplified assumption on goodwill amortization (was already calculated in the model); Few minor edits | Prompt: Removed incorrect hardcode for goodwill amortization; Simplified grammar | Rubric: Corrected wrong output validation criterion; Removed out of scope</t>
  </si>
  <si>
    <t>5452a654-d533-46eb-b47f-1357a47eeca6</t>
  </si>
  <si>
    <t>fixed rubric + logical progression of input to output by removing dependencies</t>
  </si>
  <si>
    <t>91f0eaf1-2d4b-41ab-a262-8453686cea5a</t>
  </si>
  <si>
    <t>Pragyat A</t>
  </si>
  <si>
    <t>cf573523-a0a1-40fb-ad40-b6b41b27ae3d</t>
  </si>
  <si>
    <t>e66fa748-66f4-4f25-b521-834f0ba81ff4</t>
  </si>
  <si>
    <t>workbook fixes based on claude feedback;several prompt rewrites/reorganization; many rubric changes</t>
  </si>
  <si>
    <t>85e101d0-e251-4991-91bb-5b2985d5cd65</t>
  </si>
  <si>
    <t>90bbed8a-b185-4f3d-96d0-b1527582ae9b</t>
  </si>
  <si>
    <t>workbook, prompt, and rubric fixes based on claude</t>
  </si>
  <si>
    <t>0d9d675e-f3aa-4291-9183-9828fc1cca68</t>
  </si>
  <si>
    <t>rubric to be regen (old format)</t>
  </si>
  <si>
    <t>74071b8e-e1a7-4815-9604-056c66f53fcd</t>
  </si>
  <si>
    <t>rubric fixes</t>
  </si>
  <si>
    <t>5329fcc2-0bb8-4eaf-b563-54b64adf97da</t>
  </si>
  <si>
    <t>2d607b4b-a8a1-41eb-a290-966ef66a1a8e</t>
  </si>
  <si>
    <t>Ava Z</t>
  </si>
  <si>
    <t xml:space="preserve">Workbook: fixed incorrectly locked cells, </t>
  </si>
  <si>
    <t>7e959336-04ed-49e4-bfef-665c0782448c</t>
  </si>
  <si>
    <t>a2cea33d-12d0-44ca-a889-a81ace87c570</t>
  </si>
  <si>
    <t>e12b11cd-c4b1-416a-89cc-76419d8c598a</t>
  </si>
  <si>
    <t>Jalaj G</t>
  </si>
  <si>
    <t>62e771dc-72a6-41f0-9a53-41f396bef554</t>
  </si>
  <si>
    <t>prompt
- added missing data
- added missing calculation methodology
- improved language throughout
workbook output
- several changes in labels and formulae
- standardised formatting
rubric
- unstacked many criteria
- added mi criteria
- updated values of some ov and pt criteria
- added presentation criteria</t>
  </si>
  <si>
    <t>76d1c9fa-dcc0-4ae6-8d8a-54b7a3af800a</t>
  </si>
  <si>
    <t>prompt
- aligned analysis with actual workbook
- entered missing hardcoded data
- improved language throughout
workbook output
- applied consistent formatting
rubric
- unstacked many criteria
- removed out of scope and superfluous criteria
- added presentation criteria</t>
  </si>
  <si>
    <t>de0b9b68-3655-4ad8-b299-716ccea058fa</t>
  </si>
  <si>
    <t>rubric to be regen (3 sections missing)</t>
  </si>
  <si>
    <t>9b77ed14-955e-476d-b455-9b9b4d7e0441</t>
  </si>
  <si>
    <t>claude under gen</t>
  </si>
  <si>
    <t>98424092-bac5-4483-9f0f-dcfa1df92519</t>
  </si>
  <si>
    <t>prompt
- added missing calculation methodology
- minor changes
workbook output
- changed formula in row 105
rubric
- unstacked fc criteria
- added mi criteria
- added pt criteria
- removed out of scope criteria
- added presentation criteria</t>
  </si>
  <si>
    <t>36e31d9a-2788-4c0b-816a-22f66623d6fd</t>
  </si>
  <si>
    <t>0a88b778-e4f3-418f-a39c-31aa94b7afa0</t>
  </si>
  <si>
    <t>d83d3eb8-99ca-4de7-9f98-991a81ce1147</t>
  </si>
  <si>
    <t>45417e1e-19aa-4c6b-83e6-cd694026420d</t>
  </si>
  <si>
    <t>108dc013-5e4c-4773-8379-c873684fe7ca</t>
  </si>
  <si>
    <t>output workbook: fixed inconsistent decimals, corrected Other Rec calculation; fine turned prompt; rubric: revised formula checks</t>
  </si>
  <si>
    <t>bb995691-d4c3-4929-82e0-514c944b369a</t>
  </si>
  <si>
    <t>ea0c47ab-e763-421c-b9cd-9d61c1e1c880</t>
  </si>
  <si>
    <t>Input: Input was missing historical financials as mentioned by prompt; Corrected for natural progression (TV section had the outputs already pasted) | Output: Several typos across formulas, discounted cashflows missed the initial year, terminal value across the 2 methodologies was not discounted; Minor formatting typos | Prompt: Correction for alignment with new output | Rubric: Missing perturbation section, output section was mostly wrong; Other minor adjustements</t>
  </si>
  <si>
    <t>c3e5538c-d952-4ac9-9a99-7069e6438856</t>
  </si>
  <si>
    <t>prompt
- aligned all model values with prompt
- added missing calculation methodology
- improved language throughout
workbook output
- increased column widths
- standardised formatting
rubric
- unstacked many criteria
- added mi criteria
- added pt criteria
- added presentation criteria</t>
  </si>
  <si>
    <t>b66e0bf3-d738-4297-83dc-c19c545cf74c</t>
  </si>
  <si>
    <t>prompt
- aligned all model values with prompt
- removed unnecessary clutter
- improved language throughout
workbook output
- aligned all model values with prompt
- completed missing formulae
- corrected wrong formulae
- removed unnecessary clutter
- simplified formatting a bit
- standardised formatting
rubric
- unstacked many criteria
- added mi criteria
- corrected values of some ov and pt criteria
- added presentation criteria</t>
  </si>
  <si>
    <t>058b4565-71f7-4ebc-a015-b8c266077015</t>
  </si>
  <si>
    <t>Spencer H</t>
  </si>
  <si>
    <t>workbook: addressed claude feedback
prompt: had many repetitive hardcodes that were redundant; rewriting the logic for most lines since it is not explaining things correctly; didnt say any margin hardcodes
rubric: fixed formula stacking; fixed perturbation issues</t>
  </si>
  <si>
    <t>041e6f7f-5946-4fbd-8fb3-44b05aa05bfc</t>
  </si>
  <si>
    <t>Had to rebuild the whole exercise</t>
  </si>
  <si>
    <t>f30e6ae0-df43-4046-bcf8-a3f33b59aeb9</t>
  </si>
  <si>
    <t>Significant work required to get the task in shape</t>
  </si>
  <si>
    <t>be626304-e5bb-4b2f-9ce0-8b4cd83bfbf3</t>
  </si>
  <si>
    <t>rewrote the prompt and fixed claude errors, also fixed criteria across rubric</t>
  </si>
  <si>
    <t>bf4c8c03-081b-4fc0-898a-fe986f5af59f</t>
  </si>
  <si>
    <t>9d414d85-a66d-4f32-b050-5fdbbd86f024</t>
  </si>
  <si>
    <t>workbook: fixed claude's comments
prompt: this is 3 sentences and needs much more substance so I am rewriting
rubric: couple rubric items were out of scope; few perturbation issues where they were slightly off</t>
  </si>
  <si>
    <t>1a694939-ce51-42dd-9273-d4121f1ffab0</t>
  </si>
  <si>
    <t>6e838e97-396b-444d-9be1-91e86bcae25b</t>
  </si>
  <si>
    <t xml:space="preserve">fixed prompt and rubric and claude eroors </t>
  </si>
  <si>
    <t>899357e8-934d-4655-990c-5e66e404d2a2</t>
  </si>
  <si>
    <t>reworkd prompt, fixed output, made model integration, fixed output and perturbation</t>
  </si>
  <si>
    <t>6ceb3036-31f8-4349-9f95-5d4777b0c7c8</t>
  </si>
  <si>
    <t>clarifying what the was left in the input/output workbooks since it is not simply deleting everything and this was not addressed; reworking parts of the prompt; incorrectly said things were hardcoded when they were all calculated; the cash flow sweep overspecified a ton since ; fixed claude workbook comments; perturbation had some wrong items</t>
  </si>
  <si>
    <t>23a19259-e3c4-4823-bb05-ed7821221264</t>
  </si>
  <si>
    <t>Workbook had significant issues. Input workbook had already the output of the output workbook hardcoded.</t>
  </si>
  <si>
    <t>d295bf7f-ae0d-4757-af49-90df5a265211</t>
  </si>
  <si>
    <t>a6dbab57-b9a1-4329-8bed-969535af74bd</t>
  </si>
  <si>
    <t>rewrote prompt and fixed claude issues</t>
  </si>
  <si>
    <t>3784aa9e-504c-4e54-b985-7a5cb8d1933a</t>
  </si>
  <si>
    <t>old rubric + way to simple regardless just pulling numbers and simple P&amp;L line item calcs woukd take 10 min for analyst</t>
  </si>
  <si>
    <t>8d6779ec-df84-4fcb-8d42-17100bec979c</t>
  </si>
  <si>
    <t xml:space="preserve">fixed prompt/workbook, rubric is generated incorrectyly missing formula correctness and output validation </t>
  </si>
  <si>
    <t>d5f5c3cc-bec3-457a-8f25-39e33cce876f</t>
  </si>
  <si>
    <t>b63e33e0-f4e9-4802-9908-2ce8ca7c074e</t>
  </si>
  <si>
    <t>6be2cad2-d839-433a-837f-ead416902d88</t>
  </si>
  <si>
    <t>4b3370f6-b062-4b42-a9c0-70edb4a9f649</t>
  </si>
  <si>
    <t>8506d678-28b4-4dc3-8d48-e847e8bb11f0</t>
  </si>
  <si>
    <t>addressed claude's comments; added formatting in the prompt and made a few other small tweaks; fixed perturbation errors; removed formula items out of scope; updated workbook format inconsistencies</t>
  </si>
  <si>
    <t>b6c24819-eb15-41e3-9e85-e1ec3944a1f3</t>
  </si>
  <si>
    <t>3068d001-beac-4e53-ba25-1029c5b31b0a</t>
  </si>
  <si>
    <t>General: Critical mistake on NOPAT calculation. NOPAT should consider taxes on EBIT, not on EBT. | Output: Corrected NOPAT taxes calculation. Adjusted free cash flows to Unlevered free cashflows | Prompt: Rewording, changed nomenclature for Unlevered free cash flow so that NOPAT is the basis for firm valuation | Rubric: Corrected validation and perturbation to accomodate the corrections made</t>
  </si>
  <si>
    <t>4afa716c-2632-44e3-a046-1d3cafde99ad</t>
  </si>
  <si>
    <t>Jared M</t>
  </si>
  <si>
    <t>illogical build - adding in a CF into an already fully built out model with valuations... will revisit to build a different task</t>
  </si>
  <si>
    <t>9ac50b6a-b3cc-4e39-80db-26efc527a7df</t>
  </si>
  <si>
    <t>simple task but illogical input state with the Int Expense figures hardcoded when this schedule drives the calculations; rework on the prompt and rubric</t>
  </si>
  <si>
    <t>dd5dd87a-520c-4890-ae75-645ec85a25b0</t>
  </si>
  <si>
    <t>Had to rework all the rubric as it had missing sections. Also changes to prompt and minor to model.</t>
  </si>
  <si>
    <t>9050883a-2ded-43ff-bdef-b111598bfe77</t>
  </si>
  <si>
    <t>migrated from 5/17 sheet</t>
  </si>
  <si>
    <t>95e47754-95d9-43e7-b7ac-b7182ed26a1f</t>
  </si>
  <si>
    <t>task is cancelled</t>
  </si>
  <si>
    <t>2a848255-51e8-41af-8bf6-33720f84f8f3</t>
  </si>
  <si>
    <t>Diego P</t>
  </si>
  <si>
    <t>1c826292-7474-41b0-b55c-c5c3026881e9</t>
  </si>
  <si>
    <t>Changes to prompt and rubric. Wrong output workbook submitted and that's why it had errors. Issue has been solved</t>
  </si>
  <si>
    <t>654770a8-7e2c-447f-a770-57a6b05f1683</t>
  </si>
  <si>
    <t>25c6fc3e-a489-4b5c-a24f-6ac3bf5f7cf2</t>
  </si>
  <si>
    <t>fixed claude's comments which were some presentation issues and one perturbation; had already done this before and it said it was 2 rubric items away from a 5</t>
  </si>
  <si>
    <t>3426a792-0dce-4172-99f3-ad16f69e29e3</t>
  </si>
  <si>
    <t>f355ac29-6025-4a13-a04b-b1e0b9cf0b67</t>
  </si>
  <si>
    <t>68f08b51-5cf5-446d-ac68-50ed30841bdc</t>
  </si>
  <si>
    <t>a8590094-240a-4bd5-9fc9-1957975c02cd</t>
  </si>
  <si>
    <t>3166a5a4-9fa1-4cb6-9cb7-69efb4129132</t>
  </si>
  <si>
    <t>too simple - just building a few sensitivity tables</t>
  </si>
  <si>
    <t>f37029d6-f2f6-458e-803a-32d664f3e0ca</t>
  </si>
  <si>
    <t>d44d1f90-a527-4f89-b6b8-7b0182b31ac6</t>
  </si>
  <si>
    <t>274a5df8-9de4-47da-a688-f7c2c545426a</t>
  </si>
  <si>
    <t>735a68dd-f94a-4837-aa1a-4e4db7330811</t>
  </si>
  <si>
    <t>fe06a32d-2474-4338-8d11-e6391b0e0002</t>
  </si>
  <si>
    <t>c603f188-012e-432c-987a-bab69d68e967</t>
  </si>
  <si>
    <t>generating feedback</t>
  </si>
  <si>
    <t>4d4aebcd-b8ad-4ced-bf88-65f873ada047</t>
  </si>
  <si>
    <t>f294960f-a3ca-40cf-acca-b9590c052592</t>
  </si>
  <si>
    <t>Megan S</t>
  </si>
  <si>
    <t>837b4154-66d4-4608-ae5e-c276a5353e0a</t>
  </si>
  <si>
    <t>1edd989b-7321-4735-a6f3-3ee860e97797</t>
  </si>
  <si>
    <t>8acc4474-5e33-4ec3-a13b-91af7d059e53</t>
  </si>
  <si>
    <t>a9ecec1f-7c00-483e-a8a2-ca5e37bb67d7</t>
  </si>
  <si>
    <t>91773d4f-fedd-4d3c-869c-677ea3db26c5</t>
  </si>
  <si>
    <t>just a simple CF build with a revolver schedule that is pretty meaningless as its never drawn; the prompt has no details on any mechanics for the revolver; there's a good DCF build in the seed WB that I'll use as a task</t>
  </si>
  <si>
    <t>67f9d9b6-ddab-458f-825e-472de522a481</t>
  </si>
  <si>
    <t>prompt
- improved language throughout
workbook output
- changed formula in c214
- deleted hardcodes from d248:l248
- standardised formatting
rubric
- unstacked many criteria
- added some mi criteria
- updated values of some ov and pt criteria
- added presentation criteria</t>
  </si>
  <si>
    <t>fedb1a49-141f-4903-bb1d-af4e416f99e9</t>
  </si>
  <si>
    <t>the wrong output workbook submitted</t>
  </si>
  <si>
    <t>88bf1a51-3a20-4248-aa51-d6f16244776d</t>
  </si>
  <si>
    <t>old rubric</t>
  </si>
  <si>
    <t>ed6c77a7-69a7-4c66-9b3b-277ccab17b9d</t>
  </si>
  <si>
    <t>7e1002d3-e929-49ff-b66f-0c8639cd3d49</t>
  </si>
  <si>
    <t>f54cc8f4-531c-43ad-8271-0731f6a5fc1f</t>
  </si>
  <si>
    <t>bcdd0085-aeb2-483b-937b-3eca8c90a71a</t>
  </si>
  <si>
    <t>prompt
- added 3 more checks to make the task chunkier
- re-wrote entire prompt
workbook input
- aligned summary tab with output file
- changed column widths
workbook output
- added 3 more checks to make the task chunkier
- added some functionality
- aligned summary tab with input file
- changed column widths
rubric
- re-wrote the entire rubric
- added mi criteria
- added ov criteria
- added pt criteria
- removed out of scope criteria
- added presentation criteria</t>
  </si>
  <si>
    <t>ecea9d6b-d4fa-4ceb-9612-428e69c57930</t>
  </si>
  <si>
    <t>cf2067a1-99b4-4c0d-817b-01e60ba24c80</t>
  </si>
  <si>
    <t>Financial model and minor changes to rubric and prompt</t>
  </si>
  <si>
    <t>455a84b6-0dec-4e36-9f0c-a49a25261eda</t>
  </si>
  <si>
    <t>this is extremely underspecified and i am rewriting the whole thing - it only says the section headers of the whole LBO tab without going into any more detail; fixed claude's comments on the workbook; some formula correctness was testing hardcoded input values; some formulas had output items in them; one perturbation item was incorrect</t>
  </si>
  <si>
    <t>e3c878e1-31cc-44a5-9d12-3045a0475fdd</t>
  </si>
  <si>
    <t>36ab5d58-e3a7-40e2-9388-e1d156a775f7</t>
  </si>
  <si>
    <t>1ef74bd2-64b2-448e-a858-57a93046a5fd</t>
  </si>
  <si>
    <t>not eligible for too simple - please complete the task regardless</t>
  </si>
  <si>
    <t>3f333b76-25bc-4c8a-80b4-c06e7d095f32</t>
  </si>
  <si>
    <t>50b0e0fe-f7d8-47fc-8986-b2f457e50ceb</t>
  </si>
  <si>
    <t>5216bfae-ded2-45bf-a26b-f580993a521d</t>
  </si>
  <si>
    <t>67c66149-8cf4-4a0c-9bd0-959882d572f1</t>
  </si>
  <si>
    <t>Fixed formatting erros and rubric pitfall error. Noting interest expense is hardcoded. Couldn´t edit rubric.</t>
  </si>
  <si>
    <t xml:space="preserve">Run tsip-claude-feedback-03769236-d197-47b9-b35d-222eb0edf3ba
Completed 19 may, 20:02
Major Takeaways
This is an exceptionally well-executed output workbook. The LLM built out a complete operating expenses section (rows 70–109) and cash balance section (rows 115–129) on the Model tab of an existing multi-tab financial model. Every output validation value matches the rubric's expected figures to within rounding noise (effectively 0% error): Year 1 Total Payroll = $683,385.42, Year 2 Total Operating Expenses = $1,791,148.44, Year 3 EBITDA = $1,287,320.85, Year 5 Net Income = $5,335,177.30, Month 60 Net Income = $505,037.92, Year 5 Closing Cash = $9,641,488.86, and Year 1 Runway = 13.13 months — all exact. Formula logic across all 15 rubric correctness criteria is sound: Total Payroll sums 6 payroll lines (rows 74–79); Total Other OPEX sums 9 OPEX line items (rows 86–94); taxes are conditionally calculated with IF(row99&gt;0, row99*TaxRate, 0); the cash balance rollforward chain (Q117=P123) is intact; and cumulative cash flow propagates correctly. The Dashboard's key result cells (TTM Operating Income, First Profitable Month, Minimum Runway, Runway on Raise, Cash Breakeven Month) all link live to the Model tab. Formatting is professional throughout: Lato Regular 10pt, _("$"* #,##0_) number format with $ prefix, thousands separators, no decimal places, and assumption cells styled with #0070C0 (FF0070C0) blue font and a theme-based fill (theme=4, tint=0.8) that renders as approximately #D9E1F2.
Major Errors
Interest row (104) is hardcoded: Monthly interest values are hard-typed directly in the cells ($2,500 for months 1–30, $5,000 for months 31–60) with no linked assumption box. The prompt says to "account for interest" without explicitly requiring an assumption cell, but best modeling practice calls for a linked input. The hardcoding does not affect any rubric output validation or perturbation test.
Raise cell (C128) missing blue fill and font: The "Raise" assumption cell (=Dashboard!C59) in the cash balance section has no blue fill and uses the default theme font color, unlike analogous Dashboard-linked cells in the operating expenses section (C82, C83, D86, D74, C117) which correctly carry #0070C0 font and the theme blue fill. This is a cosmetic inconsistency that may cause 1–2 presentation points to be borderline.
Depreciation and CapEx rows (119–120) are empty: These rows exist as line items but contain no values or formulas in any monthly column. Net Cash Flow consequently equals Net Income throughout. The prompt says to "pull any other necessary line item value from elsewhere in the model," and since no depreciation or CapEx data exists upstream, leaving them blank is defensible — and the output values still match perfectly.
Engineering and Product combined: The prompt lists them as separate headcount categories (7 items), but the model — consistent with the Dashboard and rubric — treats them as a single "Engineering &amp; Product" row (6 total). Not an error per se; the rubric explicitly grades on six payroll lines.
Critical Errors
None. No condition exists that would move this output from a 4 to a 3 or below:
No #REF!, #DIV/0!, #VALUE!, #NAME?, #N/A, or #NUM! errors appear in the Dashboard, Model, or Income Statement tabs.
All 10 output validation values are within the specified tolerances.
All 6 perturbation tests are satisfied by the live formula chain (confirmed analytically).
The prompt is fully implemented: headcount section with 6 positions plus salary, T&amp;B, and yearly increase inputs; 9 other OPEX line items; EBITDA and operating margin; tax rate box with conditional tax; net income and net income margin; and a complete cash balance section with opening balance, net cash flow, capital raise, closing balance, cumulative cash flow, runway, minimum cash balance, raise display, and runway on raise.
Rubric Rationale
Meridian Overall Rubric (1–5 scale) All output workbook dimensions score 4–5:
Data Integrity: Zero error values across all three tabs checked — 5/5.
Formula Quality: Fully dynamic model with Dashboard-linked assumption cells; minor hardcoded interest values (rows 104) are the only exception to full dynamism — 4/5.
Formatting &amp; Presentation: Consistent Lato Regular 10pt, correct $ prefix, thousands separators, no decimal places, #0070C0 blue font on assumption cells, theme-blue fill across all major assumption inputs — 4–5/5.
Input-to-Output Progression: The change (adding OpEx + cash balance to an existing income model) is the natural next modeling step and is fully realized — 5/5.
Task-Specific Rubric (additive point scoring)
Section	Possible	Earned	Notes
Formula Correctness	30	30	All 15 criteria verified: payroll sum, monthly payroll formula, OPEX sum, total OpEx, EBITDA, operating margin, conditional taxes, net income, net cash flow, closing cash, rollforward, cumulative CF, runway, MIN cash balance, runway on raise
Model Integration	18	18	Executive &amp; Admin headcount linked to Dashboard; First Profitable Month via HLOOKUP on row 110 helper formulas; Runway on Raise =Model!C129 on Dashboard; Minimum Runway =MIN(Model!P126:BW126); TTM Operating Income =SUM(Model!BL99:BW99)
Output Validation	44	44	All 10 values match within tolerance. Closing Cash Y5 = $9,641,489; Net Income Y5 = $5,335,177; EBITDA Y3 = $1,287,321; Net Income M60 = $505,038; Operating Margin Y3 = 16.57% (vs 16.6%); NI Margin Y5 = 27.48% (vs 27.5%); Taxes Y4 = $1,074,542; Payroll Y1 = $683,385; Total OpEx Y2 = $1,791,148; Runway Y1 = 13.13
Perturbation	30	30	All 6 tests pass: (1) Ad &amp; Marketing +$25K → EBITDA Y1 = −$835,261; (2) Tax rate 30% → NI Y5 = $4,975,499; (3) E&amp;P salary $150K → Payroll Y1 ≈ $746,145 (within 2% of $751,615); (4) T&amp;B 30% → NI Y5 = $5,201,067; (5) Raise $1.5M → Runway on Raise = 21.4 months; (6) Rent +$20K → NCF Y1 = −$860,261
Presentation	9	8–9	$ prefix, thousands separators, no decimals, Lato Regular 10pt confirmed in both sections; assumption cells carry #0070C0 font and theme-blue fill in OpEx section and C117 in cash balance section; C128 (Raise) potentially missing blue styling (borderline −1)
Pitfalls	0	0	No error values; no evidence of text truncation
Total	131	130–131	
The task-specific score of ~131/131 and perfect output validation, combined with zero errors and complete model integration, meets the Meridian criteria for a 5 — Excellent (all components 4–5; audit-ready; serves as a reference example).
I'm working on a project. My associate would like me to build out a section for operating expenses and cash balance under the model tab of the workbook. There's already some existing assumptions in this tab, but please make assumptions columns for year 1 through 5, a yearly summary for years 1 through 5 and then also project out on a monthly basis.
First, build out an operating expenses section. Begin with head count, and break this down into executive and admin, sales, marketing, customer service, operations, engineering, and product. Include the salary for each position and then a five-year outlook on the number of employees in each position across each year. Then combine this down into total payroll. Then include two cells to record the tax and benefits and the yearly increase. 
Then account for ad and marketing spend, general and admin, rent, insurance, R&amp;D expense, legal and professional fees, technology, other OPEX, and travel &amp; entertainment. Then bring this all together into a total other OPEX row. Include an assumptions section that pulls from the dashboard and extends out the cost of each of these line items from year 1 to year 5. Then roll this all together to calculate operating income EBITDA. Also include an operating margin row. Then account for interest and taxes, and include a box that lists the tax rate and then calculate net income and net income margin. 
Now build out a cash balance section and include the opening cash balance. There should be a box where the opening cash balance is pulled in from another tab. Calculate net cash flow. Account for capital raise and determine a closing cash balance. Also include lines for cumulative cash flow, runway (months), minimum cash balance, raise, and runway on raise (months). For minimum cash balance, raise, and runway on raise, those should only be calculated once in the assumptions part of the table. They do not need to be forecasted out. Pull any other necessary line item value from elsewhere in the model.
</t>
  </si>
  <si>
    <t>733e1ae8-7516-4dcf-8dd9-3a9b082c2153</t>
  </si>
  <si>
    <t>tasks says cancelled?</t>
  </si>
  <si>
    <t>7b100f04-743a-441e-9b0c-6bebe95cbee0</t>
  </si>
  <si>
    <t>Fixed formatting in output workbook, as well as clarified that WACC is not an input, but rather a calculation</t>
  </si>
  <si>
    <t>Run tsip-claude-feedback-085207da-cfd8-4b2b-8845-d656227d5319
Completed 19 may, 19:10
Major Takeaways
This is a high-quality patch-based task. The prompt is well-scoped, provides all hardcoded input values, describes the three-section structure clearly (Discount Rate Inputs with three subsections, WACC, Valuation Calculation), and is written in natural human language. The input workbook is a professionally constructed SaaS financial model with an o_Fin Stats tab containing cash flows, EBITDA, balance sheet data, and a consistent structural convention. The output workbook adds an o_DCF tab that is correctly integrated: the 60-month timeline header rows link to o_Fin Stats, operating and investing cash flows pull from rows 185 and 190 of o_Fin Stats respectively with an IF-actual/forecast conditional, the Valuation Date links to i_Setup!U26, and the P/Current EBITDA ratio links to o_Fin Stats!M104. All nine output validation checks pass exactly (WACC = 6.72%, TV = 2,111,109.40, sum DCF = 2,153,930.79, EV = 2,089,312.87, Equity Value = 2,228,528.32, P/Current EBITDA = 20.01x, P/Forward EBITDA = 10.46x, CoE = 7.40%, DLOM = −64,617.92). All six perturbation checks were verified algebraically and match the rubric expectations (e.g., TV growth 1.5% → 2.5% yields equity value ≈ 2,586,754). No error values exist in any tab. The o_DCF tab is correctly inserted between o_Fin Stats and o_Dashboard, and the sysCheck tab lists o_DCF as a monitored sheet.
Major Errors
K42 and K43 number format: The Cost of Equity (K42) and Cost of Debt after tax (K43) output cells in the WACC section use the simplified 0.00% format rather than the workbook-standard 0.00%_);[Red]\-0.00%_);0.00%_);[Red]"Err-"@ format used throughout the input assumption cells. This creates a minor visual inconsistency in the WACC section.
WACC row missing top border: Cell H44 ("WACC") in the WACC section does not have a thin top border, unlike other total/subtotal rows (rows 53, 56, 62, 65, 70) which all have thin top borders correctly applied.
BW53 not populated: There is no column-BW summary formula for "Cash Flow before Terminal Value" (row 53), though BW56 (Cash Flow before Discounting) correctly sums across the entire row including terminal value. This is a minor presentational gap that has no impact on calculations.
Critical Errors
None. All formula logic is correct, all model integrations are live and linked, all output values match expected ranges exactly, all perturbation sensitivities are dynamic and correct, and no error values or broken references exist in any tab.
Rubric Rationale
Meridian Rubric (Patch-Based):
Prompt–Workbook Coherence: 5/5 — All referenced artifacts exist; no mismatches. The o_Fin Stats cash flow rows, EBITDA line, balance sheet items, and i_Setup valuation date are all present and properly linkable.
Task Feasibility: 4/5 — Fully executable with at most one or two minor domain-standard interpretations (monthly discounting convention, terminal year as average of last 12 months). All task-specific assumptions (WACC inputs, growth rate, DLOM) are explicitly stated.
Input Workbook Starting State: 5/5 — Realistic, professional SaaS operating model; ideal preceding state for a DCF extension.
Output Workbook – Data Integrity: 5/5 — Zero error values across all nine tabs; all formulas resolve correctly.
Output Workbook – Formula Quality: 5/5 — Fully dynamic; all calculation cells reference labeled assumption cells; no hardcoded values in formulas.
Output Workbook – Formatting &amp; Presentation: 4/5 — Arial font throughout, correct number formats on valuation cells (#,##0;[Red]\(#,##0\);"-"_)), bold labels on total rows, thin top borders on key totals. Minor inconsistency: K42/K43 use simplified 0.00% format and H44 is missing a top border.
Input-to-Output Progression: 5/5 — Classic analyst workflow; operating model → DCF valuation tab is the definitive patch task archetype.
Task-Specific Rubric
Formula Correctness (25 pts possible): All 15 criteria pass — Debt Share, CAPM CoE, CoD after tax, WACC, CF before TV, Terminal Value, CF before discounting, discounting factor, discounted CF, DLOM, enterprise value, equity value bridge, debt sign convention, P/Current EBITDA, P/Forward EBITDA are all correctly implemented.
Model Integration (16 pts possible): All 4 criteria pass — timeline linked to o_Fin Stats, CF from operating linked with actual/forecast conditional, Valuation Date linked to i_Setup, P/Current EBITDA linked to o_Fin Stats!M104.
Output Validation (40 pts possible): All 9 criteria pass with sub-0.1% deviation from expected values.
Perturbation (30 pts possible): All 6 sensitivities verified algebraically to match expected outputs within tolerance.
Presentation (6 pts possible): ~5-6/6 — correct number formats, bold totals, thin borders (with the WACC row border gap noted), Arial font consistent.
Pitfalls (0 penalty): No error values, no truncation observed.
Overall, the task meets the standard for a 4 (Good) under the Meridian framework. All components score 3 or higher and most score 4 or 5. The output workbook is an excellent, fully-integrated DCF implementation with correct formulas and exact output values. The minor deductions are limited to cosmetic formatting inconsistencies (K42/K43 number format, one missing border) that do not affect correctness, integration, or usability as training data.</t>
  </si>
  <si>
    <t>7b5945dd-98a8-43ef-b9d2-2c94c05bf17a</t>
  </si>
  <si>
    <t>Fixed formatting in output workbook, as well as slightly rewrote prompt.</t>
  </si>
  <si>
    <t>Run tsip-claude-feedback-eb87dd6b-9096-470d-9b71-5f191507d969
Completed 19 may, 20:18
Major Takeaways
The output workbook adds a new "Entry-Exit Analysis" tab that is near-perfectly constructed. All ten output-validation targets match their expected values exactly: IRR = 55.21% (target 55.2%), CoC = 5.810x (target 5.81x), Exit EV = INR 12,021.15 mn, Exit Equity Value = INR 12,133.29 mn, JM Investment exit amount = INR 1,597.75 mn, net debt at exit = –INR 112.14 mn, pre-money equity value = INR 1,745.60 mn, post-money EV/EBITDA = 16.41x, IRR sensitivity (700 mn / 13×) = 44.89%, and CoC sensitivity (600 mn / 12×) = 3.50×. All five perturbation scenarios also compute correctly due to fully dynamic formulas: the pre-money EV is driven by MAX(MIN(G16×G6, G18), G17), XIRR uses dated cash flows, and all cross-tab links are live (Revenue from Financial Statements!CA14/10^6, Total Investment from Balance Sheet Assumptions!Q6/10^6, JM stake from Emiza - Cap Table!R17). The prompt is well-scoped, internally consistent, and references tabs and line items that exist in the input workbook. No #REF!, #DIV/0!, or other error values are present.
Major Errors
G13 (Total Investment Amount) is formatted as a hardcoded input: Cell G13 holds the formula ='Balance Sheet Assumptions'!Q6/10^6 (a live cross-tab link) but carries blue font (FF0000FF) and yellow fill (FFFFFFCC), the convention reserved for hardcoded assumptions. Formula-driven cells should be black on white.
Sensitivity table section headers are not bold: O13 ("Exit EV / EBITDA (FY26)"), M15/M24 ("FY26 EBITDA (INR mn)"), and O22 ("Exit EV / EBITDA (FY26)") all carry the dark navy fill (FF002060) and theme-white font, satisfying the fill requirement, but font.bold = False on all four—contrary to the rubric's "dark navy fill and white bold font" specification. By contrast, the main financial-summary header row (C3:K3) is correctly bold.
Potential text truncation in M15 and M24: Column M is 8.55 units wide; the label "FY26 EBITDA (INR mn)" (20 characters) overflows into N15 and N24 which are occupied (values 500 and 500), causing visual truncation of the row-variable header in both sensitivity tables. This triggers the −3 pitfall deduction.
Critical Errors
None. There are no critical errors: all formulas are correct, all expected numeric outputs fall within tolerance, all cross-tab integrations are properly live-linked, and all five perturbation tests produce correct downstream updates.
Rubric Rationale
Task-Specific Rubric (additive point scoring)
Section	Available	Earned	Notes
Formula Correctness (15 criteria)	23	23	All formulas verified correct — pre-money EV floor/cap, net debt (both dates), equity values, XIRR IRR, CoC, all implied multiples, both data-table sensitivities
Model Integration (3 criteria)	8	8	Revenue → FS tab ÷10⁶ ✓; Total Investment → BSA tab ÷10⁶ ✓; JM stake → Cap Table ✓
Output Validation (10 criteria)	44	44	All 10 point-in-time values within tolerance
Perturbation (5 criteria)	25	25	All five dynamic updates verified arithmetically
Presentation (3 criteria)	7	5	−1 G13 formatted as hardcoded input; −1 sensitivity headers not bold (partial credit on criterion 3)
Pitfalls	−8 max	−3	No error values (0); text truncation in M15/M24 (−3)
Total	107	102	95.3%
Meridian Rubric (holistic 1–5):
Prompt–Workbook Coherence: 5 — all referenced tabs (Financial Statements, Balance Sheet Assumptions, Emiza Cap Table) exist with correct data; entry date March 31 2022 maps correctly to FY22 EBITDA and Balance Sheet column AC/CB; no mismatches.
Task Feasibility: 5 — all assumptions provided in the prompt; the one non-obvious design choice (using Dec 2021 balance sheet for pre-money net debt, before the Series B cash injection, labeled "Net Debt (Dec'21)") is internally consistent and produces the correct expected output.
Input Workbook Starting State: 5 — realistic multi-tab financial model with clean data and no pre-existing errors.
Output Workbook – Data Integrity: 5 — zero formula errors, all computations resolve.
Output Workbook – Formula Quality: 4 — fully dynamic; only blemish is G13 cosmetically misclassified as hardcoded input.
Output Workbook – Formatting: 4 — professional structure, correct number formats throughout, blue+yellow inputs, dark-navy headers; sensitivity sub-headers lack bold and M column is too narrow.
The task-specific rubric score of ~95% and strong performance across all Meridian dimensions yields a holistic 4 (Good). The deduction from a perfect 5 is driven exclusively by the three minor presentation issues: G13 misformatted, sensitivity headers not bold, and column-M label truncation. No calculation, formula logic, or model integration issue prevents a full score on every substantive criterion.</t>
  </si>
  <si>
    <t>7d448839-ff50-421f-bc77-2e16018b103a</t>
  </si>
  <si>
    <t>a124b3a8-c8db-404b-8746-898dcb4ac333</t>
  </si>
  <si>
    <t>Fixed output workbook for hardcoded numbers that moved the valuation. Also modified the tax rate to be the correct 21% as stated.  Corrected rubric for output validation and perturbation modifications.</t>
  </si>
  <si>
    <t>Run tsip-claude-feedback-8c8f6bb5-5d8a-4fbb-894b-90029faf8028
Completed 19 may, 21:20
Major Takeaways
The task asks for a full D.R. Horton Income Statement (P&amp;L tab) covering Sep-14A through Sep-23E, built into a pre-existing multi-tab financial model. The input workbook's P&amp;L tab was empty; the output fills it with ~413 non-empty cells. The build is sophisticated: formulas cross-reference RPM, SCF, BS, FOR P&amp;L, and Control Panel tabs, and the RPM/SCF sheets were updated to pull from the new P&amp;L rather than retain hardcoded values (110 and 40 cell changes in RPM and SCF respectively). All 10 task-specific output validation criteria pass exactly (EBITDA, PF net income, standalone NI, 5Y CAGRs, Homebuilding EBT, Combined EBT, gross profit margin, EBITDA margin, total homebuilding revenue, and standalone NI for Sep-19E all hit their rubric targets). However, the golden output uses a 25% effective tax rate for Sep-19E (J41 = 0.25) while the prompt says "a constant 21.0% throughout the projected period." This is an internally coherent choice—the NI target of 1,641.95 for Sep-19E is only achievable at 25%, not 21%—but it creates a factual conflict between the prompt and the golden answer, and a corresponding error in the formula correctness rubric criterion. Two additional Sep-18A formulas contain unexplained hardcoded adjustments (−40.3 in I9 for total revenue, −14.3 net in I19 for total COGS) that prevent those lines from being clean sums of their stated components.
Major Errors
Effective tax rate Sep-19E = 25% (J41 = 0.25), not 21%. The prompt explicitly states "constant 21.0% throughout the projected period" but the golden output hard-codes 25% for the first projected year. Sep-20E through Sep-23E (K41–N41) are correctly 21%. The formula correctness rubric criterion testing this says 21% constant, which the golden answer fails—creating a rubric factual error under the Meridian "material factual error" definition.
Sep-18A Total homebuilding revenue formula (I9) contains a hardcoded adjustment. Formula is =SUM(I7:I8)−39.1−1.2, subtracting 40.3 from the sum of Home sales + Land/lot. Correct sum would be 15,623.8; model shows 15,583.5. This fails the "Total revenue = sum of components" formula correctness criterion.
Sep-18A Total cost of sales formula (I19) contains a hardcoded adjustment. Formula is =SUM(I14:I16)+I18−31.3+17, netting a −14.3 adjustment. Sum of stated COGS components = 12,343.4; model shows 12,329.1. This fails the "Total COGS = sum of components" formula correctness criterion.
Variable and Fixed SG&amp;A rows reference swapped RPM cells. P&amp;L B27 (Variable SG&amp;A, Sep-18A) uses RPM!I98 (labeled "% fixed" = 55%) while P&amp;L B28 (Fixed SG&amp;A) uses RPM!I97 (labeled "% variable" = 45%). The labels in the P&amp;L or RPM are reversed. This does not affect the total SG&amp;A or any downstream calculation but is an auditing defect.
Projected hardcoded tax rate cells (J41–N41) not formatted in blue. Historical hardcoded inputs use blue font (FF0000FF), but the projected effective tax rates are plain/default color, inconsistent with the model's own color convention.
Projected D&amp;A (J48–N48) links to RPM rather than SCF. Model Integration rubric criterion asks for D&amp;A to be "linked to the SCF tab." Historical years (E48–I48) correctly use =SCF!Ex. For projected years, D&amp;A is derived as =RPM!J101*(J9+J34), a reasonable modeling choice but a partial failure on the strict rubric criterion.
Critical Errors
The 25% tax rate for Sep-19E vs. the prompt's 21% creates a formal contradiction between the prompt and the golden output. Per the Meridian grading rubric, prompts "must factually and accurately be reflective of the golden output workbook" and formula correctness criteria that "describe logic inconsistent with the golden output" constitute material factual errors. The formula correctness rubric criterion explicitly states "projected Effective tax rate held constant at 21.0%" [+2pts], which the golden output fails for Sep-19E. Because the output validation section independently requires NI Sep-19E ≈ 1,641.95 (only achievable at 25%), the formula correctness and output validation rubric sections are internally contradictory. This is the primary driver pushing the score down from 4 to 3.
Sep-18A reconciliation adjustments in I9 and I19 mean that two formula correctness criteria (total revenue = sum of components; total COGS = sum of components) fail on the golden answer itself—the rubric would penalize a correct LLM that reproduces these as clean sums.
Rubric Rationale
Meridian overall rubric (patch-based):
Component	Assessment	Score
Prompt–Input Alignment	Prompt references real tabs (RPM, SCF, BS, FOR P&amp;L); all historical inputs provided; structure clear; pair is fully executable	4
Prompt	All line items, section structure, relationship logic, and growth/CAGR requirements stated; only gap is the factual inconsistency on Sep-19E tax rate (21% stated, 25% in golden output)	4
Input Workbook	Professional pre-existing model; P&amp;L tab present but empty; formatting and cross-tab structure support the task	4
Output Workbook	No errors; strong formula integration across 5+ tabs; all output validation targets hit; Sep-18A adjustments (-40.3 revenue, -14.3 COGS), 25% Sep-19E tax, and minor labeling issues noted	3
Rubric	Formula correctness criterion for tax rate is factually inconsistent with golden output (21% vs 25% for Sep-19E); output validation section is fully accurate; perturbation criteria are internally consistent with golden output; overall rubric is usable but has a flaggable factual error on one criterion	3
Task-specific rubric pass/fail summary:
Formula Correctness (21 pts available):
Total homebuilding revenue = sum of components: FAIL (Sep-18A −40.3 adjustment) → 0/1
Total COGS = sum of components: FAIL (Sep-18A −14.3 adjustment) → 0/2
Home sales gross profit: PASS → 1/1
Land/lot gross profit: PASS → 1/1
Total gross profit: PASS (equivalent formula) → 2/2
Homebuilding EBT: PASS → 2/2
Financial Services EBT: PASS → 2/2
Combined EBT: PASS → 1/1
Standalone NI: PASS → 1/1
Tax expense with 21% constant: FAIL (Sep-19E = 25%) → 1/2 partial
PF NI: PASS → 1/1
EBITDA formula: PASS (matches EBT − Fin int − Int COS + D&amp;A exactly) → 2/2
EBITDA Margin: PASS → 1/1
5Y CAGRs: PASS → 2/2
Projected SG&amp;A from Variable + Fixed: PASS → 1/1
Model Integration (14 pts): Home sales→RPM ✓, Interest COS→BS ✓, Homebuilding ROI on BS→P&amp;L ✓; projected D&amp;A→RPM (partial, not SCF) → ~13/14
Output Validation (40 pts): All 10 criteria pass → 40/40
Perturbation (35 pts): Chain from Control Panel → RPM → P&amp;L is fully formula-driven with CHOOSE scenario selectors; all perturbations should propagate correctly → ~35/35
Presentation (6 pts): Dollar/comma/1dp format consistent ✓; hardcoded historical cells in blue ✓; projected hardcoded tax rates not blue ✗; Standalone NI and EBITDA bold with top border ✓; some subtotals (Combined EBT, Homebuilding EBT) lack bold → ~4/6
Pitfalls (−8 pts available): No errors in P&amp;L or BS → 0 penalty
The 25%/21% Sep-19E tax rate conflict, combined with the formula correctness failures on two Sep-18A summation lines, prevents this task from reaching a 4. All output validation and perturbation criteria pass, the model integration is genuinely sophisticated, and no errors exist anywhere in the workbook—confirming a 3 (Acceptable) rather than a 2.</t>
  </si>
  <si>
    <t>a1994fa7-5a56-405c-b21c-2adcd5e00220</t>
  </si>
  <si>
    <t>a222dbc3-5eed-4800-bc5b-6d3502db4925</t>
  </si>
  <si>
    <t>a93a8e62-cbed-4d01-b27e-d626c0d94c33</t>
  </si>
  <si>
    <t>b6ff3d68-fd93-4b27-b359-e9133b897b5e</t>
  </si>
  <si>
    <t>bdebb79d-9179-4081-8c21-130d8746836b</t>
  </si>
  <si>
    <t>c4226597-d7d3-425d-b2cc-ddcb837bef79</t>
  </si>
  <si>
    <t>task says cancelled</t>
  </si>
  <si>
    <t>c4b37795-de85-4cc8-bf22-a6af61230d5a</t>
  </si>
  <si>
    <t xml:space="preserve"> </t>
  </si>
  <si>
    <t>cabcd355-4c64-4984-9269-62b815e3c33c</t>
  </si>
  <si>
    <t>ce32d18d-3a33-4d27-8545-04abfe38a94a</t>
  </si>
  <si>
    <t>this prompt was underspecified so am rewriting parts; claude feedback was incorrect in the presentation section since it said everything was good and that it should use palatino font throughout, but it does not use that for headers so the rubric checker missed that; removed formula stacking errors; perturbation items were out of scope</t>
  </si>
  <si>
    <t>d0debda7-739a-4533-86cf-237ee6667ddf</t>
  </si>
  <si>
    <t>Prompt, Rubric and to smaller extent workbook</t>
  </si>
  <si>
    <t>d8573bf5-af9e-4bd2-bead-e53a7aa221d3</t>
  </si>
  <si>
    <t>ddf08efb-44d8-4311-ba6f-67c7c0f9b5e0</t>
  </si>
  <si>
    <t>de7da32b-1496-4fc0-9668-365d8e167669</t>
  </si>
  <si>
    <t>de822396-0cb8-4acf-8ddc-c31f4eaeb84f</t>
  </si>
  <si>
    <t>e5722b43-4586-4bbe-9476-bed884031c29</t>
  </si>
  <si>
    <t>says task is delivered</t>
  </si>
  <si>
    <t>ebd52873-afcc-4d85-8551-37803b3b3d51</t>
  </si>
  <si>
    <t>ec6f7962-6c0f-4893-b3f1-505c6ee455de</t>
  </si>
  <si>
    <t>ed94f8cb-7e44-44e8-b598-22c542d10a87</t>
  </si>
  <si>
    <t>ee7f9598-b841-436a-a2e1-a731f901d2a5</t>
  </si>
  <si>
    <t>fixed claude errors and rubric</t>
  </si>
  <si>
    <t>f1261b88-1642-4ebe-a2ed-ce1c0918bc52</t>
  </si>
  <si>
    <t>f36a98f3-3d0c-4d52-8cb1-b0d927bf96fb</t>
  </si>
  <si>
    <t>added more details about the other loan types and building out the pther functionality; also specified the monthly vs annual sections which was not mentioned at all in the prompt at first; fixed workbook truncation error; removed output validation in the formula section; removed out of scope formula items</t>
  </si>
  <si>
    <t>f3792e17-0a37-4190-a674-99d77666d0a5</t>
  </si>
  <si>
    <t>f84b70a6-25e7-4a65-a48f-e49f3d11ee68</t>
  </si>
  <si>
    <t>f8e1dc28-6729-4054-96f1-e2cf47656818</t>
  </si>
  <si>
    <t>096c55fa-de5b-4f3f-95f5-9e9ae584e9c4</t>
  </si>
  <si>
    <t>098dfc3f-e094-4da1-af4c-db764ef4b1ba</t>
  </si>
  <si>
    <t>rewrote prompt to be specfic, fixed claude issues</t>
  </si>
  <si>
    <t>0a0d9272-d159-4fb2-9ac5-1aef6629bdf0</t>
  </si>
  <si>
    <t>0aa6f18c-2aad-49cc-8813-cb79f92b65ce</t>
  </si>
  <si>
    <t>General comment: Agree that task is very simple and the workbook is too complex and does not follow best practices (Will still review and adjust) | Workbook: Minor formatting adjustment | Prompt: Simplified prompt | Rubric: Minor correction on output validation</t>
  </si>
  <si>
    <t>0d0a769c-426f-4e3e-a297-e17b85e72990</t>
  </si>
  <si>
    <t>109dbda6-e0bc-4aa0-b0ab-563bca672717</t>
  </si>
  <si>
    <t>removed overspecifications; was missing the floating vs fixed specification for the undrawn revovler which is hardcoded in the workbook; reworking part of this prompt</t>
  </si>
  <si>
    <t>10f93eac-1ebc-438c-8e1b-e4fa66ad59a8</t>
  </si>
  <si>
    <t>Assignment</t>
  </si>
  <si>
    <t>QC'd by</t>
  </si>
  <si>
    <t>Reviewer Grade</t>
  </si>
  <si>
    <t>Comments</t>
  </si>
  <si>
    <t>f61610de-33d8-4e1d-b40e-c6cad426cefa</t>
  </si>
  <si>
    <t>Richards C</t>
  </si>
  <si>
    <t>Prompt
- Removed “When applicable, use the days-outstanding assumptions.”
- Removed reference to “Land should be held at zero throughout”, as both PPE net and Land are driven by the Amortization of Property, Plant and Equipment schedule
- Clarified “Direct cost of revenue and Total Expenses” should be the basis of AP calculation, as this can also be calculated base on just the COGS
- Removed “Calculate Total Asset”, “Calculate Total Liability”, and “then calculate Total Shareholder's Equity, and Total Liabilities and Shareholder's Equity.” as those are too prespective for a BS build
- Owner’s Equity —&gt; Changed “increase by cumulative share capital issued” to “increase by Share Capital - Total Investment amount in respective period”. The former description is ambiguous and naming is inconsistent
- Removed “Pull all necessary line items values or assumptions not explicitly mentioned from various tabs throughout the model.” as its deemed unncessary 
Input
- In the Projected Sales Forecast tab, C17:G17 wrongly reference row 27 (which is a blank row) instead of row 26, also fixed in output 
Output
- Fixed Annual Check in Opening, which wrongly referenced row 15 rather than row 14
- Made bold Total liabilities and Total shareholder’s equity
Rubrics
- Some rubrics are stacked e.g. “Is the Check row in the monthly detail section of the Balance Sheet tab computed as Total Assets minus Total Liabilities and Shareholder's Equity, yielding zero in every period?”, and “Does the annual summary section of the Balance Sheet tab pull each line item's value from the corresponding year-end month in the monthly detail (Month 12, 24, 36, 48, 60)?”
- Fixed ambiguous namings
- Wordings in formula checks are sometimes unclear, e.g. “divided by 30.5 by the corresponding month's direct cost of revenue?”
- Removed unncessary wordings such as “(not recalculated locally)”
- Removed rubrics that are out of scope</t>
  </si>
  <si>
    <t>generate on TSIP</t>
  </si>
  <si>
    <t>AM</t>
  </si>
  <si>
    <t>fe294ac6-9f9f-4c74-8864-e3be7962c3cb</t>
  </si>
  <si>
    <t>Prompt
- Purchase price and closing costs should be drawn from summary tab
- Naming consistency —&gt; cash flows in the prompt vs cashflow in the model
- Removed sentences like “flowing month by month across the full timeline”, “flowing across every month”, deemed not necessary
- Clarified that “Total capturing the Total Project Costs needed across holding period” as there isnt only initial capital requirement
- Debt Cashflows section —&gt; should have four components instead of three
- Total Project Costs row does not only capture up front costs, fixed the prompt
- Clarified that for interest rate calculation, monthly rate assumes no compounding
- Added instruction to “Calculate Total During Hold of each line items. “
Rubric 
- Removed several out of scope rubrics
- Broke out stacked items
- Fixed redundunt wordings</t>
  </si>
  <si>
    <t>017a6e0d-12ed-4efc-bfa5-ea70840080e3</t>
  </si>
  <si>
    <t>035f0506-b19c-4def-8a75-b196f8448cdf</t>
  </si>
  <si>
    <t>Hinda D</t>
  </si>
  <si>
    <t>reworked prompt, removed some out of scope rubric items and added more clarity to some criteria</t>
  </si>
  <si>
    <t>04c58cea-57df-4a08-8386-096d4a1d6668</t>
  </si>
  <si>
    <t>Gabriel T</t>
  </si>
  <si>
    <t>06473005-29a0-45b5-b35f-2f1b9d245aa8</t>
  </si>
  <si>
    <t>0a2ffe07-f1e1-4e5e-8388-40197e5244b8</t>
  </si>
  <si>
    <t>Mitch K</t>
  </si>
  <si>
    <t>137946c6-2d25-40b1-b21e-86ad86196443</t>
  </si>
  <si>
    <t>1559ae3b-d368-4483-89eb-652b19ff8a6d</t>
  </si>
  <si>
    <t>Nimisha M</t>
  </si>
  <si>
    <t>15f2b6bb-22dd-4057-a12c-5d6c722af03e</t>
  </si>
  <si>
    <t>172507df-9689-4d99-b211-934424a2586d</t>
  </si>
  <si>
    <t>Johanne B</t>
  </si>
  <si>
    <t>17a88eb2-ef37-4094-8255-57602e6f4427</t>
  </si>
  <si>
    <t>18f5665c-58c0-4e6a-aa1c-dc2ddaa45083</t>
  </si>
  <si>
    <t>Manan B</t>
  </si>
  <si>
    <t>1af8d289-a2f3-45a7-b829-6c76051a2e1f</t>
  </si>
  <si>
    <t>1bb297ef-c0de-4a85-b10f-c4aaffedd0f9</t>
  </si>
  <si>
    <t>Jacob C</t>
  </si>
  <si>
    <t>Excel: fixed column width on TS tab where data label was truncated. Prompt: was very vague, and several sections in the worksheet were not mentioned in the prompt. Included more specifics around calculations because several different methods could have been correct based on the original prompt – wanted to reduce ambiguity. Worksheet and prompt were misaligned on several details such as facilities that were included in the workbook but not the prompt; updated prompt to match the workbook exactly. Rubric: removed out of scope criteria from formula correctness section. Removed stacking/bundling across rubric. Added period specificity for beginning balance questions on model integration section. Removed duplicative criteria. Removed out-of-scope criteria. Included “less” language for items that could be positive and subtracted or negative and added. Note: the rubric says a warning about referencing specific rows or cells, but the rubric does not have any specific cell or row references</t>
  </si>
  <si>
    <t>29c50543-7df8-4f07-86de-42cd3dfe3518</t>
  </si>
  <si>
    <t>Callan F</t>
  </si>
  <si>
    <t>34bae99b-d264-490b-8dcc-cb9470b6cea9</t>
  </si>
  <si>
    <t>Melvin J</t>
  </si>
  <si>
    <t>47496d6b-0a37-42b7-bfd0-676a2695bc10</t>
  </si>
  <si>
    <t>49174f45-dbab-4409-86de-c84fdb5a929a</t>
  </si>
  <si>
    <t>Varun B</t>
  </si>
  <si>
    <t>52a81288-b941-4399-a756-140d63708bd3</t>
  </si>
  <si>
    <t>7bcd454a-587c-4354-9933-3d0bff3d232a</t>
  </si>
  <si>
    <t>7d34a324-931a-465c-9ddb-b7cca61049d6</t>
  </si>
  <si>
    <t>11d63782-a9ac-4050-8408-ba259a0df940</t>
  </si>
  <si>
    <t>13d86739-f0c2-4ea9-bc25-031647cb348a</t>
  </si>
  <si>
    <t>1418dd3a-c080-4e72-baf7-a7c582fdcf06</t>
  </si>
  <si>
    <t>1455f0d4-b252-42e8-98b8-5560a78ebfe3</t>
  </si>
  <si>
    <t>156ad62e-145a-403b-b64f-e9e681b19702</t>
  </si>
  <si>
    <t>162bdf3d-475d-46e6-b5c2-6cca7919a4d5</t>
  </si>
  <si>
    <t>19530fd4-46b1-4ac4-8067-e9e62b767960</t>
  </si>
  <si>
    <t>19f1b207-7b14-45e5-bb94-b287575c7ea4</t>
  </si>
  <si>
    <t>1b70ca3c-db6a-4349-a077-c90e017e8efe</t>
  </si>
  <si>
    <t>1ba0bd5e-2aaa-4d53-84a2-5a5ddbc22877</t>
  </si>
  <si>
    <t>1bb0c6bb-2d66-4ca7-9a95-412171a6b54e</t>
  </si>
  <si>
    <t>21cc4460-e6ea-4b1e-8c23-01341d66ca33</t>
  </si>
  <si>
    <t>2517884c-fb41-4997-803d-b58f6948a966</t>
  </si>
  <si>
    <t>2546e176-164b-4eb3-a6ee-b28eb4f5f10f</t>
  </si>
  <si>
    <t>2fbb9781-71a0-4b18-9c4d-c014ce85ad4a</t>
  </si>
  <si>
    <t>306466f8-0745-4cc2-a116-f7a2310f1b1c</t>
  </si>
  <si>
    <t>3230b3b2-daed-4e71-b785-11ab2a8fca5e</t>
  </si>
  <si>
    <t>37183b05-9883-4062-b7fc-a902e0adbfd0</t>
  </si>
  <si>
    <t>Existing</t>
  </si>
  <si>
    <t>New Onboards</t>
  </si>
  <si>
    <t>Total</t>
  </si>
  <si>
    <t>Contributor</t>
  </si>
  <si>
    <t>Critical Workbook Error (takes &gt;15 min to fix) and is not a "methodology" difference/opinion</t>
  </si>
  <si>
    <t>Too Simple -- "task would easily take the average analyst less than 30/45 minutes to complete"</t>
  </si>
  <si>
    <t>Johanne</t>
  </si>
  <si>
    <t>1c85bdc2-97c0-46f9-bdc1-09c3c8216c0e</t>
  </si>
  <si>
    <t>Prompt was almost fully rewritten, output needed couple changes, but rubric was good</t>
  </si>
  <si>
    <t xml:space="preserve">Anoushka </t>
  </si>
  <si>
    <t>Andrew C Feedback</t>
  </si>
  <si>
    <t>Re-wrote the prompt to be more clear and specific. Pointed out one flaw in the input workbook, and several in the output workbook that would result in an untenable model. Uploaded updated input and output workbooks and corrected the rubric to reflect the updated workbooks.</t>
  </si>
  <si>
    <t>WM</t>
  </si>
  <si>
    <t xml:space="preserve">Prompt: (1) Re-wrote prompt to remove confusing language (2) Added in clarification about time periods bc the model has 2021A and Years 1-5 
Workbook: (1) France EBIT linked to wrong cell (2) Minor but adjusted "% growth" to "Revenue Growth %" (3) Corrected label on input &amp; output workbook on one of the assumption tabs
Rubric: (1) Removed specific calcs around period of over period growth rate (2) Adjusted model integration to test Gross Margin, EBIT &amp; EBITDA (not just Revenue links) (3) Unbundled stacked criteria
</t>
  </si>
  <si>
    <t xml:space="preserve">Focused on decomp </t>
  </si>
  <si>
    <t xml:space="preserve">Workbook: fixed embedded hardcoded assumptions; minor nits to the prompt; added formula correctness audit section to the rubric, other minor nits to rubric. </t>
  </si>
  <si>
    <t>2 bc output val section missing. Caroline T Feedback</t>
  </si>
  <si>
    <t>Rewrote the prompt to clearly outline what is needed. Adjusted the output model so that the actual calculation of UFCF for the model tab was included. Adjusted incongruencies in formulas across base and adjusted assumptions.</t>
  </si>
  <si>
    <t>Diego P Feedback- TBD bc output workbook has issues, so cannot continue checking rubric till those are resolved
WM Note-- this seems like an error task, either way, rubric lacks "?"s and has some poorly written items like this, whicn are stacked but mainly just wrong: "Are all changed euro-denominated currency values on the Model tab formatted with the euro symbol prefix, thousands separators, and one decimal place as their respective row conventions"</t>
  </si>
  <si>
    <t>Workbook: fixed REF errors and linking issues; re-wrote prompt; edited rubric</t>
  </si>
  <si>
    <t>2 bc of Perturbation errors: Caroline T Feedback</t>
  </si>
  <si>
    <t>Prompt / rubric</t>
  </si>
  <si>
    <t>Seed ID</t>
  </si>
  <si>
    <t>Prompt Done?</t>
  </si>
  <si>
    <t>Date Prompt Completed</t>
  </si>
  <si>
    <t>AHT (mins) - Prompt</t>
  </si>
  <si>
    <t>Full Task Done?</t>
  </si>
  <si>
    <t>Date Completed</t>
  </si>
  <si>
    <t>AHT (mins) - Post Prompt</t>
  </si>
  <si>
    <t>Admin Link Helper</t>
  </si>
  <si>
    <t>Checked?</t>
  </si>
  <si>
    <t>Notes</t>
  </si>
  <si>
    <t>SOTA (Est.)</t>
  </si>
  <si>
    <t>89eae8f1-dc6f-4145-a072-f056af902c05</t>
  </si>
  <si>
    <t>85d3d5d5-f85d-4799-8504-b807ad61ed36</t>
  </si>
  <si>
    <t>2130b610-dc4c-4605-9163-a8b2224abd06</t>
  </si>
  <si>
    <t>09e67384-2f7f-4070-abcb-4ed9a2f4545e</t>
  </si>
  <si>
    <t>6520d1cb-ef7f-4e18-8e27-901c61b13a4b</t>
  </si>
  <si>
    <t>8bcd0914-32d4-4fc9-b97e-3c0c61e9c9ae</t>
  </si>
  <si>
    <t>f0ec3331-b842-4f0f-bc7a-b3aa14727aa1</t>
  </si>
  <si>
    <t>cb5b1a21-8bce-42c1-807f-d08dcf9df983</t>
  </si>
  <si>
    <t>848b60ba-8233-45dd-a962-e6ba852d7b60</t>
  </si>
  <si>
    <t>4ebd8dfe-d037-41fa-914c-0a150d04cb87</t>
  </si>
  <si>
    <t>212df67f-c687-4e67-afe9-50edeaab2592</t>
  </si>
  <si>
    <t>874f82c0-6de1-4a82-8270-2c8d51e3dddc</t>
  </si>
  <si>
    <t>53f5ed76-f45f-4c3d-986c-2aa0015a4bc0</t>
  </si>
  <si>
    <t>0cf86c7d-efd2-449c-ba36-fd3f8ef9d235</t>
  </si>
  <si>
    <t>9e7084f5-eb7b-4985-8ff5-e110682dca32</t>
  </si>
  <si>
    <t>5772657d-c020-44b6-94e5-9d663dce40a6</t>
  </si>
  <si>
    <t>ba300a65-ea63-4c81-b690-60c9a9a42c30</t>
  </si>
  <si>
    <t>ee4eea58-d556-41cf-beea-19d9036fb126</t>
  </si>
  <si>
    <t>4cd85cb8-ca9a-42b6-a531-2a9066090578</t>
  </si>
  <si>
    <t>0cddf145-b561-4b9e-81fd-d4dfa1dd1eae</t>
  </si>
  <si>
    <t>c27d425f-d821-4e33-aa94-c3578e6381b1</t>
  </si>
  <si>
    <t>9f73b336-d815-4df1-9696-cec256055a58</t>
  </si>
  <si>
    <t>9e4e5488-5a4a-4061-879d-466ca0755ccf</t>
  </si>
  <si>
    <t>99d2a8db-318f-4435-b03f-a5a8f78c091b</t>
  </si>
  <si>
    <t>7bdb5914-3b20-4748-9e7a-314750f41e79</t>
  </si>
  <si>
    <t>320b10a2-7b9c-443d-bc9f-47dd6469ccc2</t>
  </si>
  <si>
    <t>3ee14907-f96b-4884-9150-b5e6a8366bdc</t>
  </si>
  <si>
    <t>d4097001-c960-449f-883c-5ae8ef80cc38</t>
  </si>
  <si>
    <t>9f0c3d4c-7729-40f4-a945-12de83eb9c7d</t>
  </si>
  <si>
    <t>9451a181-4b36-4410-92ad-7ae329eb3099</t>
  </si>
  <si>
    <t>d3c49dda-ea40-44f5-aac4-7e128754a6dd</t>
  </si>
  <si>
    <t>13a79273-28e7-4a18-a4e0-3bc96b121206</t>
  </si>
  <si>
    <t>00c07d57-1124-49c2-b354-6df05adc7a7f</t>
  </si>
  <si>
    <t>0294871c-c0a6-404e-ac74-d957f673aa5b</t>
  </si>
  <si>
    <t>3a1f76de-2e68-4036-aa3d-d325bb2ea100</t>
  </si>
  <si>
    <r>
      <rPr>
        <rFont val="Arial"/>
        <b/>
        <color theme="1"/>
      </rPr>
      <t xml:space="preserve">needs rubric regen </t>
    </r>
    <r>
      <rPr>
        <rFont val="Arial"/>
        <color theme="1"/>
      </rPr>
      <t>5/17 Claim Sheet Rollover</t>
    </r>
  </si>
  <si>
    <t>76dfed95-97aa-4610-be20-44beb1d5ab35</t>
  </si>
  <si>
    <r>
      <rPr>
        <rFont val="Arial"/>
        <b/>
        <color theme="1"/>
      </rPr>
      <t xml:space="preserve">needs rubric regen </t>
    </r>
    <r>
      <rPr>
        <rFont val="Arial"/>
        <color theme="1"/>
      </rPr>
      <t>5/17 Claim Sheet Rollover</t>
    </r>
  </si>
  <si>
    <t>1fdf02fe-b76b-45f1-bf8b-a01f0742e608</t>
  </si>
  <si>
    <r>
      <rPr>
        <rFont val="Arial"/>
        <b/>
        <color theme="1"/>
      </rPr>
      <t xml:space="preserve">needs rubric regen </t>
    </r>
    <r>
      <rPr>
        <rFont val="Arial"/>
        <color theme="1"/>
      </rPr>
      <t>5/17 Claim Sheet Rollover</t>
    </r>
  </si>
  <si>
    <t>c62d5635-6c88-4fcc-ab2a-e23554cd85ed</t>
  </si>
  <si>
    <r>
      <rPr>
        <rFont val="Arial"/>
        <b/>
        <color theme="1"/>
      </rPr>
      <t xml:space="preserve">needs rubric regen </t>
    </r>
    <r>
      <rPr>
        <rFont val="Arial"/>
        <color theme="1"/>
      </rPr>
      <t>5/17 Claim Sheet Rollover</t>
    </r>
  </si>
  <si>
    <t>f59aba79-8692-4b27-86f0-66ccf05728a1</t>
  </si>
  <si>
    <t>35e6f2e2-1ab4-4f1a-b68a-5f2cd301ea8d</t>
  </si>
  <si>
    <t>5/17 Claim Sheet Rollover</t>
  </si>
  <si>
    <t>Fix?</t>
  </si>
  <si>
    <t>384e684c-4c4a-4896-aca6-69f26a91bbc8</t>
  </si>
  <si>
    <t>387ea929-63d5-4e73-8b80-49a615d95d8b</t>
  </si>
  <si>
    <t>3b0bb60d-bc7b-4918-b6f9-d85356c2b62b</t>
  </si>
  <si>
    <t>3b4441d4-b901-4332-95cb-67b1b69b5f69</t>
  </si>
  <si>
    <t>3c740849-f6a8-4a9e-8cf6-6eb0309c1fd3</t>
  </si>
  <si>
    <t>40173638-d9f5-4023-b7fc-c045e3a6676b</t>
  </si>
  <si>
    <t>41171d6c-b043-407e-ae82-cd819bb75ace</t>
  </si>
  <si>
    <t>43991026-c2b8-42ee-bf35-03cecf958956</t>
  </si>
  <si>
    <t>46bc6902-d885-451a-939f-644a66bdf018</t>
  </si>
  <si>
    <t>48137868-ebbe-46a1-a255-fdb000e28377</t>
  </si>
  <si>
    <t>4992bb3d-3736-404e-904a-27017b8fa94c</t>
  </si>
  <si>
    <t>4ac90d1c-2ee4-4048-86a9-6668d1432262</t>
  </si>
  <si>
    <t>4ad76103-3373-4ad2-8368-e8bec79f91b7</t>
  </si>
  <si>
    <t>50f6c1b6-e424-4f62-b36f-111c6449258d</t>
  </si>
  <si>
    <t>557741d2-e259-4f32-83a8-9cb4eda8060a</t>
  </si>
  <si>
    <t>60cf94d4-339a-4007-94af-41169711dc8b</t>
  </si>
  <si>
    <t>62d11b38-03bf-44e7-b3e6-6fb984781208</t>
  </si>
  <si>
    <t>62fae144-7fa0-478a-8105-eef4dcd9be45</t>
  </si>
  <si>
    <t>6478da8e-d932-4d43-8649-8762dd1046a9</t>
  </si>
  <si>
    <t>66615b1b-9151-44c6-a13c-5c4ec2e847de</t>
  </si>
  <si>
    <t>67da163a-7890-4ad3-ac9d-9643acb3a94f</t>
  </si>
  <si>
    <t>69315d36-743e-4270-8ade-359416a4b5d0</t>
  </si>
  <si>
    <t>6addf781-b3f6-4677-8ad5-7684c6c5e7e8</t>
  </si>
  <si>
    <t>6c47ad05-d883-4622-8508-6519139c38a1</t>
  </si>
  <si>
    <t>6d07c888-8d6e-4da7-8fa7-c94c0afdd82e</t>
  </si>
  <si>
    <t>6d1d736f-fddb-4cdf-8be8-632cf1472d40</t>
  </si>
  <si>
    <t>741a829d-c9be-41f2-9f0f-a995859abea4</t>
  </si>
  <si>
    <t>7512373f-8811-4e62-bd72-7b0907d2a264</t>
  </si>
  <si>
    <t>77b3736e-2f56-4adf-b43b-73ff9c6b89d8</t>
  </si>
  <si>
    <t>7c174a47-933a-4a3b-9bca-f65449579434</t>
  </si>
  <si>
    <t>7cf006dd-bb9a-449c-a32a-bae62b9d96b4</t>
  </si>
  <si>
    <t>7fe25d9f-8efb-4d59-89e5-42ba1bd023b4</t>
  </si>
  <si>
    <t>820c71f1-5af1-4a3c-8040-6fbbc41aadb6</t>
  </si>
  <si>
    <t>84c41335-fc35-4d3a-a39b-28fda392b60d</t>
  </si>
  <si>
    <t>8800c4de-c042-41bf-9d42-5f220085b543</t>
  </si>
  <si>
    <t>880b660c-ee13-4d9d-a415-c97483eabc52</t>
  </si>
  <si>
    <t>8c518c8e-0c92-4886-b0c9-ed913599c5de</t>
  </si>
  <si>
    <t>94e7f35f-4943-4720-a19d-15c4aa5bfba7</t>
  </si>
  <si>
    <t>9638e4b5-a89d-4b99-b41f-549fe3d8bb93</t>
  </si>
  <si>
    <t>96df4855-f081-4f9c-92a2-203c628d55db</t>
  </si>
  <si>
    <t>9a978c53-0849-45e6-983f-2956f02c2a5b</t>
  </si>
  <si>
    <t>9adc5f2f-bb8a-40e8-85af-2d19643e6028</t>
  </si>
  <si>
    <t>9de4eceb-0710-476a-bee0-dcbcbf8f1f02</t>
  </si>
  <si>
    <t>9f8d5296-8151-4ec6-a9f6-16152939b9b8</t>
  </si>
  <si>
    <t>a058da34-5ce6-4fbf-9b2d-90a4d8696c45</t>
  </si>
  <si>
    <t>a1181b55-1ca1-452a-ae15-18a70fca05ff</t>
  </si>
  <si>
    <t>a1e93d2f-252c-4df9-af21-8ec815d953a4</t>
  </si>
  <si>
    <t>a6275b33-8b7c-41de-8601-549ed46de2ef</t>
  </si>
  <si>
    <t>a66aade1-6daf-47bc-8920-c230933f6a5c</t>
  </si>
  <si>
    <t>a82dad6f-706a-4afc-980b-38fb267f5091</t>
  </si>
  <si>
    <t>a8f171ae-ff30-490d-9152-299b5e935482</t>
  </si>
  <si>
    <t>ac2b39ee-bb21-42b8-8633-63a4628dbe75</t>
  </si>
  <si>
    <t>ad83ea94-e48c-4033-8d3e-f0937533344e</t>
  </si>
  <si>
    <t>aea3de5d-b61b-4b52-8992-06cbdc6bfe9f</t>
  </si>
  <si>
    <t>b0e0715f-ef43-4799-bc1d-6ba89f49edbe</t>
  </si>
  <si>
    <t>b18fe81c-3bd0-487d-8344-5746b47ab11a</t>
  </si>
  <si>
    <t>b2e3d2f6-ffd6-42db-9572-90ad908608d9</t>
  </si>
  <si>
    <t>b4ee3267-7f03-49f8-9912-0ceab879b550</t>
  </si>
  <si>
    <t>b712cff0-a35e-487a-a496-d80870848ed6</t>
  </si>
  <si>
    <t>b7f637a2-8356-4921-b851-bdd2d7eb06a2</t>
  </si>
  <si>
    <t>bb19e4c9-18e3-4f4a-8f59-be135464b631</t>
  </si>
  <si>
    <t>bb858c77-0193-4135-ab87-18818ebc3fad</t>
  </si>
  <si>
    <t>bbe51218-8f21-442c-bf1a-5d40706f2783</t>
  </si>
  <si>
    <t>bbfac284-5ea2-4c09-b83a-96d8a27e9301</t>
  </si>
  <si>
    <t>bd93bc8d-33a9-47f6-a1a2-6173c80e6034</t>
  </si>
  <si>
    <t>bd975124-cb19-4ba8-8251-3a2ab08f55d4</t>
  </si>
  <si>
    <t>bfd9e760-4742-4b1e-aabe-d41f069708ab</t>
  </si>
  <si>
    <t>c8a25e99-9d0f-4934-9753-d42c130ea8a3</t>
  </si>
  <si>
    <t>c8e7aaa4-bd8d-4e60-8351-56e8e7a0bd59</t>
  </si>
  <si>
    <t>c987e79e-64cf-4e09-8a6d-8dd5c8df5991</t>
  </si>
  <si>
    <t>ce2a8536-65c0-46c7-ab56-d185999d5dfb</t>
  </si>
  <si>
    <t>d26703f8-25e5-4f83-b029-292a0f6c31d0</t>
  </si>
  <si>
    <t>d3ed32be-a364-40a0-85c6-103536ea8798</t>
  </si>
  <si>
    <t>d4e476d8-978e-453a-ad7d-f4685be591e1</t>
  </si>
  <si>
    <t>d9852f31-be10-413e-b110-54cee6899352</t>
  </si>
  <si>
    <t>d9d7e6a5-afd9-4f55-9efa-d51a084d9e25</t>
  </si>
  <si>
    <t>dae1ab5a-1a70-4b08-8532-0390fcd3fa5c</t>
  </si>
  <si>
    <t>daea8306-d283-49f1-8b6b-9275e0196c60</t>
  </si>
  <si>
    <t>de6d6ebc-9062-4882-a207-caa1025ddd77</t>
  </si>
  <si>
    <t>e0568bf1-33b3-4971-b848-8e8ffa0c3853</t>
  </si>
  <si>
    <t>e0664814-521e-477b-b5c7-4e7e899ad8da</t>
  </si>
  <si>
    <t>e115cf76-c1d0-4722-a7f8-bb5fca92528d</t>
  </si>
  <si>
    <t>e247efce-b067-49a9-9939-af72bd50ae9d</t>
  </si>
  <si>
    <t>e999bd10-c1b5-495b-8a2c-2a6d7daeb6f2</t>
  </si>
  <si>
    <t>ea02b903-ae3b-4582-972e-1bdfb546092a</t>
  </si>
  <si>
    <t>eb78076d-21e1-4cc1-9805-1a00aa71c7ed</t>
  </si>
  <si>
    <t>eba83118-64bc-4496-bd39-612fb9ea1842</t>
  </si>
  <si>
    <t>ebcaa00f-d85c-48a7-9aed-5428028e6c0f</t>
  </si>
  <si>
    <t>ec5d2dad-1374-4d4a-8a88-4e1f3dae54f6</t>
  </si>
  <si>
    <t>ed0fa7b2-badc-4a46-a8f0-1f6ba5199ad3</t>
  </si>
  <si>
    <t>ed8646b8-1271-4c45-9282-be6096c98024</t>
  </si>
  <si>
    <t>ee2f3dfb-5cce-4825-b164-9aafcbcd1ff8</t>
  </si>
  <si>
    <t>ee4fac63-b65c-4776-ba86-4afcfa505263</t>
  </si>
  <si>
    <t>ee93e5a0-5a87-4065-9aed-e4e22cf4e693</t>
  </si>
  <si>
    <t>ef2151b8-32a1-46cf-8b0e-1f16c3c6767d</t>
  </si>
  <si>
    <t>efa5b241-2400-4f48-96d5-e01e3ea250b6</t>
  </si>
  <si>
    <t>f005489c-3b33-4f04-87a5-391b8b30dddc</t>
  </si>
  <si>
    <t>f01e276a-90cd-488a-8504-ddf62487db6f</t>
  </si>
  <si>
    <t>f5110d13-0a9d-4b8e-a06c-6d0f2f8fdf08</t>
  </si>
  <si>
    <t>f6b4bb0c-f42c-4c9d-a770-65a868c7dae7</t>
  </si>
  <si>
    <t>f6ea802b-8ece-4b58-bfa9-f1ceba4e7d49</t>
  </si>
  <si>
    <t>fa780b1a-e86f-46e2-90a5-565e0188a1f0</t>
  </si>
  <si>
    <t>fc47aef3-ea61-4ecb-816d-e072b6cb4ab2</t>
  </si>
  <si>
    <t>fd216a93-f6b7-4898-a363-471556d56975</t>
  </si>
  <si>
    <t>001b637f-5573-476d-9429-1f55e58cb4e1</t>
  </si>
  <si>
    <t>01864257-85cb-4d99-a1f3-ece0e9cbc958</t>
  </si>
  <si>
    <t>04786b1a-0367-4ed0-9f26-796ddccdc171</t>
  </si>
  <si>
    <t>04b3fb44-6920-44c7-8f54-8b14fce8607d</t>
  </si>
  <si>
    <t>04d5c8f5-0693-4fdc-8b22-1017b47bc156</t>
  </si>
  <si>
    <t>05111d42-bb08-4ff9-95da-5daf1deffbec</t>
  </si>
  <si>
    <t>060cb2cc-dcf8-43f7-ad00-aaee69d63c5e</t>
  </si>
  <si>
    <t>062895bc-0a23-4d9b-9fc3-c9da8ee8fdcc</t>
  </si>
  <si>
    <t>062d0050-f47b-418f-99fe-cbc358eda7b0</t>
  </si>
  <si>
    <t>068bff2f-1a80-497f-b49a-f6580313ec01</t>
  </si>
  <si>
    <t>07924639-c1a6-46cf-bc7a-7fe7b4357575</t>
  </si>
  <si>
    <t>08782138-e7cc-4c7a-98a6-91a75ff14315</t>
  </si>
  <si>
    <t>08d5ba71-fe26-495f-988d-9bb4cf3b355a</t>
  </si>
  <si>
    <t>09171941-d930-4766-b9a7-ae51729e9454</t>
  </si>
  <si>
    <t>0aa02378-b225-4a54-8e12-33bf7892948f</t>
  </si>
  <si>
    <t>0b37d16e-ad4b-4152-a21b-2d041a8eb8f7</t>
  </si>
  <si>
    <t>0b5cabc0-2839-478b-a753-d3b504c6dba9</t>
  </si>
  <si>
    <t>0bbb3a89-8f8a-4cbb-88a2-0d970fee391c</t>
  </si>
  <si>
    <t>0cb7a20f-4909-49ed-bd4a-2f31acf50004</t>
  </si>
  <si>
    <t>0cd255ac-290a-495b-8c74-76c4159f1a41</t>
  </si>
  <si>
    <t>0da8482c-7eaa-4be2-ae4b-9f4687394bae</t>
  </si>
  <si>
    <t>0e5ad642-1dd6-4602-88dc-c51fa7761c70</t>
  </si>
  <si>
    <t>0ee807a1-749a-4590-93c0-a332f1e1798a</t>
  </si>
  <si>
    <t>0fa85acc-0ef3-4151-906d-915b92935355</t>
  </si>
  <si>
    <t>1081799b-4a0a-4a80-91d2-1ba3b0a559d3</t>
  </si>
  <si>
    <t>10d897ad-a7c4-496a-b5d5-fedafc6a61bc</t>
  </si>
  <si>
    <t>112eeb54-4cf5-4fb3-b3b3-940bfb57c4e2</t>
  </si>
  <si>
    <t>11ad940a-cee8-40dc-8ce4-95a2c2e50a8c</t>
  </si>
  <si>
    <t>135c314b-7188-41f9-b559-99c8a64b8530</t>
  </si>
  <si>
    <t>14923334-c4b2-4337-9226-2423be2ba342</t>
  </si>
  <si>
    <t>1499b8b8-538a-4639-b6de-0ed983c7fa77</t>
  </si>
  <si>
    <t>14ac18f5-d0ca-4038-9337-6933d802cd6e</t>
  </si>
  <si>
    <t>14aea5e9-c8bc-4ea1-b394-ec53ae693dcc</t>
  </si>
  <si>
    <t>1572fc3a-f4a0-4099-bc88-4e8a7806b96e</t>
  </si>
  <si>
    <t>15db7898-75bd-4a45-a0e6-550f8cc63d46</t>
  </si>
  <si>
    <t>16133ae8-d247-4c6b-8e4e-6a335500805a</t>
  </si>
  <si>
    <t>17746372-fb2c-45fb-8aa7-de3231a3b536</t>
  </si>
  <si>
    <t>17754a32-d65a-4a96-af63-3a9e587cbc21</t>
  </si>
  <si>
    <t>17b398d3-7c5a-434f-838a-a54139d9b0cd</t>
  </si>
  <si>
    <t>17e93566-322a-4698-9458-6ccb938903ce</t>
  </si>
  <si>
    <t>194681ab-f83c-48e2-8790-38dd1dc00d60</t>
  </si>
  <si>
    <t>1aa3fe26-eded-4104-b18e-738711759174</t>
  </si>
  <si>
    <t>1aca29b4-fb6a-4a71-8771-02f3d9768123</t>
  </si>
  <si>
    <t>1c16b8ae-6dd6-454b-a474-a746fc7e4731</t>
  </si>
  <si>
    <t>1c1bd8e0-8959-4df2-b014-c7903d6e1315</t>
  </si>
  <si>
    <t>1c2c218f-a4eb-4409-b880-11cd3e9b628a</t>
  </si>
  <si>
    <t>1c530cd8-02ce-4631-b961-98cf90ac745c</t>
  </si>
  <si>
    <t>1d9e8497-6263-4047-a718-9c920bb26a13</t>
  </si>
  <si>
    <t>1f7abaa2-71a4-4714-98d7-3059d1b63e25</t>
  </si>
  <si>
    <t>1f879c12-bec5-4f07-bb82-c67d0a877edb</t>
  </si>
  <si>
    <t>22214953-e155-4809-99d1-e78de837bfe5</t>
  </si>
  <si>
    <t>237caf19-272b-4411-9a07-7a454b85f47f</t>
  </si>
  <si>
    <t>24d476ae-b333-4ccf-89f2-44720dad5031</t>
  </si>
  <si>
    <t>2528cfad-6500-446a-83b5-ad2e6846c117</t>
  </si>
  <si>
    <t>25aacf1b-f323-4b79-b2ec-87fce7e8a572</t>
  </si>
  <si>
    <t>262fe755-4141-42b1-ac38-870855ddea81</t>
  </si>
  <si>
    <t>264c90ce-4cff-4d0d-99e4-003bf26dd045</t>
  </si>
  <si>
    <t>267fba81-6238-4929-ac9c-0c968e4189a5</t>
  </si>
  <si>
    <t>26ba2839-1770-4677-bdf3-6165f8b6b697</t>
  </si>
  <si>
    <t>2841c6bb-c722-4564-8497-138f687bc35e</t>
  </si>
  <si>
    <t>28be4aac-5b82-4aef-985c-ac5fd84cc0f8</t>
  </si>
  <si>
    <t>28d77423-d36b-4adf-b5fb-cba2f9187c59</t>
  </si>
  <si>
    <t>297d6ed3-bb27-48c2-8815-d43e5e3e6113</t>
  </si>
  <si>
    <t>2a461c35-5e21-4c95-8ff9-588804e3bdfc</t>
  </si>
  <si>
    <t>2a5038de-b72d-4eb9-b970-46797e4399d8</t>
  </si>
  <si>
    <t>2ae402d9-2146-4425-ab26-24e8fb475348</t>
  </si>
  <si>
    <t>2b43a655-7860-4045-a5d3-015139bf777e</t>
  </si>
  <si>
    <t>2bbcfdf0-c577-4599-a073-469ede547cd0</t>
  </si>
  <si>
    <t>2bcf9ac9-d920-4e2e-9655-1fb82835e721</t>
  </si>
  <si>
    <t>2c08de79-6da7-42a4-a7a3-112924cbb0d7</t>
  </si>
  <si>
    <t>2da8d19e-ed98-4b81-b1fc-aec33b5fc492</t>
  </si>
  <si>
    <t>2e00123e-967e-4735-b590-f022c5d0ab90</t>
  </si>
  <si>
    <t>2efc6608-c7ad-41e2-bdae-6145d81ec064</t>
  </si>
  <si>
    <t>3022a292-4ff3-4dd8-b77c-601924a792cd</t>
  </si>
  <si>
    <t>30cc7c4e-9022-49a0-967e-c2689bb9c2a5</t>
  </si>
  <si>
    <t>31941ceb-269e-4c76-9f7a-3b3bdd4153d1</t>
  </si>
  <si>
    <t>31d34c2e-840d-46ed-b089-1a8b1ed8d639</t>
  </si>
  <si>
    <t>33b198aa-7a72-4aa6-b4e7-97b57f47ebfd</t>
  </si>
  <si>
    <t>350e40f5-b7cd-49f7-a6c2-ea53d70ad1d0</t>
  </si>
  <si>
    <t>354c38bd-9b17-4de7-ad50-b159b2def221</t>
  </si>
  <si>
    <t>360e4d28-68ae-482c-ac7c-54ac0460afed</t>
  </si>
  <si>
    <t>367ab811-be0e-44e6-adaa-796c82723e0e</t>
  </si>
  <si>
    <t>36c8e72b-3d07-4cad-a00e-942338495e51</t>
  </si>
  <si>
    <t>36de3187-aaf7-41a1-b3f5-ed067cbd18e5</t>
  </si>
  <si>
    <t>36eccdf1-13ea-468f-817b-96afc85fb218</t>
  </si>
  <si>
    <t>37a1e368-df27-4a44-8e40-aea770dbf8a2</t>
  </si>
  <si>
    <t>3893a85c-00d9-4a6c-b75a-437beb630857</t>
  </si>
  <si>
    <t>393f0771-9c7b-4d89-b17b-6b4084cc8bf8</t>
  </si>
  <si>
    <t>3956b8b8-9627-44f0-88a9-bfc6d0bc632a</t>
  </si>
  <si>
    <t>3a8a83b1-4627-4530-a33e-783b4ed0059c</t>
  </si>
  <si>
    <t>3b766a14-9073-44be-b291-c07fb1cd6a13</t>
  </si>
  <si>
    <t>3bc2b7d9-4c9b-4761-a56e-430dbb7b0363</t>
  </si>
  <si>
    <t>3bf32752-26fd-4b52-a351-90043e763cd0</t>
  </si>
  <si>
    <t>3c3c722b-82c8-4bb9-aa26-4473cf32fba4</t>
  </si>
  <si>
    <t>3c6cbb35-c5b3-4e8a-a6ac-c032b47d4873</t>
  </si>
  <si>
    <t>3d1966c4-3d3d-4718-87e2-ec8e7b919082</t>
  </si>
  <si>
    <t>3ea3f6d0-67e0-4352-93bc-278487d5f399</t>
  </si>
  <si>
    <t>3ff3aabd-3236-49bb-b622-f7e49f1cab99</t>
  </si>
  <si>
    <t>4005b4b0-3229-403e-b145-2d9291859c49</t>
  </si>
  <si>
    <t>40cf819e-7c7e-4cf9-b7a6-845b7966facc</t>
  </si>
  <si>
    <t>4135d65f-4a3a-4c74-a4d8-0b91cab30ca9</t>
  </si>
  <si>
    <t>427cd3bd-5fdd-45b2-9d9c-9c6287093cf8</t>
  </si>
  <si>
    <t>43d0479d-e4f0-4f4a-bc34-300dac536cb1</t>
  </si>
  <si>
    <t>45e90920-b196-4ccc-b3bb-2f6c1b31a4b2</t>
  </si>
  <si>
    <t>475632a7-a6a8-40e8-b8c0-4ef81d989d33</t>
  </si>
  <si>
    <t>4757e4bd-f4a8-4eb7-858e-4f11f82ba412</t>
  </si>
  <si>
    <t>481cd80c-28fc-41ab-a687-6181c06729b2</t>
  </si>
  <si>
    <t>49dc183c-bc80-40c7-80d6-4e05602c3cce</t>
  </si>
  <si>
    <t>49fe5f0d-755c-48ba-b441-cd6f53837383</t>
  </si>
  <si>
    <t>4b327d1d-2585-44f4-82a0-6a764e9c2218</t>
  </si>
  <si>
    <t>4ea31f5c-f750-49a8-801f-9e5a322653db</t>
  </si>
  <si>
    <t>4f65bd3e-cdd6-4f55-9c27-d8b5030b17b7</t>
  </si>
  <si>
    <t>52382437-ac82-44fe-95a9-b9fe219b1a8e</t>
  </si>
  <si>
    <t>526132d5-1296-4fd0-8966-573bc6dc89f3</t>
  </si>
  <si>
    <t>53106dfc-2730-4dd3-82c1-4f6c21985ffd</t>
  </si>
  <si>
    <t>54e57d21-3262-418f-ba73-0c346d8f8dd0</t>
  </si>
  <si>
    <t>55707eec-ca88-4bdc-b84a-5a2f675ceb9d</t>
  </si>
  <si>
    <t>566d96c7-09ed-458d-9476-d6282a4a06ab</t>
  </si>
  <si>
    <t>5690a932-ad47-405f-be1a-306f97ca4bfc</t>
  </si>
  <si>
    <t>577bc8ea-1537-49b9-912d-6e7ed345b99d</t>
  </si>
  <si>
    <t>5785413c-0e81-48d8-b2b0-1dbf078b710d</t>
  </si>
  <si>
    <t>57a80eea-c9de-42b6-bfbf-77e18765a27c</t>
  </si>
  <si>
    <t>57bc6bf2-be97-46af-86b3-82a7f4a8256e</t>
  </si>
  <si>
    <t>5a91d3f7-94b0-4203-9a29-3100b01de304</t>
  </si>
  <si>
    <t>5b017d11-ab30-4538-8417-814911b815c8</t>
  </si>
  <si>
    <t>5b1171d1-34fd-4f9a-b53b-1d8802b9ad5e</t>
  </si>
  <si>
    <t>5c49bbd6-fc2f-464a-b5d1-91d8c2b134ff</t>
  </si>
  <si>
    <t>5d069442-80d4-4a75-ba86-ae4da6676135</t>
  </si>
  <si>
    <t>5dc6bfe1-4d52-4f37-be6e-b43fed3fdf5b</t>
  </si>
  <si>
    <t>5de41ebe-53ef-4896-bb35-8f0fe54ccb1f</t>
  </si>
  <si>
    <t>5e8d104c-7199-478d-a3d0-abcdb4d82ef3</t>
  </si>
  <si>
    <t>61f95594-7453-482b-a7a7-9c99a5539023</t>
  </si>
  <si>
    <t>622722b6-8317-49ee-a1bc-680aa9230b53</t>
  </si>
  <si>
    <t>625429b5-ebc9-435c-8d45-51a5bfb52f47</t>
  </si>
  <si>
    <t>6306ac16-58d8-41b5-a37a-d5bbe501c638</t>
  </si>
  <si>
    <t>639bba82-b36f-4d44-a275-38407e2798e6</t>
  </si>
  <si>
    <t>63a3d52e-1f39-4407-9838-3f3744d15bb2</t>
  </si>
  <si>
    <t>63ef44ae-a6fc-4335-b303-2303535ade43</t>
  </si>
  <si>
    <t>66ffa629-c735-461d-80ed-9020bd0ce3c8</t>
  </si>
  <si>
    <t>67890151-5c1a-458d-b486-6f78ffc5ac00</t>
  </si>
  <si>
    <t>6a5c8e79-e823-4264-ba2e-9fb2c8fea59d</t>
  </si>
  <si>
    <t>6b4b010c-5da9-4590-8a66-616e7f4d75dc</t>
  </si>
  <si>
    <t>70134887-ac90-40bb-ab19-70b5af9970ab</t>
  </si>
  <si>
    <t>7132173e-f61c-4bc0-bf09-355be8e06912</t>
  </si>
  <si>
    <t>7294b7f5-b11c-4798-a7f9-20c8a4cb6772</t>
  </si>
  <si>
    <t>7476b730-9249-4b3a-a283-85388489c0f7</t>
  </si>
  <si>
    <t>75ae9132-ce62-4244-a1a4-e459a1a72ea4</t>
  </si>
  <si>
    <t>7750780f-206b-43f2-a1b6-6adea02a3f0b</t>
  </si>
  <si>
    <t>778d3d3f-7715-4f75-aaf7-367fdff833c7</t>
  </si>
  <si>
    <t>78192035-26e1-4732-9697-19c944e3a0c0</t>
  </si>
  <si>
    <t>79acb56c-a7e7-4cce-9622-4f0c92c69374</t>
  </si>
  <si>
    <t>7a4ae7c4-2b52-4a17-8c75-3e9884cbdee2</t>
  </si>
  <si>
    <t>7a5a40a3-448e-470d-8d79-074e0b06b1b8</t>
  </si>
  <si>
    <t>7b5f8ff0-6807-43a7-9905-261413e5e411</t>
  </si>
  <si>
    <t>7cbe0cad-6a55-49de-8569-99ac3c924dc3</t>
  </si>
  <si>
    <t>7d30986d-11f0-4ec9-ad64-2dd4e79cf3e5</t>
  </si>
  <si>
    <t>7dc44019-362f-4fec-9979-edff75e741a0</t>
  </si>
  <si>
    <t>7e7ece92-18a1-4a45-b362-073f0d068c9f</t>
  </si>
  <si>
    <t>7ebf7154-595b-416c-adab-bb00c310e386</t>
  </si>
  <si>
    <t>7f4b527d-3833-4e47-8281-1ac4560528fb</t>
  </si>
  <si>
    <t>808b44f5-12e2-4028-bce0-b2a472d7a3d2</t>
  </si>
  <si>
    <t>83e6c19f-b0a9-4f5f-a803-ee83393dd508</t>
  </si>
  <si>
    <t>86af3bae-dc14-40e9-93e4-70711ad157e5</t>
  </si>
  <si>
    <t>86e806e0-e634-4af6-b5e0-a114c5ec9cc1</t>
  </si>
  <si>
    <t>86f6cc3b-52bf-4467-80d7-cf59e515d540</t>
  </si>
  <si>
    <t>87817c4e-d883-4baa-9ee2-14425204dc5b</t>
  </si>
  <si>
    <t>87d82ed8-9048-434d-b7ce-5258050ba07a</t>
  </si>
  <si>
    <t>893b7f4d-523e-46e3-bfb0-2a1f9dd9e5c8</t>
  </si>
  <si>
    <t>8982b737-3cc7-422d-9a45-342a23deff92</t>
  </si>
  <si>
    <t>899f6e04-b327-4f3b-9a7f-142eb00c5daa</t>
  </si>
  <si>
    <t>8a2d03eb-2e13-4d6f-ad2c-87c9a9cfbe73</t>
  </si>
  <si>
    <t>8b98d113-923e-41e4-b48a-4fb58f6dfce4</t>
  </si>
  <si>
    <t>8bc25e79-63d6-4cb8-a4fe-8b4fac4d85b4</t>
  </si>
  <si>
    <t>8df50fa4-6736-483c-8991-a769a2a125e5</t>
  </si>
  <si>
    <t>900cb3a3-1f38-4114-b164-8bd610aa1feb</t>
  </si>
  <si>
    <t>91746aaf-4790-41cf-8d77-6c9edfa0cdb4</t>
  </si>
  <si>
    <t>91ffaa7a-042f-49c1-8f12-073d02969fcb</t>
  </si>
  <si>
    <t>927d5d60-00d2-4737-ad5a-583ea1e52630</t>
  </si>
  <si>
    <t>92b44b07-a0ff-42f0-90db-9f76824207cd</t>
  </si>
  <si>
    <t>94c2fcaf-9eab-4fa9-8fe8-6e29869e31de</t>
  </si>
  <si>
    <t>9762e089-0952-41a6-bc3d-1952b0da6572</t>
  </si>
  <si>
    <t>976f00da-a679-4061-a247-c9029e56b722</t>
  </si>
  <si>
    <t>97ac2dd7-ef93-4cb7-9460-76806218a40e</t>
  </si>
  <si>
    <t>98e43a82-cad8-4ae4-a529-c474633b087e</t>
  </si>
  <si>
    <t>9919a07a-91f0-4b32-bcb1-367002537a62</t>
  </si>
  <si>
    <t>9971b547-360e-4d34-89ba-9dfe80d55a25</t>
  </si>
  <si>
    <t>99e9c932-ffec-4eab-8943-94fa55505c98</t>
  </si>
  <si>
    <t>9a26707a-96ae-4f4a-bca0-449668e5a160</t>
  </si>
  <si>
    <t>9a469ebc-d5f7-4346-9ab3-4a4672e653fc</t>
  </si>
  <si>
    <t>9a46a891-abd5-4a1a-aba7-741c656718c5</t>
  </si>
  <si>
    <t>9c64c243-9708-49c4-9f32-4be0827cb340</t>
  </si>
  <si>
    <t>9dae44ab-69d0-4e8d-b388-5b8f45e14196</t>
  </si>
  <si>
    <t>9ff1189a-74c9-49b6-aec6-bf5b084b09d8</t>
  </si>
  <si>
    <t>a062fff3-13ac-4025-a349-90a6a78db8ae</t>
  </si>
  <si>
    <t>a160503a-429f-4148-8ee2-e75697721711</t>
  </si>
  <si>
    <t>a23fe17e-6985-4dfb-bf43-53fddef329a8</t>
  </si>
  <si>
    <t>a2dcb2eb-2827-4a06-84a2-6b369705cadf</t>
  </si>
  <si>
    <t>a31b33a0-865f-46d3-91b6-f33fcf5c548e</t>
  </si>
  <si>
    <t>a352161e-28e0-4801-ac26-af25ff6ff68b</t>
  </si>
  <si>
    <t>a41f4faf-60b6-4ae0-98ec-26ef2dc6fc72</t>
  </si>
  <si>
    <t>a5501874-3093-492d-bfa5-b051d15a5bbe</t>
  </si>
  <si>
    <t>a5b5df80-6258-44f8-a0b7-832d6e1e5e3a</t>
  </si>
  <si>
    <t>a659d9e7-5ef1-4c4c-b20e-c0365e960056</t>
  </si>
  <si>
    <t>a7223f9d-9b5b-48dd-91c3-edca32a8148c</t>
  </si>
  <si>
    <t>a7840f01-7a62-4339-9d94-10166b45624b</t>
  </si>
  <si>
    <t>a8130532-d4c7-424e-b37a-a60515957fb7</t>
  </si>
  <si>
    <t>a82993e6-275e-42da-a625-a0dfd1352086</t>
  </si>
  <si>
    <t>ab2d5427-a3f8-4612-89f6-c17dbf9f5235</t>
  </si>
  <si>
    <t>abc0a8d2-52df-4cf4-b3ce-456bf4d1ef9e</t>
  </si>
  <si>
    <t>ae721a3c-264e-41c6-ace0-ba6faf991698</t>
  </si>
  <si>
    <t>af1bf738-cb2a-4760-b84f-b9c338e25af3</t>
  </si>
  <si>
    <t>aff0f29e-d7cf-438e-8701-8c24b7ee5456</t>
  </si>
  <si>
    <t>b212e1cf-0269-432d-b2fd-56b6595ab232</t>
  </si>
  <si>
    <t>b2b8028b-7cb1-4618-84fe-e72a80fa0dd3</t>
  </si>
  <si>
    <t>b3c5a439-54ad-4864-9d8c-0f58daeb616d</t>
  </si>
  <si>
    <t>b3d5a8f3-126b-4cd6-a83d-45ac85b333cb</t>
  </si>
  <si>
    <t>b41f10d9-286d-4b9a-8693-c9c8056272fa</t>
  </si>
  <si>
    <t>b65a6bbf-26f0-4902-b5b9-a3b029503762</t>
  </si>
  <si>
    <t>b661b687-68f9-4b20-b8ea-1f51bd21ce76</t>
  </si>
  <si>
    <t>b6913c9d-c609-4bad-9988-945e03a9dd84</t>
  </si>
  <si>
    <t>b6ae2266-b39a-48a4-a4f1-2a6cefd35f2d</t>
  </si>
  <si>
    <t>b6bc7777-f62c-4a9a-bc09-9e9c91ef603c</t>
  </si>
  <si>
    <t>b6fbe8a6-427b-4315-907f-125c8243c7a0</t>
  </si>
  <si>
    <t>b874f8cf-0870-4b66-9fca-f333b86d79ca</t>
  </si>
  <si>
    <t>b8aab78d-a0b5-4105-90f0-35d184b1678a</t>
  </si>
  <si>
    <t>b8bb752f-d4da-4d19-a75b-0ab306f5898d</t>
  </si>
  <si>
    <t>ba557cb0-6dfe-4c94-9f6a-e3486f40b2e2</t>
  </si>
  <si>
    <t>baed115a-7a5a-4274-9bc5-30d9cee69b89</t>
  </si>
  <si>
    <t>bb772a45-2ba0-4cb8-8fb1-77d922337031</t>
  </si>
  <si>
    <t>bb8e290c-3ff5-4c0b-b887-72c432dd1270</t>
  </si>
  <si>
    <t>bc444380-9c34-4965-abb5-8416464ffb75</t>
  </si>
  <si>
    <t>bcc2690b-d08d-495a-9aa1-c2eaf9a9c579</t>
  </si>
  <si>
    <t>bdebe5d7-7c34-4b28-b821-d852d386664c</t>
  </si>
  <si>
    <t>c06f8382-fe3e-4d68-afdf-aec9c294fbc2</t>
  </si>
  <si>
    <t>c1e4ccbb-8829-445f-8d9b-b196fa0d4fa4</t>
  </si>
  <si>
    <t>c3fc8fef-5434-47e3-ae10-52c24fd7fefb</t>
  </si>
  <si>
    <t>c443110f-4e2c-4038-bbd1-5487e607029a</t>
  </si>
  <si>
    <t>c4436c23-167a-42e6-8ed0-ed63146e1667</t>
  </si>
  <si>
    <t>c6729264-c5b0-41ca-aaf4-bdc0810ef473</t>
  </si>
  <si>
    <t>c8271da4-1c19-4f7b-9670-a01a0cdc3d28</t>
  </si>
  <si>
    <t>c8d14be3-f1e2-4555-9bd5-b8e26989e6a8</t>
  </si>
  <si>
    <t>c915ae40-accc-41c9-8353-5864c102b5e1</t>
  </si>
  <si>
    <t>c9627631-680c-4fbc-8b90-e00a32277480</t>
  </si>
  <si>
    <t>c98f560d-b026-4024-86ca-58390122d64a</t>
  </si>
  <si>
    <t>c9f1f28d-4485-4a89-99b6-569fc1244699</t>
  </si>
  <si>
    <t>cbc44a1f-e691-4af9-9f66-98a386acf4c3</t>
  </si>
  <si>
    <t>ce27420e-9d6f-4978-8ef1-355911a2f902</t>
  </si>
  <si>
    <t>cecc5e50-691b-4ee0-8d4f-b878cd68445f</t>
  </si>
  <si>
    <t>cfd5cff3-d80b-4c38-8635-2c1df44e2161</t>
  </si>
  <si>
    <t>d01fd476-412e-4930-a40a-af91b22e188e</t>
  </si>
  <si>
    <t>d2301199-baf0-45a3-a094-b0783be34423</t>
  </si>
  <si>
    <t>d23452c3-6acd-4c0f-9e1a-e5786368732a</t>
  </si>
  <si>
    <t>d266236a-8c6c-4d60-94c8-fc738e84c3d1</t>
  </si>
  <si>
    <t>d3b5b10a-c009-492e-b3be-fadaf5770377</t>
  </si>
  <si>
    <t>d5a0a8b0-d1a3-47b8-b23d-8e35a285567c</t>
  </si>
  <si>
    <t>d5a4f97c-3386-4c7a-9384-2e79cca9f3f5</t>
  </si>
  <si>
    <t>d7ba3c6d-b67f-41e6-b54d-01ee58753b93</t>
  </si>
  <si>
    <t>d864764f-4289-44ea-bc52-5408c00ff1d2</t>
  </si>
  <si>
    <t>d95fae93-e93d-4f57-96ae-279a9b144f7e</t>
  </si>
  <si>
    <t>d988bf17-373f-4ecf-ab26-39be5cd46247</t>
  </si>
  <si>
    <t>d9cc01f0-eab5-44c1-8512-69469af710b3</t>
  </si>
  <si>
    <t>dc4b0357-e455-40b6-ac7f-408ad4583bfe</t>
  </si>
  <si>
    <t>dcdc7543-cabf-4081-ad0c-fa719a68849f</t>
  </si>
  <si>
    <t>dd2d5402-61a7-419f-93c9-cac59f9d72c1</t>
  </si>
  <si>
    <t>dd9f9871-973f-400d-b2fa-8c315c450f87</t>
  </si>
  <si>
    <t>e0663b34-ab2b-4597-88a5-f1d7564af0ed</t>
  </si>
  <si>
    <t>e087ec23-8f5a-42e5-b755-cc8d381ea938</t>
  </si>
  <si>
    <t>e0b48589-cc06-4e72-9cea-45a2c71b9a47</t>
  </si>
  <si>
    <t>e121b055-59bf-45e4-86d9-0e9f7c52cb19</t>
  </si>
  <si>
    <t>e2c795d3-9fb4-4a34-9189-ce954ea97cb3</t>
  </si>
  <si>
    <t>e2f5fede-3901-4d54-b476-6eb28d05372a</t>
  </si>
  <si>
    <t>e368fb62-7dfe-4b34-bb3b-7d7e85b3ab41</t>
  </si>
  <si>
    <t>e38a68ea-af05-454a-a1e8-6052faeea876</t>
  </si>
  <si>
    <t>e38bb8e6-9e54-46f9-99f1-a47019effd61</t>
  </si>
  <si>
    <t>e3c42eb8-32f4-43d3-b205-db99070344b2</t>
  </si>
  <si>
    <t>e6559ead-eb76-499a-9214-dd92c6e2836a</t>
  </si>
  <si>
    <t>e668cc5c-7726-41cb-8de2-8c6262cbd295</t>
  </si>
  <si>
    <t>e70b7524-2423-474d-9e90-5741ce48932a</t>
  </si>
  <si>
    <t>e7f60f77-b4b3-4c83-91cd-95b622ad46df</t>
  </si>
  <si>
    <t>e7ff8afb-2360-41d6-9dab-1ce6da878f97</t>
  </si>
  <si>
    <t>e8bafef0-8bbc-4ea7-956e-73277bcd8f64</t>
  </si>
  <si>
    <t>e8fed01f-b2d0-4f66-b625-bfdd6179bc8e</t>
  </si>
  <si>
    <t>ec8499b9-bedf-486e-8b83-feaddc78cc4b</t>
  </si>
  <si>
    <t>f03391da-48f5-4988-8c9c-052a40c0cea0</t>
  </si>
  <si>
    <t>f06150d5-501a-4bda-ad62-b71e1aa8ee88</t>
  </si>
  <si>
    <t>f13d3855-5815-4ec7-b5b3-2633b505c0a2</t>
  </si>
  <si>
    <t>f40c1026-0217-4896-beaf-95de60ebe589</t>
  </si>
  <si>
    <t>f46187e7-b99a-4158-908a-e0256addd9f5</t>
  </si>
  <si>
    <t>f4dc1654-9282-4bc4-92d0-026b3adebfca</t>
  </si>
  <si>
    <t>f53546d8-184e-4580-b652-7c2c64c7afec</t>
  </si>
  <si>
    <t>f70faa63-2b49-48b4-af7e-0370247b3dfb</t>
  </si>
  <si>
    <t>f75a0534-6509-4e33-adb0-f3c73f53c865</t>
  </si>
  <si>
    <t>f7f64a4f-9d7f-43fb-b9b3-bee31c6912b3</t>
  </si>
  <si>
    <t>f8a15e69-17cd-444f-97f2-3b6eef050213</t>
  </si>
  <si>
    <t>f9ca80ed-93a5-4448-ac36-a497ce3ce99d</t>
  </si>
  <si>
    <t>fa480210-8f58-4f42-9293-5a342e4e5a6b</t>
  </si>
  <si>
    <t>fa90961d-6818-4d14-8d09-c77f11ae1d82</t>
  </si>
  <si>
    <t>fbdbd15c-4dde-45df-a60f-b69fafca655f</t>
  </si>
  <si>
    <t>fd05a1cf-ced9-43e6-88b6-4a8414c01916</t>
  </si>
  <si>
    <t>fd644946-7835-4911-a80e-729fbeffafa9</t>
  </si>
  <si>
    <t>fdd2535a-5f70-4f2a-8a06-4bcb97909098</t>
  </si>
  <si>
    <t>fea24eb9-7401-4653-823d-8a59bc9e983f</t>
  </si>
  <si>
    <t>ff03d30c-6605-4aa1-942c-9b8ccc8b1a38</t>
  </si>
  <si>
    <t>0b281aa0-e95a-4ac7-88bb-5f0b30f68721</t>
  </si>
  <si>
    <t>0b6c748c-7e9d-4314-ba6d-50c6b63c0ed9</t>
  </si>
  <si>
    <t>0b79a488-438f-402d-b620-b59ef27c5053</t>
  </si>
  <si>
    <t>0dacd985-b468-4efc-96f0-aee6dea30075</t>
  </si>
  <si>
    <t>0f5b63f2-0f62-42cd-b9a0-76faa031748b</t>
  </si>
  <si>
    <t>1020da81-3a3f-4c1d-97d3-1d6b1042565d</t>
  </si>
  <si>
    <t>1055b728-13d6-48b2-b146-fed07dd3d9d8</t>
  </si>
  <si>
    <t>1208e9a6-58d0-4b40-8982-4de68f356e34</t>
  </si>
  <si>
    <t>14094cdd-8e97-4e97-aa0c-0bf38c812417</t>
  </si>
  <si>
    <t>148441d1-5082-4239-8b3b-50ef6bb5acfb</t>
  </si>
  <si>
    <t>16b5c3a5-6128-4dfd-bf9f-a5bf3cf23640</t>
  </si>
  <si>
    <t>16eaf53b-ac77-4168-bbde-80f25bc5d0f4</t>
  </si>
  <si>
    <t>176d49ce-a76a-4bee-8e3d-c29820105566</t>
  </si>
  <si>
    <t>17c6b458-df52-4d0c-bcb3-6b2b54ac18af</t>
  </si>
  <si>
    <t>1885c450-5930-4ce1-b557-36b732a2acca</t>
  </si>
  <si>
    <t>19968c19-1ce8-453d-ad00-186efe0fb6d9</t>
  </si>
  <si>
    <t>1b1aac08-f704-4997-8ec8-fdb809179599</t>
  </si>
  <si>
    <t>1b29faa3-4ab1-4c4e-8854-103b12bf7c15</t>
  </si>
  <si>
    <t>1bf39ea0-9540-46ce-b192-dc020e2093ef</t>
  </si>
  <si>
    <t>1c701aa0-805f-4a90-9ed7-8ac8f1a89901</t>
  </si>
  <si>
    <t>1c91f636-ce32-499c-928d-2a902964b15e</t>
  </si>
  <si>
    <t>1cf75797-47bb-4a68-8108-99d016043ca0</t>
  </si>
  <si>
    <t>20493f0d-4ffd-4a87-aad5-dea0235a3518</t>
  </si>
  <si>
    <t>207d385e-7dc2-46ac-b34e-57aca30ce423</t>
  </si>
  <si>
    <t>208f87df-3acf-4cee-b598-668c654e910b</t>
  </si>
  <si>
    <t>22035d36-7047-426c-b233-b1ce30aa52a9</t>
  </si>
  <si>
    <t>228884d2-942d-4834-a280-2bfffe4beefc</t>
  </si>
  <si>
    <t>253829d1-02b1-44fd-9c0a-0424a489d775</t>
  </si>
  <si>
    <t>2757b8b3-e205-4cec-a7ce-1cb997e6c183</t>
  </si>
  <si>
    <t>2772920b-40b8-4999-afdf-0dcdc8d9b175</t>
  </si>
  <si>
    <t>2900f460-5488-4e90-94a7-0db81149768b</t>
  </si>
  <si>
    <t>299ef3e8-26a6-401d-90d3-cc453a8296de</t>
  </si>
  <si>
    <t>29ad547e-9fcb-47f2-8d40-396c3e464c12</t>
  </si>
  <si>
    <t>2b008bd3-665b-4ca5-91e5-de51d7c8150b</t>
  </si>
  <si>
    <t>2c1ab427-176b-4cef-9d1c-524fc112cd70</t>
  </si>
  <si>
    <t>2ca697f3-8019-4363-b5e0-f6b0ca27a19a</t>
  </si>
  <si>
    <t>2ca7c6ba-3985-4546-9296-bbf6585d1580</t>
  </si>
  <si>
    <t>2ceec6e0-c35d-4a36-9090-b256dd855d3c</t>
  </si>
  <si>
    <t>2d459fa8-dd20-400b-9aeb-d9dfc4fba2fc</t>
  </si>
  <si>
    <t>2d73eee3-6631-4584-82b0-f5dd11c8bba1</t>
  </si>
  <si>
    <t>2e59ee3e-bede-483a-adf9-a47824213ff4</t>
  </si>
  <si>
    <t>2e7217ea-b4b2-4937-bbbe-9b26da4abf95</t>
  </si>
  <si>
    <t>2ec89c2c-7a23-4bf7-a791-095032fe09ec</t>
  </si>
  <si>
    <t>2fb3499e-aae4-4ece-b146-8971073292ad</t>
  </si>
  <si>
    <t>30974220-feb9-49cd-a8dd-9230dcb6aa75</t>
  </si>
  <si>
    <t>329b238a-10f0-4f18-a2c0-cdc1a56979d5</t>
  </si>
  <si>
    <t>32ebc2ab-c3d3-4679-b43f-20a9408c8914</t>
  </si>
  <si>
    <t>331106aa-68fe-4e2b-b4f8-5a662da2fbb5</t>
  </si>
  <si>
    <t>3369804c-7346-4b34-9841-4fa13f84beaf</t>
  </si>
  <si>
    <t>348529b1-ad75-4405-911f-33e0bca09825</t>
  </si>
  <si>
    <t>355d145f-0a6a-44f9-b053-c504f533f43c</t>
  </si>
  <si>
    <t>362d9cad-8e34-4284-95a7-67ef19b8d884</t>
  </si>
  <si>
    <t>377f2a7a-b307-4212-afe3-278456de4395</t>
  </si>
  <si>
    <t>379376bb-c4f2-47b3-a621-32ad2c35c335</t>
  </si>
  <si>
    <t>3942e8fc-02d0-4a9c-85b4-9764916e6c41</t>
  </si>
  <si>
    <t>39d229c8-8d0c-4609-a8c1-c7abeb5a0055</t>
  </si>
  <si>
    <t>39e7b993-e96d-4026-9d24-9610335a757d</t>
  </si>
  <si>
    <t>3acf5cdd-0afa-4346-972f-be2fae41e352</t>
  </si>
  <si>
    <t>3b70ece9-ed87-4625-ae6b-18f65f444e04</t>
  </si>
  <si>
    <t>3ba80d46-54eb-4ad8-8a72-9fad037575dd</t>
  </si>
  <si>
    <t>3bbccbf5-51d5-49b0-9549-73997d0fe8a4</t>
  </si>
  <si>
    <t>3bf76c32-768e-488c-bb45-87e39e427713</t>
  </si>
  <si>
    <t>3c346a70-228f-44da-8a7a-e87bbd46fcd0</t>
  </si>
  <si>
    <t>3e4dacd3-0a59-4201-8a7b-1335ca737257</t>
  </si>
  <si>
    <t>3e5f666e-facb-48dd-b7c0-506cda341aac</t>
  </si>
  <si>
    <t>3f660904-41fc-47bc-b94b-3b1ab19eaf16</t>
  </si>
  <si>
    <t>40345087-1a81-445c-9d22-004aa529edf1</t>
  </si>
  <si>
    <t>427a56aa-57a0-45d8-8ddb-d7f0fa764684</t>
  </si>
  <si>
    <t>431aa6c8-36c4-465f-b01c-41fa614ecf03</t>
  </si>
  <si>
    <t>43245b37-c0f9-4e79-9255-e0b3fea3c1fb</t>
  </si>
  <si>
    <t>44322653-79be-4374-abb4-10bdb0174b98</t>
  </si>
  <si>
    <t>45d40cc4-0e19-4768-8ec9-9b907c0eb4f9</t>
  </si>
  <si>
    <t>48176f24-4bba-49a6-be13-edf7c242b100</t>
  </si>
  <si>
    <t>49139cd2-251a-43d0-9d6b-7aaf5f707d84</t>
  </si>
  <si>
    <t>49897d70-c3d1-49d7-b42a-e22edb23b060</t>
  </si>
  <si>
    <t>4a4a0f23-f527-4442-8702-7148dd226ed9</t>
  </si>
  <si>
    <t>4a735afb-a931-4c43-8d03-adf813183d07</t>
  </si>
  <si>
    <t>4a9bcb74-3f40-408e-8593-6d8b47eafa30</t>
  </si>
  <si>
    <t>4aa26774-d949-480d-9b51-e3dc9e739fef</t>
  </si>
  <si>
    <t>4af18264-2c7a-4166-95db-34475583f0fb</t>
  </si>
  <si>
    <t>4ca40fcd-3852-422f-8d7d-6e0fc46dd84d</t>
  </si>
  <si>
    <t>4d29f703-1ae3-4564-8b35-cfc2b63ba604</t>
  </si>
  <si>
    <t>4d77956b-40a8-470c-9b1d-269edc8372a7</t>
  </si>
  <si>
    <t>4d813368-82f1-4550-bc8f-4f5e5bf4cd71</t>
  </si>
  <si>
    <t>4da089b0-25b1-4647-9d03-f4de1712020b</t>
  </si>
  <si>
    <t>504514ec-b24e-4c64-8393-e89097af8bd1</t>
  </si>
  <si>
    <t>50b2f696-e3eb-4393-ae93-eaf7c3665c7f</t>
  </si>
  <si>
    <t>50cc9e76-2576-4834-bb5d-a4eeae8c74a9</t>
  </si>
  <si>
    <t>5189cec8-b05b-4964-804a-245b8db48b47</t>
  </si>
  <si>
    <t>535c2bd2-88f5-4c9d-8266-4230bf9e234d</t>
  </si>
  <si>
    <t>55c1b0ee-5d38-4c66-9105-a06d70014cec</t>
  </si>
  <si>
    <t>55c6cddf-5015-4ce7-a292-a0ede607402a</t>
  </si>
  <si>
    <t>5663da46-0db3-4fc7-8bb2-b1cd0c08526d</t>
  </si>
  <si>
    <t>56f8e1b8-1778-4b1e-95f0-fc6b1f9d9473</t>
  </si>
  <si>
    <t>59c1b11b-8bb6-41b0-b880-5d5df8de7ff9</t>
  </si>
  <si>
    <t>5a41ccbc-fa99-4e0a-938f-99c5dbe9fd91</t>
  </si>
  <si>
    <t>5b68e3ee-6134-4afd-9429-1614aca1e1f9</t>
  </si>
  <si>
    <t>5b816cfa-68b9-4446-9f31-a5ac8c12ca18</t>
  </si>
  <si>
    <t>5bc31733-6da6-483e-9733-106d05861473</t>
  </si>
  <si>
    <t>5c7908bd-005e-4cb4-8cea-925349a2e9f5</t>
  </si>
  <si>
    <t>5ca69d2d-4ea1-4ef7-b318-450dbaca9d86</t>
  </si>
  <si>
    <t>5d11d2dd-bc13-4eea-b0df-19a8622d18d3</t>
  </si>
  <si>
    <t>5f13869f-814c-489c-abae-892c6b64b747</t>
  </si>
  <si>
    <t>61555f3d-68b4-43f7-b361-f37d1b1a250b</t>
  </si>
  <si>
    <t>62a59630-b78d-4460-ab94-5b9e9ae1be39</t>
  </si>
  <si>
    <t>63ccda05-8f17-4c8c-9afa-acd8a55d8260</t>
  </si>
  <si>
    <t>664ae59c-8875-40ff-8af1-4be4133848ed</t>
  </si>
  <si>
    <t>669f116d-c1ab-4280-b2ac-36716b15c429</t>
  </si>
  <si>
    <t>673be7cf-e140-4d78-bcb0-716fb6298a03</t>
  </si>
  <si>
    <t>67514bb6-b2e2-49c5-b244-7d2db5645aa0</t>
  </si>
  <si>
    <t>67990e2e-ff49-49c6-8f0b-ffa2a1756c8a</t>
  </si>
  <si>
    <t>679aeb47-fe7d-49ec-84e3-fe4e0da5b6ab</t>
  </si>
  <si>
    <t>683fc2c3-d770-4af3-afab-9be1e45dcc27</t>
  </si>
  <si>
    <t>6ad839cb-7070-44fe-b06a-29b45fd54460</t>
  </si>
  <si>
    <t>6b4d9ed5-c718-4453-b28d-3a95845994db</t>
  </si>
  <si>
    <t>6ba6156f-6ade-4cf7-b8f7-dc3ea90da5dc</t>
  </si>
  <si>
    <t>6bb8e7c5-1afd-41bb-bb58-bf3dc42b877e</t>
  </si>
  <si>
    <t>6d825416-a07b-40f5-98f8-6cce5ec949d2</t>
  </si>
  <si>
    <t>6d8f105d-f445-4fc6-bea0-6b870f64b32b</t>
  </si>
  <si>
    <t>6d9cd298-f949-414d-8965-9f4cddc1e41d</t>
  </si>
  <si>
    <t>6dddc869-dfe6-4f29-a41a-c19682c76150</t>
  </si>
  <si>
    <t>6e037c7f-1aa5-4601-9751-17e86ea36a4c</t>
  </si>
  <si>
    <t>6e7d1137-ce68-496c-81ec-bcfddef8dedf</t>
  </si>
  <si>
    <t>6f46abd5-f240-42c4-81d1-3a0e15b2f20f</t>
  </si>
  <si>
    <t>6fe61f0f-2469-49b1-bade-fb68a95013c7</t>
  </si>
  <si>
    <t>719c8a88-3051-47a1-8d5c-08723f657590</t>
  </si>
  <si>
    <t>72df85cf-842c-4168-9f9f-13a737da1035</t>
  </si>
  <si>
    <t>743508f9-4512-4e46-895c-204bf91a8f9c</t>
  </si>
  <si>
    <t>74716719-bcb9-4da0-8e34-c8c95a8fcfd2</t>
  </si>
  <si>
    <t>75222119-3b6b-4f04-b3cb-9bc2613ef2eb</t>
  </si>
  <si>
    <t>7627ee12-1ca9-4c69-99ff-a8000993799d</t>
  </si>
  <si>
    <t>789ebb36-37ee-4f5d-9b56-01424b6f81ed</t>
  </si>
  <si>
    <t>7cd49731-1fd6-43e7-92c8-c22f0d7d891e</t>
  </si>
  <si>
    <t>7d592efc-e025-4333-b2bf-2cff18c1529a</t>
  </si>
  <si>
    <t>7dc33870-9c89-45c8-b746-c03dc797d911</t>
  </si>
  <si>
    <t>7e5bea9a-eb6c-49f4-91b9-fa63d12b74cc</t>
  </si>
  <si>
    <t>7fef33bd-b7ee-4255-990b-118bbeacb2e2</t>
  </si>
  <si>
    <t>80015255-aa00-4972-8818-b9d57398c1e3</t>
  </si>
  <si>
    <t>82fbd9d9-f086-455b-885d-bc212697b995</t>
  </si>
  <si>
    <t>837c7447-8d5b-4770-a892-890b1e021da1</t>
  </si>
  <si>
    <t>83da5202-8e30-4297-bb19-897886ff4364</t>
  </si>
  <si>
    <t>84dbe537-fd84-485f-99ec-66d50d734062</t>
  </si>
  <si>
    <t>8510b712-4263-46eb-8f42-d5f778b6514d</t>
  </si>
  <si>
    <t>85356cac-ab0a-4eba-803c-9f1b9383d080</t>
  </si>
  <si>
    <t>8566ab46-ea3a-4c7c-b0ef-85a4dd693224</t>
  </si>
  <si>
    <t>876d70a9-0d30-4ead-adda-bb8f3f8b46b1</t>
  </si>
  <si>
    <t>887bfc93-55ab-436e-ab64-f8c5570fda32</t>
  </si>
  <si>
    <t>88eddc35-d73e-4375-9052-d05037506531</t>
  </si>
  <si>
    <t>89182faf-35a1-4ee5-a0f1-991efb835174</t>
  </si>
  <si>
    <t>8b0b7083-a96c-457b-9812-c99fde39f68e</t>
  </si>
  <si>
    <t>8c05f08c-9e6f-4b35-98a3-8ac8e6adac9f</t>
  </si>
  <si>
    <t>8c35a248-c843-44b7-b097-08547c98468d</t>
  </si>
  <si>
    <t>8c577550-b80d-4fd2-98ae-d37986f7dd22</t>
  </si>
  <si>
    <t>8cd5895c-2d00-4492-9bc8-01ae8749a3ff</t>
  </si>
  <si>
    <t>8d1b5e90-f655-486e-a429-3f3fbbbe701c</t>
  </si>
  <si>
    <t>90956125-94ae-4975-ac04-52b1d7a3ba8f</t>
  </si>
  <si>
    <t>92a6e1c0-7352-4bbb-8d39-7bc5ab92cfec</t>
  </si>
  <si>
    <t>95800ae3-de09-4fa8-8404-0158bf1ad1ff</t>
  </si>
  <si>
    <t>96f8b6c0-debb-4363-ba4b-f1d5c5b0a636</t>
  </si>
  <si>
    <t>98635747-8c7c-43d6-b2ea-1528959f9764</t>
  </si>
  <si>
    <t>99b7d850-02a3-460b-8ca5-5f8537f60d4e</t>
  </si>
  <si>
    <t>9ab52bf8-5ea8-447d-a6ed-7f20c87d7771</t>
  </si>
  <si>
    <t>9ae9b01e-4356-432a-acdc-d31152bd4f87</t>
  </si>
  <si>
    <t>9b81999d-b845-4082-9a03-61b9663a8604</t>
  </si>
  <si>
    <t>9d5bff86-cb8c-4892-b991-f9f673b94b8e</t>
  </si>
  <si>
    <t>9da64269-a2f7-4ffc-93f5-1feb6a14879e</t>
  </si>
  <si>
    <t>a01ed0d1-59b2-423f-963a-ff39c935dcf9</t>
  </si>
  <si>
    <t>a1b97e0c-d258-40cf-8080-5d72f349c022</t>
  </si>
  <si>
    <t>a4e9ef0f-e295-4d02-a042-96e4ceeab9a4</t>
  </si>
  <si>
    <t>a530e9ea-5eb0-4e80-aaf7-9868d375ac8e</t>
  </si>
  <si>
    <t>a537c981-7609-4929-88ee-054615bcf74d</t>
  </si>
  <si>
    <t>a5dd5dbf-c50f-42c5-8602-e851a3af5ec1</t>
  </si>
  <si>
    <t>a6d60a26-da57-4b10-8140-7b0295403963</t>
  </si>
  <si>
    <t>a7a76989-121d-460f-b9ce-5d42bdd5e295</t>
  </si>
  <si>
    <t>a9519149-8eef-4f43-89be-c1167e69195b</t>
  </si>
  <si>
    <t>aac4d6b0-049c-45fe-ae78-12d91d5da5d3</t>
  </si>
  <si>
    <t>acdcfdeb-2e9e-4937-9692-d4c7cd5bb1b6</t>
  </si>
  <si>
    <t>ad1b197e-9660-46ef-95e8-17e4b70d82d4</t>
  </si>
  <si>
    <t>ad6e3e9c-ef93-438e-8ece-3eb821ea7dcc</t>
  </si>
  <si>
    <t>aeeb9fc1-e991-437a-8ffe-0fe5ec29dd7d</t>
  </si>
  <si>
    <t>af619512-094a-41eb-896a-d146f4ffef4a</t>
  </si>
  <si>
    <t>b01bf647-e408-4e1f-a428-2ca17578afb3</t>
  </si>
  <si>
    <t>b178a7fd-ec15-4fa4-b5d5-5b89a8f08051</t>
  </si>
  <si>
    <t>b25160ad-1b24-4519-b3bc-59bfa9f46b4a</t>
  </si>
  <si>
    <t>b28352b8-1db6-440e-bfb5-023fb935fb5c</t>
  </si>
  <si>
    <t>b360d4aa-a9d9-4447-84b3-bbd34f8652da</t>
  </si>
  <si>
    <t>b3af6200-25c1-4c56-b46c-4368626faf07</t>
  </si>
  <si>
    <t>b40901c5-ba31-4ed5-b309-83476335d597</t>
  </si>
  <si>
    <t>b4e3c20f-6f50-4db4-86d8-3bf8c1c8de27</t>
  </si>
  <si>
    <t>b4e4c75d-9bb2-4735-84ee-4ac42be24b0c</t>
  </si>
  <si>
    <t>b659e4f8-3fe9-4d7d-82c1-4410dfebec3d</t>
  </si>
  <si>
    <t>b69a5a49-87c9-4a1a-a009-65f17c4d2d61</t>
  </si>
  <si>
    <t>b69e3e9f-0a48-402d-84fd-738e63990676</t>
  </si>
  <si>
    <t>b6d902a2-9d11-4034-8a46-9f6893c64193</t>
  </si>
  <si>
    <t>b89b202a-8c3c-4368-8fc8-375d0f9fc978</t>
  </si>
  <si>
    <t>b909e77b-46f9-44f7-835a-a8b2e4ecdfd9</t>
  </si>
  <si>
    <t>b91b0b2e-e9dc-44c2-b196-3eec1e02e736</t>
  </si>
  <si>
    <t>b9d5987a-124e-4608-a5d8-d12ec1e0210f</t>
  </si>
  <si>
    <t>ba4470d7-4878-41d7-b267-88bb0a2f8e05</t>
  </si>
  <si>
    <t>bad54c11-0b75-4319-8035-46f53364f60f</t>
  </si>
  <si>
    <t>bc0febdf-6a50-445d-a0e1-ae6569d5efa3</t>
  </si>
  <si>
    <t>bd1e88b7-5b75-43d6-a475-d82874a26872</t>
  </si>
  <si>
    <t>bd57bcc0-363a-4460-9c86-38a66574b61d</t>
  </si>
  <si>
    <t>be485b84-30ad-4bdd-b20c-30d72809c10b</t>
  </si>
  <si>
    <t>be787677-b9ec-44b4-8843-f33ae0fa477a</t>
  </si>
  <si>
    <t>bf100300-f10a-4950-ba6e-5f7968b75212</t>
  </si>
  <si>
    <t>bf456fe8-58f9-405f-b94d-ff7fe3341c92</t>
  </si>
  <si>
    <t>bf5b71d2-d8c5-43a5-b48b-0a74e15782fa</t>
  </si>
  <si>
    <t>c0e5a484-9093-4286-8c5a-7a63beb58b52</t>
  </si>
  <si>
    <t>c18fc398-a30a-470e-a6d0-3441876fdc44</t>
  </si>
  <si>
    <t>c28fea7c-f310-45e5-9acf-c45a71eb903d</t>
  </si>
  <si>
    <t>c2ef72db-10ab-43e7-a8f3-5adb1163b91a</t>
  </si>
  <si>
    <t>c4c6b117-f4d4-464a-a089-acef930cc902</t>
  </si>
  <si>
    <t>c5c80029-8a2e-4b39-96da-120432009ccc</t>
  </si>
  <si>
    <t>c75daa36-0209-4497-bd5d-61af453dc4ef</t>
  </si>
  <si>
    <t>c7bd6994-34fa-441c-9ab0-fe5af4328550</t>
  </si>
  <si>
    <t>c86e4d22-11ec-4dec-bcb0-655322f9a65f</t>
  </si>
  <si>
    <t>c98db330-3e68-464f-9ed0-27348a070a89</t>
  </si>
  <si>
    <t>c998ae2e-15f2-42bd-b6d3-c0401b280e0b</t>
  </si>
  <si>
    <t>ccaab0b6-ca8d-4f04-b40e-6d03dd9ae5f2</t>
  </si>
  <si>
    <t>cdc45acc-9bac-4d18-b82c-ad1f2be287de</t>
  </si>
  <si>
    <t>cdf5c7cb-8522-4474-9c28-49eafe138615</t>
  </si>
  <si>
    <t>ce730634-76df-4ba6-b2c7-bb9117ce6aa4</t>
  </si>
  <si>
    <t>cf2aef0d-5d49-467e-91f7-6c2cc0120143</t>
  </si>
  <si>
    <t>d165a8cb-eed0-40c0-8862-245f0aa4c83c</t>
  </si>
  <si>
    <t>d27b17f8-4164-4b9f-9d8f-829b2139caf6</t>
  </si>
  <si>
    <t>d2c2a82d-e2ca-4338-a27c-2c3158465d6f</t>
  </si>
  <si>
    <t>d330777a-6231-4c4b-8794-a8e8f203e8bc</t>
  </si>
  <si>
    <t>d3730e55-4c05-4ae0-859e-c358283e0d78</t>
  </si>
  <si>
    <t>d3f7a578-aa51-4fab-b43d-dfcc218a7dd5</t>
  </si>
  <si>
    <t>d4003ea2-5abc-4462-8bc1-2b9694b586dd</t>
  </si>
  <si>
    <t>d46649cf-598f-4bd2-8dea-c9c201395813</t>
  </si>
  <si>
    <t>d4af3c9e-4a79-4170-a69d-3f7bdc4549a2</t>
  </si>
  <si>
    <t>d5169a5e-bc4e-4827-b910-c44b9d9014a9</t>
  </si>
  <si>
    <t>d547824e-6862-47de-bde3-48d5fb841110</t>
  </si>
  <si>
    <t>d731d376-fe4a-4958-bba5-4e34c50fe49a</t>
  </si>
  <si>
    <t>d77cd6c4-d8c4-41ea-9579-b4a742ac5184</t>
  </si>
  <si>
    <t>d839aba3-d247-4ef6-b750-3397c4e0e55a</t>
  </si>
  <si>
    <t>d8d6cc83-e109-45b1-b0da-38fdf570b3d9</t>
  </si>
  <si>
    <t>d8f19715-0ab8-42a4-b754-8aaa37a5f24c</t>
  </si>
  <si>
    <t>daa4b15c-c127-4c4a-9e82-99148274656d</t>
  </si>
  <si>
    <t>db8a8f23-8492-4c0c-80e9-9e8bee10cb1d</t>
  </si>
  <si>
    <t>dcfcb604-7186-42e3-9d9e-a26a84829a6f</t>
  </si>
  <si>
    <t>ddc1d041-1f8d-43cc-8c52-4cabf897f31c</t>
  </si>
  <si>
    <t>de7602ab-2ccb-4de9-9046-54664da11adc</t>
  </si>
  <si>
    <t>de97e5bd-1dd9-4469-9171-26fe05f1ac15</t>
  </si>
  <si>
    <t>df851cb0-1dd1-4771-9236-82ff0aa3eea3</t>
  </si>
  <si>
    <t>e06e5517-7efd-4971-bb68-048fa7c7abb6</t>
  </si>
  <si>
    <t>e1a18283-3239-4591-8925-0e8bf4380bfe</t>
  </si>
  <si>
    <t>e24ebd30-777f-40d7-b053-fb45b40c4415</t>
  </si>
  <si>
    <t>e33a47f4-48cd-420b-92ba-41cfe49a3467</t>
  </si>
  <si>
    <t>e41ddd33-9e93-4b26-8206-259cdbe51847</t>
  </si>
  <si>
    <t>e6de9456-7cbf-47e4-9072-a29ec1b7814e</t>
  </si>
  <si>
    <t>e7436215-75e1-410d-a3ee-e9083e3e3973</t>
  </si>
  <si>
    <t>e7714ff4-bb5c-4948-9bb9-51df7e075c12</t>
  </si>
  <si>
    <t>e8239f46-5b37-439c-98fd-bfbc9b1e4b02</t>
  </si>
  <si>
    <t>e98f239e-4648-491b-9c59-a911f9bccebe</t>
  </si>
  <si>
    <t>ec3b725d-6f1a-458d-825c-8369ef8df8ae</t>
  </si>
  <si>
    <t>ec6307fa-87dd-4c22-b0bb-31be699e48f3</t>
  </si>
  <si>
    <t>eeb69047-3f3a-43e8-966d-370b8640815b</t>
  </si>
  <si>
    <t>f0cd8cba-8a67-4f21-ae92-3391a5c9fdb5</t>
  </si>
  <si>
    <t>f0e257af-390c-40a6-8e66-141980e2523c</t>
  </si>
  <si>
    <t>f207468c-5dfa-44fd-a933-cdb70195829a</t>
  </si>
  <si>
    <t>f2300a73-b268-4628-93c7-0d628701a9a4</t>
  </si>
  <si>
    <t>f2659190-7cce-408c-bc97-bc5ed336e90e</t>
  </si>
  <si>
    <t>f2a41790-5740-45ca-a0d3-6d7b26016fb0</t>
  </si>
  <si>
    <t>f2bcc632-4479-42fc-b2b2-a2abb8e3c743</t>
  </si>
  <si>
    <t>f3476596-6434-45c1-ac79-bf2e68c113a0</t>
  </si>
  <si>
    <t>f387d385-e8d2-49ff-9cd5-bd0a76b77cf6</t>
  </si>
  <si>
    <t>f43423d0-0906-4a16-ae0f-571820e44695</t>
  </si>
  <si>
    <t>f4753f0a-295c-41e9-b18c-900a32fc2bad</t>
  </si>
  <si>
    <t>f5546936-dbd8-4d12-807e-0f5faed69020</t>
  </si>
  <si>
    <t>f5882ef0-9b6a-4578-bd10-5ba2f899cacf</t>
  </si>
  <si>
    <t>f5f689e6-d4d0-436e-b37c-031b9dba8d49</t>
  </si>
  <si>
    <t>f5fe2c59-a720-4c8e-b7c2-f318a6239bb6</t>
  </si>
  <si>
    <t>f8034cd6-c4ff-4d78-9158-b3b5d61eeb21</t>
  </si>
  <si>
    <t>f8ee9285-2f20-4b0c-a218-6949c6fcf196</t>
  </si>
  <si>
    <t>f9038374-e6a7-435f-8b8d-b892f575a5d8</t>
  </si>
  <si>
    <t>fb1264cf-8f27-4d3a-a899-a8ea5ad041dc</t>
  </si>
  <si>
    <t>fc88c113-7a24-4ebd-ac70-c4963d444b97</t>
  </si>
  <si>
    <t>fd5471e2-b2d8-473a-8129-6e7f6a36a4de</t>
  </si>
  <si>
    <t>feae4cbf-30bf-4312-a5fe-b0e545ae6936</t>
  </si>
  <si>
    <t>ffb7611e-cc0c-428a-a97a-e51498d8ef29</t>
  </si>
  <si>
    <t>03896068-b5c3-4859-be77-13a0e44588cf</t>
  </si>
  <si>
    <t>043a7ad3-df61-47ae-83ee-37ea6231f5c6</t>
  </si>
  <si>
    <t>0620bb90-ffe8-4376-8c7b-5b0d666e8890</t>
  </si>
  <si>
    <t>067d349f-2f23-4513-898f-c919b1314c0b</t>
  </si>
  <si>
    <t>0c6b00e8-9abb-4945-b236-db622765bd68</t>
  </si>
  <si>
    <t>0f431f6a-95eb-4eed-ad12-789dd1ddf167</t>
  </si>
  <si>
    <t>0ffa7f7f-89d4-4d54-a5a0-029be7e96cb1</t>
  </si>
  <si>
    <t>12a9ccd4-844d-465a-b6cc-334a283ee3dd</t>
  </si>
  <si>
    <t>1737a9bb-f69e-418f-a561-ca8b2bb947cf</t>
  </si>
  <si>
    <t>17d1580a-f432-4ddc-8ecd-64a54aeb5052</t>
  </si>
  <si>
    <t>17efb0f5-1cbd-4bee-ac66-5c53ccd85f32</t>
  </si>
  <si>
    <t>197ed949-c8f2-45ba-a064-3b040980cb85</t>
  </si>
  <si>
    <t>225012fe-8c60-4110-b518-b5488844846f</t>
  </si>
  <si>
    <t>233fa8c3-9a61-4b5a-9bff-4ec80cf389b8</t>
  </si>
  <si>
    <t>24105d9b-30ed-451d-83c1-db3dd8f0eecb</t>
  </si>
  <si>
    <t>2541527e-6aac-4e35-820a-41d6bf54a448</t>
  </si>
  <si>
    <t>25e4b932-f860-4e21-b240-8b9f70602110</t>
  </si>
  <si>
    <t>28bf2053-34dd-4759-9114-ffcf173fd8fb</t>
  </si>
  <si>
    <t>2bdd0e6b-f55d-4d16-ad7e-0e46f79e6dd1</t>
  </si>
  <si>
    <t>2c82d083-aaa0-48a3-8f4e-588d8a3f72c2</t>
  </si>
  <si>
    <t>2e5bb8bd-0718-42cd-86bd-b3ea697275d3</t>
  </si>
  <si>
    <t>2e6162c9-6c0c-4537-900f-9ed0bccb9af7</t>
  </si>
  <si>
    <t>2fca8009-d6b6-4eee-93ac-679b01f6367f</t>
  </si>
  <si>
    <t>31442bca-5283-4f04-81c7-bd66585807b1</t>
  </si>
  <si>
    <t>32ecfa31-a58c-4db7-b5a9-5daee528fb52</t>
  </si>
  <si>
    <t>3a5e718c-3c74-42be-9a80-9dc9459d382c</t>
  </si>
  <si>
    <t>3a74485c-da34-40ff-9ca0-1c209999d373</t>
  </si>
  <si>
    <t>3b979793-e3b1-4265-a83f-fc5786c8003f</t>
  </si>
  <si>
    <t>3ef02ccb-eb1a-43e7-aac2-fe70a5b83bee</t>
  </si>
  <si>
    <t>4796b8e1-a029-4d5d-b02e-101bd18f7969</t>
  </si>
  <si>
    <t>48025843-b11b-4c32-8258-24a8ae8b67f5</t>
  </si>
  <si>
    <t>48f5a663-a674-4079-be1a-d323862be9a2</t>
  </si>
  <si>
    <t>4b178226-4eef-427a-9160-646bdc3211d1</t>
  </si>
  <si>
    <t>4f91d6a7-bfe7-41ea-91c1-21fb2ad02887</t>
  </si>
  <si>
    <t>5189e2fd-68fe-4e08-a58a-4387fe2c6daa</t>
  </si>
  <si>
    <t>5391a8b9-47e9-4be6-b2fc-568074c8427a</t>
  </si>
  <si>
    <t>595de976-2ba9-49dc-921f-2106311e3997</t>
  </si>
  <si>
    <t>5981e2e5-0978-4e31-80d2-655d12f8c00e</t>
  </si>
  <si>
    <t>5a48f461-b50e-4ed7-83df-bac446b6fe92</t>
  </si>
  <si>
    <t>5c45f0c9-0d9f-4714-b440-bec2adeaaddb</t>
  </si>
  <si>
    <t>6034c0bf-1637-47b0-ae48-67c2c974cb90</t>
  </si>
  <si>
    <t>617158c1-f735-484b-ac35-c73254541fee</t>
  </si>
  <si>
    <t>6256fc65-88fc-45d2-b391-65eef332c844</t>
  </si>
  <si>
    <t>625dcb8e-7391-4b98-93f2-6283023d79b0</t>
  </si>
  <si>
    <t>649ffbb6-73c5-4652-bdf4-f7d3275e13e2</t>
  </si>
  <si>
    <t>66d20974-6732-4a86-b25b-1bb1827b9a02</t>
  </si>
  <si>
    <t>77324f1e-ef88-48d6-a224-008269ccdf11</t>
  </si>
  <si>
    <t>7779e4a9-4ab5-4be0-98f9-e620c94c4f32</t>
  </si>
  <si>
    <t>7b821e91-de4f-47c5-a953-617cee7ce0ef</t>
  </si>
  <si>
    <t>7b99b54a-0116-44f3-91e9-9bfda7c2d8be</t>
  </si>
  <si>
    <t>7e6dc2f1-d714-4281-977f-e3ed7847429d</t>
  </si>
  <si>
    <t>8012b81d-a2c1-4d9d-9113-d232c7090385</t>
  </si>
  <si>
    <t>802c1e12-f555-4dae-b76c-13bcf1981260</t>
  </si>
  <si>
    <t>805abb16-417b-449e-ab32-336d68c80ed0</t>
  </si>
  <si>
    <t>81667632-e967-45f6-b06b-696090fcc8ed</t>
  </si>
  <si>
    <t>83151e61-5f79-4904-9f27-4afe8e325251</t>
  </si>
  <si>
    <t>840c3225-78a7-4763-8be0-e180b4c0dda5</t>
  </si>
  <si>
    <t>860c2e1f-ab06-4816-8757-54f451a08cc6</t>
  </si>
  <si>
    <t>8938f25e-a0db-43ac-aaeb-388111f0914a</t>
  </si>
  <si>
    <t>89791eda-eb54-4f3a-9963-ba924291e9e1</t>
  </si>
  <si>
    <t>8eca00d2-5582-41d9-8334-05ba253516b0</t>
  </si>
  <si>
    <t>8f7a40bc-9b36-4dda-91af-3fd3cce55540</t>
  </si>
  <si>
    <t>9140df32-32ab-434e-86be-dd382e4f4e65</t>
  </si>
  <si>
    <t>92e95e3e-e898-411e-9ffa-2f6fd114d4c3</t>
  </si>
  <si>
    <t>93cc8a56-2a09-41c3-a2d0-5d1529ed1e1f</t>
  </si>
  <si>
    <t>9541450e-a580-4a61-8353-c8a970873767</t>
  </si>
  <si>
    <t>96da5081-34fe-4877-819b-12da3d6c585d</t>
  </si>
  <si>
    <t>97d6d387-31f4-4814-95e2-30f120f2c3a2</t>
  </si>
  <si>
    <t>9b499d9c-07bb-49cc-9195-26b01296e7ac</t>
  </si>
  <si>
    <t>9c64e794-0d97-4b4f-a17b-7603b6f0ab44</t>
  </si>
  <si>
    <t>9c8a994a-9c6a-40fa-be84-dbb394edcb1b</t>
  </si>
  <si>
    <t>9decb4b6-9b77-4da1-aa70-bfbb22ae7e7c</t>
  </si>
  <si>
    <t>9f4ece7b-4a52-43ab-a497-3ac2e2e8e0b0</t>
  </si>
  <si>
    <t>a1c95e98-bc2e-45a0-ba1a-96e07a1897d1</t>
  </si>
  <si>
    <t>ab99e204-364e-4d73-b86e-497e6e32a924</t>
  </si>
  <si>
    <t>ae4451f8-d51d-4ed8-9866-64f46f10b8fb</t>
  </si>
  <si>
    <t>b34130e9-6b32-4f46-ac2f-dd763adc065c</t>
  </si>
  <si>
    <t>b52b595a-d343-4682-a6fc-85c0ee55ccfa</t>
  </si>
  <si>
    <t>b60c6f37-3e8d-4e0a-8c51-db9e827601f3</t>
  </si>
  <si>
    <t>b7822ca9-524d-428b-8e3f-973f2b07a74d</t>
  </si>
  <si>
    <t>ba8c227a-11e4-40e6-b8f1-790e07206261</t>
  </si>
  <si>
    <t>babdf30b-a604-453d-8120-dc3ff8e2c042</t>
  </si>
  <si>
    <t>bbdae8e9-f1c0-42e1-a50c-8f2790d957df</t>
  </si>
  <si>
    <t>bccc59c0-80f5-4ddb-b582-c2e78c539f76</t>
  </si>
  <si>
    <t>be2c024e-159c-45c2-8f08-57a626d2982c</t>
  </si>
  <si>
    <t>bed6dde9-1824-4eaf-9e81-ecb2c9969cfe</t>
  </si>
  <si>
    <t>c0f36232-d537-45fd-8315-f1a8aac3968e</t>
  </si>
  <si>
    <t>c1cb878f-c5f6-4ccc-a119-0d830448647f</t>
  </si>
  <si>
    <t>c23fb771-15b6-4603-8907-71decc76bcec</t>
  </si>
  <si>
    <t>c33ec38a-9940-4182-9f2d-849ffe17aee6</t>
  </si>
  <si>
    <t>c462fc78-e031-4c4c-97db-33a9b1ebf434</t>
  </si>
  <si>
    <t>c54a1375-02df-4347-b21f-7b4fbcc5a400</t>
  </si>
  <si>
    <t>c9345e57-3e56-4ddc-a4fe-aa3cf98bb236</t>
  </si>
  <si>
    <t>ca740ac3-72e5-4f23-bd12-69872969c4e2</t>
  </si>
  <si>
    <t>d26de408-9d47-4183-aa3a-e28aafa36685</t>
  </si>
  <si>
    <t>d43c22d3-f75b-4e81-8245-757be8fd6a0a</t>
  </si>
  <si>
    <t>d5177e97-ff95-4c97-be8b-85ec4747d8e3</t>
  </si>
  <si>
    <t>d5867eb9-0f17-484a-b5ef-2a5163c2bd06</t>
  </si>
  <si>
    <t>d7202639-e5f9-4d75-a720-864fb40ec2db</t>
  </si>
  <si>
    <t>d76193bb-17aa-4979-ae10-a62a7bfe54d0</t>
  </si>
  <si>
    <t>dbba2936-9f94-4fee-9f49-d8caf4ae5142</t>
  </si>
  <si>
    <t>e1239bda-5bfb-477f-b2c4-40622526bf7a</t>
  </si>
  <si>
    <t>e2518421-d79d-463c-a439-c80fc2448ad0</t>
  </si>
  <si>
    <t>e6744bf0-9327-4920-adcf-00f0725ba6f3</t>
  </si>
  <si>
    <t>e73643c9-2e05-4bbf-a1dc-dc0ed6cd660d</t>
  </si>
  <si>
    <t>e85ff854-0767-422c-9b6c-80dc4ffe95fc</t>
  </si>
  <si>
    <t>e8f0f8ae-1b00-4f7c-b6d5-24d28b1b77ac</t>
  </si>
  <si>
    <t>ea8696ff-99db-4223-abd0-44687bb795f4</t>
  </si>
  <si>
    <t>eab3cd7c-1402-4486-92c2-8cd23d8a2e17</t>
  </si>
  <si>
    <t>f1c77894-162a-451e-88ae-0bf91a9396db</t>
  </si>
  <si>
    <t>f2cacdfc-d6e2-4848-a6a9-bddd22a542b2</t>
  </si>
  <si>
    <t>f7c9b795-86a6-413b-88eb-bb6a5027e40c</t>
  </si>
  <si>
    <t>fa71528c-b06d-4c7e-ba6e-44efac10c5a8</t>
  </si>
  <si>
    <t>fa94a55c-3b9c-4dbd-8107-5199bdf28a45</t>
  </si>
  <si>
    <t>fd1d68b6-3420-41ff-af07-9a4ba3f401e6</t>
  </si>
  <si>
    <t>fe606e42-b366-4f9e-8fad-c8f13b299a28</t>
  </si>
  <si>
    <t>02589e52-89d9-4a9a-972b-6f66936202cc</t>
  </si>
  <si>
    <t>110ec301-dec3-449b-8c0c-9a6fb8727c0e</t>
  </si>
  <si>
    <t>198f89da-11f7-488e-a480-437a262b822f</t>
  </si>
  <si>
    <t>2ab2291d-15f0-47ee-8077-e14e4a495d9d</t>
  </si>
  <si>
    <t>536af39f-e3c4-4c42-89fe-652396e79410</t>
  </si>
  <si>
    <t>5c3bbcac-a9b1-4b24-abdd-db8caa4e4830</t>
  </si>
  <si>
    <t>608b6c26-c538-4e9b-bcc3-9ad1cfe3e9a0</t>
  </si>
  <si>
    <t>6235450a-09cf-42f2-a6ce-8252440c535a</t>
  </si>
  <si>
    <t>651b3c69-c49a-4970-8e48-a5ea4d96aa0c</t>
  </si>
  <si>
    <t>7a002746-a0fc-4480-abf2-5b0e5909dc22</t>
  </si>
  <si>
    <t>7a1738d0-8712-4b63-9cc3-badfad6286f5</t>
  </si>
  <si>
    <t>a8b586da-124f-4476-8a57-918b5c682065</t>
  </si>
  <si>
    <t>bcbabf96-5f80-4999-a029-411714dd24cf</t>
  </si>
  <si>
    <t>c83ae8cd-6a7e-4ae4-9a29-b6562e27298b</t>
  </si>
  <si>
    <t>d4873ee8-c489-4d84-aabc-00e2ffc116f7</t>
  </si>
  <si>
    <t>daf273e6-8ecf-44b5-ba92-5b16cc028cad</t>
  </si>
  <si>
    <t>f8fdf869-123b-4a93-ada2-ae51eae8c915</t>
  </si>
  <si>
    <t>d1000ff9-c027-4a2a-88db-36ea3b48f00d</t>
  </si>
  <si>
    <t>dc6e047a-3e04-41b4-bd6e-28159be80f1d</t>
  </si>
  <si>
    <t>de83cc07-bdee-4f24-bd26-e48566dd7434</t>
  </si>
  <si>
    <t>b7f45948-b08d-41fc-aa03-fa2994dead61</t>
  </si>
  <si>
    <t>b8c662df-0ff6-43c9-96e3-c9b15fbac43e</t>
  </si>
  <si>
    <t>65f8a491-a3fd-4eab-a018-4896840d1ea2</t>
  </si>
  <si>
    <t>6b8a22d2-3d61-44f5-ac83-040172bf2daf</t>
  </si>
  <si>
    <t>6be67fcd-e471-415c-931b-7cebafa53018</t>
  </si>
  <si>
    <t>9f288508-75b4-406c-9f4d-2b526d163cc7</t>
  </si>
  <si>
    <t>a21576f2-a9d8-43c3-85a7-abfe2c717d8f</t>
  </si>
  <si>
    <t>afe0d90c-a5b5-413e-ac7d-fe9c83c0b9dd</t>
  </si>
  <si>
    <t>a85de652-a38d-4997-bdb1-74625315d8ea</t>
  </si>
  <si>
    <t>e438c196-a3cd-4677-b95e-4210f494ae14</t>
  </si>
  <si>
    <t>79749bc4-0c29-4b24-b763-8495563323c6</t>
  </si>
  <si>
    <t>29aa28bb-feee-4255-a886-17e2c2f874ab</t>
  </si>
  <si>
    <t>19e6ef55-7b54-41d4-b564-c30f45893864</t>
  </si>
  <si>
    <t>07e9a8ba-b795-4044-b782-773ded034d79</t>
  </si>
  <si>
    <t>a6641036-31cd-40c6-9484-eb64fa8afd6d</t>
  </si>
  <si>
    <t>9bcf6597-b585-4422-b12e-5967fea192f6</t>
  </si>
  <si>
    <t>399a1658-3184-4982-9079-6356467836b0</t>
  </si>
  <si>
    <t>t</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</si>
</sst>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m/d"/>
    <numFmt numFmtId="165" formatCode="m/d/yyyy"/>
  </numFmts>
  <fonts count="17">
    <font>
      <sz val="10.0"/>
      <color rgb="FF000000"/>
      <name val="Arial"/>
      <scheme val="minor"/>
    </font>
    <font>
      <b/>
      <color rgb="FFFFFFFF"/>
      <name val="Arial"/>
    </font>
    <font>
      <color theme="1"/>
      <name val="Arial"/>
    </font>
    <font>
      <u/>
      <color rgb="FF1155CC"/>
      <name val="Arial"/>
    </font>
    <font>
      <color theme="1"/>
      <name val="Arial"/>
      <scheme val="minor"/>
    </font>
    <font>
      <sz val="10.0"/>
      <color rgb="FF122345"/>
      <name val="Arial"/>
    </font>
    <font>
      <u/>
      <color rgb="FF1155CC"/>
      <name val="Arial"/>
    </font>
    <font>
      <color rgb="FFEA4335"/>
      <name val="Arial"/>
    </font>
    <font>
      <color theme="5"/>
      <name val="Arial"/>
    </font>
    <font>
      <color rgb="FFFF0000"/>
      <name val="Arial"/>
    </font>
    <font>
      <color rgb="FFFF0000"/>
      <name val="Arial"/>
      <scheme val="minor"/>
    </font>
    <font>
      <color rgb="FF000000"/>
      <name val="Arial"/>
    </font>
    <font>
      <b/>
      <color theme="1"/>
      <name val="Arial"/>
    </font>
    <font>
      <b/>
      <color theme="1"/>
      <name val="Arial"/>
      <scheme val="minor"/>
    </font>
    <font>
      <b/>
      <color rgb="FF0000FF"/>
      <name val="Arial"/>
    </font>
    <font>
      <u/>
      <color theme="1"/>
      <name val="Arial"/>
    </font>
    <font>
      <u/>
      <color rgb="FF1155CC"/>
      <name val="Arial"/>
    </font>
  </fonts>
  <fills count="10">
    <fill>
      <patternFill patternType="none"/>
    </fill>
    <fill>
      <patternFill patternType="lightGray"/>
    </fill>
    <fill>
      <patternFill patternType="solid">
        <fgColor rgb="FF073763"/>
        <bgColor rgb="FF073763"/>
      </patternFill>
    </fill>
    <fill>
      <patternFill patternType="solid">
        <fgColor rgb="FFFFFFFF"/>
        <bgColor rgb="FFFFFFFF"/>
      </patternFill>
    </fill>
    <fill>
      <patternFill patternType="solid">
        <fgColor rgb="FFEA9999"/>
        <bgColor rgb="FFEA9999"/>
      </patternFill>
    </fill>
    <fill>
      <patternFill patternType="solid">
        <fgColor rgb="FF000000"/>
        <bgColor rgb="FF000000"/>
      </patternFill>
    </fill>
    <fill>
      <patternFill patternType="solid">
        <fgColor rgb="FF0B5394"/>
        <bgColor rgb="FF0B5394"/>
      </patternFill>
    </fill>
    <fill>
      <patternFill patternType="solid">
        <fgColor rgb="FF8E7CC3"/>
        <bgColor rgb="FF8E7CC3"/>
      </patternFill>
    </fill>
    <fill>
      <patternFill patternType="solid">
        <fgColor rgb="FFA64D79"/>
        <bgColor rgb="FFA64D79"/>
      </patternFill>
    </fill>
    <fill>
      <patternFill patternType="solid">
        <fgColor rgb="FFFFF2CC"/>
        <bgColor rgb="FFFFF2CC"/>
      </patternFill>
    </fill>
  </fills>
  <borders count="1">
    <border/>
  </borders>
  <cellStyleXfs count="1">
    <xf borderId="0" fillId="0" fontId="0" numFmtId="0" applyAlignment="1" applyFont="1"/>
  </cellStyleXfs>
  <cellXfs count="63">
    <xf borderId="0" fillId="0" fontId="0" numFmtId="0" xfId="0" applyAlignment="1" applyFont="1">
      <alignment readingOrder="0" shrinkToFit="0" vertical="bottom" wrapText="0"/>
    </xf>
    <xf borderId="0" fillId="2" fontId="1" numFmtId="0" xfId="0" applyAlignment="1" applyFill="1" applyFont="1">
      <alignment horizontal="center" vertical="bottom"/>
    </xf>
    <xf borderId="0" fillId="2" fontId="1" numFmtId="0" xfId="0" applyAlignment="1" applyFont="1">
      <alignment horizontal="center" shrinkToFit="0" vertical="bottom" wrapText="0"/>
    </xf>
    <xf borderId="0" fillId="2" fontId="1" numFmtId="0" xfId="0" applyAlignment="1" applyFont="1">
      <alignment horizontal="center" readingOrder="0" vertical="bottom"/>
    </xf>
    <xf borderId="0" fillId="0" fontId="2" numFmtId="0" xfId="0" applyAlignment="1" applyFont="1">
      <alignment vertical="bottom"/>
    </xf>
    <xf borderId="0" fillId="0" fontId="3" numFmtId="0" xfId="0" applyAlignment="1" applyFont="1">
      <alignment shrinkToFit="0" vertical="bottom" wrapText="0"/>
    </xf>
    <xf borderId="0" fillId="0" fontId="2" numFmtId="0" xfId="0" applyAlignment="1" applyFont="1">
      <alignment horizontal="center" readingOrder="0" vertical="bottom"/>
    </xf>
    <xf borderId="0" fillId="0" fontId="4" numFmtId="0" xfId="0" applyAlignment="1" applyFont="1">
      <alignment readingOrder="0"/>
    </xf>
    <xf borderId="0" fillId="0" fontId="2" numFmtId="0" xfId="0" applyAlignment="1" applyFont="1">
      <alignment readingOrder="0" vertical="bottom"/>
    </xf>
    <xf borderId="0" fillId="0" fontId="2" numFmtId="0" xfId="0" applyAlignment="1" applyFont="1">
      <alignment horizontal="center" readingOrder="0"/>
    </xf>
    <xf borderId="0" fillId="0" fontId="2" numFmtId="164" xfId="0" applyAlignment="1" applyFont="1" applyNumberFormat="1">
      <alignment readingOrder="0" vertical="bottom"/>
    </xf>
    <xf borderId="0" fillId="3" fontId="5" numFmtId="0" xfId="0" applyAlignment="1" applyFill="1" applyFont="1">
      <alignment horizontal="center" readingOrder="0"/>
    </xf>
    <xf borderId="0" fillId="3" fontId="2" numFmtId="0" xfId="0" applyAlignment="1" applyFont="1">
      <alignment horizontal="center" readingOrder="0" vertical="bottom"/>
    </xf>
    <xf borderId="0" fillId="0" fontId="2" numFmtId="0" xfId="0" applyAlignment="1" applyFont="1">
      <alignment horizontal="center" vertical="bottom"/>
    </xf>
    <xf borderId="0" fillId="0" fontId="6" numFmtId="0" xfId="0" applyAlignment="1" applyFont="1">
      <alignment readingOrder="0" shrinkToFit="0" vertical="bottom" wrapText="0"/>
    </xf>
    <xf borderId="0" fillId="0" fontId="7" numFmtId="0" xfId="0" applyAlignment="1" applyFont="1">
      <alignment readingOrder="0" vertical="bottom"/>
    </xf>
    <xf borderId="0" fillId="0" fontId="8" numFmtId="0" xfId="0" applyAlignment="1" applyFont="1">
      <alignment readingOrder="0" vertical="bottom"/>
    </xf>
    <xf borderId="0" fillId="0" fontId="2" numFmtId="0" xfId="0" applyAlignment="1" applyFont="1">
      <alignment readingOrder="0" shrinkToFit="0" vertical="bottom" wrapText="0"/>
    </xf>
    <xf borderId="0" fillId="0" fontId="9" numFmtId="0" xfId="0" applyAlignment="1" applyFont="1">
      <alignment readingOrder="0" vertical="bottom"/>
    </xf>
    <xf borderId="0" fillId="0" fontId="2" numFmtId="164" xfId="0" applyAlignment="1" applyFont="1" applyNumberFormat="1">
      <alignment horizontal="right" vertical="bottom"/>
    </xf>
    <xf quotePrefix="1" borderId="0" fillId="0" fontId="2" numFmtId="0" xfId="0" applyAlignment="1" applyFont="1">
      <alignment readingOrder="0" vertical="bottom"/>
    </xf>
    <xf borderId="0" fillId="0" fontId="4" numFmtId="0" xfId="0" applyAlignment="1" applyFont="1">
      <alignment horizontal="center" readingOrder="0"/>
    </xf>
    <xf borderId="0" fillId="0" fontId="10" numFmtId="0" xfId="0" applyAlignment="1" applyFont="1">
      <alignment readingOrder="0"/>
    </xf>
    <xf borderId="0" fillId="0" fontId="4" numFmtId="164" xfId="0" applyAlignment="1" applyFont="1" applyNumberFormat="1">
      <alignment readingOrder="0"/>
    </xf>
    <xf borderId="0" fillId="0" fontId="2" numFmtId="0" xfId="0" applyAlignment="1" applyFont="1">
      <alignment horizontal="right" vertical="bottom"/>
    </xf>
    <xf borderId="0" fillId="0" fontId="2" numFmtId="164" xfId="0" applyAlignment="1" applyFont="1" applyNumberFormat="1">
      <alignment horizontal="right" readingOrder="0" vertical="bottom"/>
    </xf>
    <xf quotePrefix="1" borderId="0" fillId="0" fontId="4" numFmtId="0" xfId="0" applyAlignment="1" applyFont="1">
      <alignment readingOrder="0"/>
    </xf>
    <xf borderId="0" fillId="0" fontId="2" numFmtId="0" xfId="0" applyAlignment="1" applyFont="1">
      <alignment horizontal="center" readingOrder="0" shrinkToFit="0" wrapText="0"/>
    </xf>
    <xf borderId="0" fillId="0" fontId="2" numFmtId="0" xfId="0" applyAlignment="1" applyFont="1">
      <alignment horizontal="center" readingOrder="0" shrinkToFit="0" wrapText="0"/>
    </xf>
    <xf borderId="0" fillId="0" fontId="2" numFmtId="0" xfId="0" applyAlignment="1" applyFont="1">
      <alignment shrinkToFit="0" vertical="bottom" wrapText="0"/>
    </xf>
    <xf borderId="0" fillId="0" fontId="4" numFmtId="0" xfId="0" applyAlignment="1" applyFont="1">
      <alignment horizontal="center" readingOrder="0" shrinkToFit="0" wrapText="0"/>
    </xf>
    <xf borderId="0" fillId="0" fontId="4" numFmtId="0" xfId="0" applyAlignment="1" applyFont="1">
      <alignment readingOrder="0" shrinkToFit="0" wrapText="0"/>
    </xf>
    <xf borderId="0" fillId="0" fontId="4" numFmtId="0" xfId="0" applyAlignment="1" applyFont="1">
      <alignment shrinkToFit="0" wrapText="0"/>
    </xf>
    <xf borderId="0" fillId="0" fontId="9" numFmtId="0" xfId="0" applyAlignment="1" applyFont="1">
      <alignment vertical="bottom"/>
    </xf>
    <xf borderId="0" fillId="0" fontId="11" numFmtId="0" xfId="0" applyAlignment="1" applyFont="1">
      <alignment readingOrder="0" vertical="bottom"/>
    </xf>
    <xf borderId="0" fillId="2" fontId="1" numFmtId="0" xfId="0" applyAlignment="1" applyFont="1">
      <alignment horizontal="center" shrinkToFit="0" vertical="bottom" wrapText="1"/>
    </xf>
    <xf borderId="0" fillId="2" fontId="1" numFmtId="0" xfId="0" applyAlignment="1" applyFont="1">
      <alignment horizontal="center" shrinkToFit="0" vertical="bottom" wrapText="1"/>
    </xf>
    <xf borderId="0" fillId="4" fontId="12" numFmtId="0" xfId="0" applyAlignment="1" applyFill="1" applyFont="1">
      <alignment horizontal="center" shrinkToFit="0" vertical="bottom" wrapText="1"/>
    </xf>
    <xf borderId="0" fillId="4" fontId="12" numFmtId="0" xfId="0" applyAlignment="1" applyFont="1">
      <alignment shrinkToFit="0" vertical="bottom" wrapText="1"/>
    </xf>
    <xf borderId="0" fillId="0" fontId="4" numFmtId="165" xfId="0" applyAlignment="1" applyFont="1" applyNumberFormat="1">
      <alignment readingOrder="0"/>
    </xf>
    <xf borderId="0" fillId="0" fontId="4" numFmtId="0" xfId="0" applyAlignment="1" applyFont="1">
      <alignment horizontal="center"/>
    </xf>
    <xf borderId="0" fillId="0" fontId="13" numFmtId="0" xfId="0" applyAlignment="1" applyFont="1">
      <alignment readingOrder="0"/>
    </xf>
    <xf borderId="0" fillId="0" fontId="14" numFmtId="0" xfId="0" applyAlignment="1" applyFont="1">
      <alignment vertical="bottom"/>
    </xf>
    <xf borderId="0" fillId="0" fontId="14" numFmtId="3" xfId="0" applyAlignment="1" applyFont="1" applyNumberFormat="1">
      <alignment horizontal="right" vertical="bottom"/>
    </xf>
    <xf borderId="0" fillId="5" fontId="1" numFmtId="0" xfId="0" applyAlignment="1" applyFill="1" applyFont="1">
      <alignment shrinkToFit="0" vertical="bottom" wrapText="0"/>
    </xf>
    <xf borderId="0" fillId="5" fontId="1" numFmtId="164" xfId="0" applyAlignment="1" applyFont="1" applyNumberFormat="1">
      <alignment horizontal="right" readingOrder="0" vertical="bottom"/>
    </xf>
    <xf borderId="0" fillId="5" fontId="1" numFmtId="164" xfId="0" applyAlignment="1" applyFont="1" applyNumberFormat="1">
      <alignment horizontal="right" vertical="bottom"/>
    </xf>
    <xf borderId="0" fillId="5" fontId="1" numFmtId="164" xfId="0" applyAlignment="1" applyFont="1" applyNumberFormat="1">
      <alignment vertical="bottom"/>
    </xf>
    <xf borderId="0" fillId="0" fontId="1" numFmtId="164" xfId="0" applyAlignment="1" applyFont="1" applyNumberFormat="1">
      <alignment vertical="bottom"/>
    </xf>
    <xf borderId="0" fillId="0" fontId="4" numFmtId="0" xfId="0" applyFont="1"/>
    <xf borderId="0" fillId="2" fontId="1" numFmtId="0" xfId="0" applyAlignment="1" applyFont="1">
      <alignment horizontal="center" readingOrder="0" shrinkToFit="0" vertical="bottom" wrapText="1"/>
    </xf>
    <xf borderId="0" fillId="0" fontId="4" numFmtId="0" xfId="0" applyAlignment="1" applyFont="1">
      <alignment shrinkToFit="0" wrapText="1"/>
    </xf>
    <xf borderId="0" fillId="0" fontId="2" numFmtId="0" xfId="0" applyAlignment="1" applyFont="1">
      <alignment horizontal="center"/>
    </xf>
    <xf borderId="0" fillId="0" fontId="15" numFmtId="0" xfId="0" applyAlignment="1" applyFont="1">
      <alignment vertical="bottom"/>
    </xf>
    <xf borderId="0" fillId="6" fontId="2" numFmtId="0" xfId="0" applyAlignment="1" applyFill="1" applyFont="1">
      <alignment vertical="bottom"/>
    </xf>
    <xf borderId="0" fillId="6" fontId="1" numFmtId="0" xfId="0" applyAlignment="1" applyFont="1">
      <alignment vertical="bottom"/>
    </xf>
    <xf borderId="0" fillId="7" fontId="1" numFmtId="0" xfId="0" applyAlignment="1" applyFill="1" applyFont="1">
      <alignment vertical="bottom"/>
    </xf>
    <xf borderId="0" fillId="8" fontId="1" numFmtId="0" xfId="0" applyAlignment="1" applyFill="1" applyFont="1">
      <alignment vertical="bottom"/>
    </xf>
    <xf borderId="0" fillId="9" fontId="2" numFmtId="0" xfId="0" applyAlignment="1" applyFill="1" applyFont="1">
      <alignment vertical="bottom"/>
    </xf>
    <xf borderId="0" fillId="0" fontId="16" numFmtId="0" xfId="0" applyAlignment="1" applyFont="1">
      <alignment vertical="bottom"/>
    </xf>
    <xf borderId="0" fillId="0" fontId="2" numFmtId="164" xfId="0" applyAlignment="1" applyFont="1" applyNumberFormat="1">
      <alignment vertical="bottom"/>
    </xf>
    <xf borderId="0" fillId="0" fontId="2" numFmtId="9" xfId="0" applyAlignment="1" applyFont="1" applyNumberFormat="1">
      <alignment vertical="bottom"/>
    </xf>
    <xf borderId="0" fillId="0" fontId="2" numFmtId="0" xfId="0" applyAlignment="1" applyFont="1">
      <alignment horizontal="center" shrinkToFit="0" vertical="bottom" wrapText="0"/>
    </xf>
  </cellXfs>
  <cellStyles count="1">
    <cellStyle xfId="0" name="Normal" builtinId="0"/>
  </cellStyles>
  <dxfs count="1">
    <dxf>
      <font/>
      <fill>
        <patternFill patternType="solid">
          <fgColor rgb="FFF4CCCC"/>
          <bgColor rgb="FFF4CCCC"/>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hyperlink" Target="https://docs.google.com/document/d/1ySpoM8KwIIhrCmO9kg38yyR0gw3Qo2-BTmotW5oyErw/edit?usp=sharing" TargetMode="External"/><Relationship Id="rId2" Type="http://schemas.openxmlformats.org/officeDocument/2006/relationships/hyperlink" Target="https://docs.google.com/document/d/1Gt0zkHJNIlKsOSQVeSHV3KhTYU1D-Q6Of9S_pzOcBcQ/edit?tab=t.vf0bfpwln4im" TargetMode="External"/><Relationship Id="rId3" Type="http://schemas.openxmlformats.org/officeDocument/2006/relationships/hyperlink" Target="https://docs.google.com/document/d/1_riKikOXL0ciKK_EFxK8uiExbiaD7UBf3JBbMKwz3EU/edit?tab=t.0" TargetMode="External"/><Relationship Id="rId4" Type="http://schemas.openxmlformats.org/officeDocument/2006/relationships/hyperlink" Target="https://docs.google.com/document/d/1Gt0zkHJNIlKsOSQVeSHV3KhTYU1D-Q6Of9S_pzOcBcQ/edit?usp=sharing" TargetMode="External"/><Relationship Id="rId5"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23.63"/>
    <col customWidth="1" min="3" max="3" width="20.13"/>
    <col customWidth="1" min="4" max="4" width="18.75"/>
    <col customWidth="1" min="7" max="7" width="17.38"/>
    <col customWidth="1" min="13" max="13" width="15.13"/>
  </cols>
  <sheetData>
    <row r="1">
      <c r="A1" s="1" t="s">
        <v>0</v>
      </c>
      <c r="B1" s="2" t="s">
        <v>1</v>
      </c>
      <c r="C1" s="3" t="s">
        <v>2</v>
      </c>
      <c r="D1" s="1" t="s">
        <v>3</v>
      </c>
      <c r="E1" s="1" t="s">
        <v>4</v>
      </c>
      <c r="F1" s="1" t="s">
        <v>5</v>
      </c>
      <c r="G1" s="2" t="s">
        <v>6</v>
      </c>
      <c r="H1" s="2" t="s">
        <v>6</v>
      </c>
      <c r="I1" s="2" t="s">
        <v>7</v>
      </c>
      <c r="J1" s="1" t="s">
        <v>8</v>
      </c>
      <c r="K1" s="1" t="s">
        <v>9</v>
      </c>
      <c r="L1" s="3" t="s">
        <v>10</v>
      </c>
      <c r="M1" s="1" t="s">
        <v>11</v>
      </c>
    </row>
    <row r="2">
      <c r="A2" s="4" t="s">
        <v>12</v>
      </c>
      <c r="B2" s="5" t="str">
        <f t="shared" ref="B2:B20" si="1">concat("https://www.tsip.ai/force/",A2)</f>
        <v>https://www.tsip.ai/force/7a807980-2578-4689-9a0a-784ea3d33e86</v>
      </c>
      <c r="C2" s="6" t="s">
        <v>13</v>
      </c>
      <c r="D2" s="7" t="s">
        <v>14</v>
      </c>
      <c r="E2" s="8">
        <v>70.0</v>
      </c>
      <c r="F2" s="9" t="s">
        <v>15</v>
      </c>
      <c r="G2" s="9" t="s">
        <v>15</v>
      </c>
      <c r="H2" s="9" t="s">
        <v>15</v>
      </c>
      <c r="I2" s="9" t="s">
        <v>15</v>
      </c>
      <c r="J2" s="9" t="s">
        <v>15</v>
      </c>
      <c r="K2" s="10">
        <v>46160.0</v>
      </c>
      <c r="L2" s="4" t="b">
        <v>0</v>
      </c>
      <c r="M2" s="8" t="b">
        <v>1</v>
      </c>
      <c r="N2" s="4"/>
      <c r="O2" s="4"/>
    </row>
    <row r="3">
      <c r="A3" s="4" t="s">
        <v>16</v>
      </c>
      <c r="B3" s="5" t="str">
        <f t="shared" si="1"/>
        <v>https://www.tsip.ai/force/44ac67cb-1bb6-4667-8756-b22d439ca759</v>
      </c>
      <c r="C3" s="6" t="s">
        <v>17</v>
      </c>
      <c r="D3" s="8" t="s">
        <v>18</v>
      </c>
      <c r="E3" s="8">
        <v>50.0</v>
      </c>
      <c r="F3" s="9" t="s">
        <v>15</v>
      </c>
      <c r="G3" s="9" t="s">
        <v>15</v>
      </c>
      <c r="H3" s="9" t="s">
        <v>15</v>
      </c>
      <c r="I3" s="9" t="s">
        <v>15</v>
      </c>
      <c r="J3" s="9" t="s">
        <v>15</v>
      </c>
      <c r="K3" s="10">
        <v>46161.0</v>
      </c>
      <c r="L3" s="4" t="b">
        <v>0</v>
      </c>
      <c r="M3" s="8" t="b">
        <v>1</v>
      </c>
      <c r="N3" s="4"/>
      <c r="O3" s="4"/>
    </row>
    <row r="4">
      <c r="A4" s="4" t="s">
        <v>19</v>
      </c>
      <c r="B4" s="5" t="str">
        <f t="shared" si="1"/>
        <v>https://www.tsip.ai/force/65be1d3a-83f6-4e28-9f85-b3a419a84fd6</v>
      </c>
      <c r="C4" s="6" t="s">
        <v>20</v>
      </c>
      <c r="D4" s="8" t="s">
        <v>21</v>
      </c>
      <c r="E4" s="8">
        <v>35.0</v>
      </c>
      <c r="F4" s="9" t="s">
        <v>15</v>
      </c>
      <c r="G4" s="9" t="s">
        <v>15</v>
      </c>
      <c r="H4" s="9" t="s">
        <v>15</v>
      </c>
      <c r="I4" s="9" t="s">
        <v>15</v>
      </c>
      <c r="J4" s="9" t="s">
        <v>15</v>
      </c>
      <c r="K4" s="10">
        <v>46160.0</v>
      </c>
      <c r="L4" s="4"/>
      <c r="M4" s="8" t="b">
        <v>1</v>
      </c>
      <c r="N4" s="4"/>
      <c r="O4" s="4"/>
    </row>
    <row r="5">
      <c r="A5" s="4" t="s">
        <v>22</v>
      </c>
      <c r="B5" s="5" t="str">
        <f t="shared" si="1"/>
        <v>https://www.tsip.ai/force/2f1fdba6-a805-483f-810e-035773eb691d</v>
      </c>
      <c r="C5" s="11" t="s">
        <v>23</v>
      </c>
      <c r="D5" s="8" t="s">
        <v>24</v>
      </c>
      <c r="E5" s="8">
        <v>65.0</v>
      </c>
      <c r="F5" s="9" t="s">
        <v>15</v>
      </c>
      <c r="G5" s="9" t="s">
        <v>15</v>
      </c>
      <c r="H5" s="9" t="s">
        <v>15</v>
      </c>
      <c r="I5" s="9" t="s">
        <v>15</v>
      </c>
      <c r="J5" s="9" t="s">
        <v>15</v>
      </c>
      <c r="K5" s="10">
        <v>46160.0</v>
      </c>
      <c r="L5" s="4" t="b">
        <v>0</v>
      </c>
      <c r="M5" s="8" t="b">
        <v>1</v>
      </c>
      <c r="N5" s="4"/>
      <c r="O5" s="4"/>
    </row>
    <row r="6">
      <c r="A6" s="4" t="s">
        <v>25</v>
      </c>
      <c r="B6" s="5" t="str">
        <f t="shared" si="1"/>
        <v>https://www.tsip.ai/force/295e3612-cb62-4eaf-b87a-96708f62d7c2</v>
      </c>
      <c r="C6" s="6" t="s">
        <v>13</v>
      </c>
      <c r="D6" s="8" t="s">
        <v>26</v>
      </c>
      <c r="E6" s="8">
        <v>70.0</v>
      </c>
      <c r="F6" s="9" t="s">
        <v>15</v>
      </c>
      <c r="G6" s="9" t="s">
        <v>15</v>
      </c>
      <c r="H6" s="9" t="s">
        <v>15</v>
      </c>
      <c r="I6" s="9" t="s">
        <v>15</v>
      </c>
      <c r="J6" s="9" t="s">
        <v>15</v>
      </c>
      <c r="K6" s="10">
        <v>46160.0</v>
      </c>
      <c r="L6" s="4" t="b">
        <v>0</v>
      </c>
      <c r="M6" s="8" t="b">
        <v>1</v>
      </c>
      <c r="N6" s="4"/>
      <c r="O6" s="4"/>
    </row>
    <row r="7">
      <c r="A7" s="4" t="s">
        <v>27</v>
      </c>
      <c r="B7" s="5" t="str">
        <f t="shared" si="1"/>
        <v>https://www.tsip.ai/force/16e3ef61-3f9c-4ac7-b32f-4823bbc356f7</v>
      </c>
      <c r="C7" s="6" t="s">
        <v>20</v>
      </c>
      <c r="D7" s="8" t="s">
        <v>28</v>
      </c>
      <c r="E7" s="8">
        <v>50.0</v>
      </c>
      <c r="F7" s="9" t="s">
        <v>15</v>
      </c>
      <c r="G7" s="9" t="s">
        <v>15</v>
      </c>
      <c r="H7" s="9" t="s">
        <v>15</v>
      </c>
      <c r="I7" s="9" t="s">
        <v>15</v>
      </c>
      <c r="J7" s="9" t="s">
        <v>15</v>
      </c>
      <c r="K7" s="10">
        <v>46160.0</v>
      </c>
      <c r="L7" s="4" t="b">
        <v>0</v>
      </c>
      <c r="M7" s="8" t="b">
        <v>1</v>
      </c>
      <c r="N7" s="4"/>
      <c r="O7" s="4"/>
    </row>
    <row r="8">
      <c r="A8" s="4" t="s">
        <v>29</v>
      </c>
      <c r="B8" s="5" t="str">
        <f t="shared" si="1"/>
        <v>https://www.tsip.ai/force/aad52b58-4443-48b3-918d-98c1742f1df1</v>
      </c>
      <c r="C8" s="6" t="s">
        <v>20</v>
      </c>
      <c r="D8" s="8" t="s">
        <v>30</v>
      </c>
      <c r="E8" s="8">
        <v>70.0</v>
      </c>
      <c r="F8" s="9" t="s">
        <v>15</v>
      </c>
      <c r="G8" s="9" t="s">
        <v>15</v>
      </c>
      <c r="H8" s="9" t="s">
        <v>15</v>
      </c>
      <c r="I8" s="9" t="s">
        <v>15</v>
      </c>
      <c r="J8" s="9" t="s">
        <v>15</v>
      </c>
      <c r="K8" s="10">
        <v>46160.0</v>
      </c>
      <c r="L8" s="4" t="b">
        <v>0</v>
      </c>
      <c r="M8" s="8" t="b">
        <v>1</v>
      </c>
      <c r="N8" s="4"/>
      <c r="O8" s="4"/>
    </row>
    <row r="9">
      <c r="A9" s="4" t="s">
        <v>31</v>
      </c>
      <c r="B9" s="5" t="str">
        <f t="shared" si="1"/>
        <v>https://www.tsip.ai/force/8a831111-f767-4ed0-95e2-7f69615d0959</v>
      </c>
      <c r="C9" s="6" t="s">
        <v>32</v>
      </c>
      <c r="D9" s="4"/>
      <c r="E9" s="4"/>
      <c r="F9" s="9" t="s">
        <v>15</v>
      </c>
      <c r="G9" s="9" t="s">
        <v>15</v>
      </c>
      <c r="H9" s="9" t="s">
        <v>15</v>
      </c>
      <c r="I9" s="9" t="s">
        <v>15</v>
      </c>
      <c r="J9" s="9" t="s">
        <v>15</v>
      </c>
      <c r="K9" s="4"/>
      <c r="L9" s="4" t="b">
        <v>0</v>
      </c>
      <c r="M9" s="4" t="b">
        <v>0</v>
      </c>
      <c r="N9" s="4"/>
      <c r="O9" s="4"/>
    </row>
    <row r="10">
      <c r="A10" s="4" t="s">
        <v>33</v>
      </c>
      <c r="B10" s="5" t="str">
        <f t="shared" si="1"/>
        <v>https://www.tsip.ai/force/bc059c29-6c77-45f1-8172-fdbe6d1c4d42</v>
      </c>
      <c r="C10" s="6" t="s">
        <v>34</v>
      </c>
      <c r="D10" s="8" t="s">
        <v>35</v>
      </c>
      <c r="E10" s="8">
        <v>240.0</v>
      </c>
      <c r="F10" s="9" t="s">
        <v>15</v>
      </c>
      <c r="G10" s="9" t="s">
        <v>15</v>
      </c>
      <c r="H10" s="9" t="s">
        <v>15</v>
      </c>
      <c r="I10" s="9" t="s">
        <v>15</v>
      </c>
      <c r="J10" s="9" t="s">
        <v>15</v>
      </c>
      <c r="K10" s="10">
        <v>46160.0</v>
      </c>
      <c r="L10" s="4" t="b">
        <v>0</v>
      </c>
      <c r="M10" s="8" t="b">
        <v>1</v>
      </c>
      <c r="N10" s="4"/>
      <c r="O10" s="4"/>
    </row>
    <row r="11">
      <c r="A11" s="4" t="s">
        <v>36</v>
      </c>
      <c r="B11" s="5" t="str">
        <f t="shared" si="1"/>
        <v>https://www.tsip.ai/force/f5f33709-656b-4730-bf27-54d886510a8a</v>
      </c>
      <c r="C11" s="6" t="s">
        <v>37</v>
      </c>
      <c r="D11" s="8" t="s">
        <v>38</v>
      </c>
      <c r="E11" s="8">
        <v>70.0</v>
      </c>
      <c r="F11" s="9" t="s">
        <v>15</v>
      </c>
      <c r="G11" s="9" t="s">
        <v>15</v>
      </c>
      <c r="H11" s="9" t="s">
        <v>15</v>
      </c>
      <c r="I11" s="9" t="s">
        <v>15</v>
      </c>
      <c r="J11" s="9" t="s">
        <v>15</v>
      </c>
      <c r="K11" s="10">
        <v>46160.0</v>
      </c>
      <c r="L11" s="4" t="b">
        <v>0</v>
      </c>
      <c r="M11" s="8" t="b">
        <v>1</v>
      </c>
      <c r="N11" s="4"/>
      <c r="O11" s="4"/>
    </row>
    <row r="12">
      <c r="A12" s="4" t="s">
        <v>39</v>
      </c>
      <c r="B12" s="5" t="str">
        <f t="shared" si="1"/>
        <v>https://www.tsip.ai/force/bf86fd2e-3e2d-4d0f-a173-db297660e072</v>
      </c>
      <c r="C12" s="6" t="s">
        <v>37</v>
      </c>
      <c r="D12" s="8" t="s">
        <v>40</v>
      </c>
      <c r="E12" s="8">
        <v>55.0</v>
      </c>
      <c r="F12" s="9" t="s">
        <v>15</v>
      </c>
      <c r="G12" s="9" t="s">
        <v>15</v>
      </c>
      <c r="H12" s="9" t="s">
        <v>15</v>
      </c>
      <c r="I12" s="9" t="s">
        <v>15</v>
      </c>
      <c r="J12" s="9" t="s">
        <v>15</v>
      </c>
      <c r="K12" s="10">
        <v>46160.0</v>
      </c>
      <c r="L12" s="4" t="b">
        <v>0</v>
      </c>
      <c r="M12" s="8" t="b">
        <v>1</v>
      </c>
      <c r="N12" s="4"/>
      <c r="O12" s="4"/>
    </row>
    <row r="13">
      <c r="A13" s="4" t="s">
        <v>41</v>
      </c>
      <c r="B13" s="5" t="str">
        <f t="shared" si="1"/>
        <v>https://www.tsip.ai/force/5452a654-d533-46eb-b47f-1357a47eeca6</v>
      </c>
      <c r="C13" s="12" t="s">
        <v>23</v>
      </c>
      <c r="D13" s="8" t="s">
        <v>42</v>
      </c>
      <c r="E13" s="8">
        <v>60.0</v>
      </c>
      <c r="F13" s="9" t="s">
        <v>15</v>
      </c>
      <c r="G13" s="9" t="s">
        <v>15</v>
      </c>
      <c r="H13" s="9" t="s">
        <v>15</v>
      </c>
      <c r="I13" s="9" t="s">
        <v>15</v>
      </c>
      <c r="J13" s="9" t="s">
        <v>15</v>
      </c>
      <c r="K13" s="10">
        <v>46161.0</v>
      </c>
      <c r="L13" s="8" t="b">
        <v>0</v>
      </c>
      <c r="M13" s="8" t="b">
        <v>1</v>
      </c>
      <c r="N13" s="4"/>
      <c r="O13" s="4"/>
    </row>
    <row r="14">
      <c r="A14" s="4" t="s">
        <v>43</v>
      </c>
      <c r="B14" s="5" t="str">
        <f t="shared" si="1"/>
        <v>https://www.tsip.ai/force/91f0eaf1-2d4b-41ab-a262-8453686cea5a</v>
      </c>
      <c r="C14" s="13" t="s">
        <v>44</v>
      </c>
      <c r="D14" s="4"/>
      <c r="E14" s="4"/>
      <c r="F14" s="9" t="s">
        <v>15</v>
      </c>
      <c r="G14" s="9" t="s">
        <v>15</v>
      </c>
      <c r="H14" s="9" t="s">
        <v>15</v>
      </c>
      <c r="I14" s="9" t="s">
        <v>15</v>
      </c>
      <c r="J14" s="9" t="s">
        <v>15</v>
      </c>
      <c r="K14" s="4"/>
      <c r="L14" s="4" t="b">
        <v>0</v>
      </c>
      <c r="M14" s="4" t="b">
        <v>0</v>
      </c>
      <c r="N14" s="4"/>
      <c r="O14" s="4"/>
    </row>
    <row r="15">
      <c r="A15" s="4" t="s">
        <v>45</v>
      </c>
      <c r="B15" s="5" t="str">
        <f t="shared" si="1"/>
        <v>https://www.tsip.ai/force/cf573523-a0a1-40fb-ad40-b6b41b27ae3d</v>
      </c>
      <c r="C15" s="13" t="s">
        <v>44</v>
      </c>
      <c r="D15" s="4"/>
      <c r="E15" s="4"/>
      <c r="F15" s="9" t="s">
        <v>15</v>
      </c>
      <c r="G15" s="9" t="s">
        <v>15</v>
      </c>
      <c r="H15" s="9" t="s">
        <v>15</v>
      </c>
      <c r="I15" s="9" t="s">
        <v>15</v>
      </c>
      <c r="J15" s="9" t="s">
        <v>15</v>
      </c>
      <c r="K15" s="4"/>
      <c r="L15" s="4" t="b">
        <v>0</v>
      </c>
      <c r="M15" s="4" t="b">
        <v>0</v>
      </c>
      <c r="N15" s="4"/>
      <c r="O15" s="4"/>
    </row>
    <row r="16">
      <c r="A16" s="4" t="s">
        <v>46</v>
      </c>
      <c r="B16" s="5" t="str">
        <f t="shared" si="1"/>
        <v>https://www.tsip.ai/force/e66fa748-66f4-4f25-b521-834f0ba81ff4</v>
      </c>
      <c r="C16" s="6" t="s">
        <v>20</v>
      </c>
      <c r="D16" s="8" t="s">
        <v>47</v>
      </c>
      <c r="E16" s="8">
        <v>70.0</v>
      </c>
      <c r="F16" s="9" t="s">
        <v>15</v>
      </c>
      <c r="G16" s="9" t="s">
        <v>15</v>
      </c>
      <c r="H16" s="9" t="s">
        <v>15</v>
      </c>
      <c r="I16" s="9" t="s">
        <v>15</v>
      </c>
      <c r="J16" s="9" t="s">
        <v>15</v>
      </c>
      <c r="K16" s="10">
        <v>46160.0</v>
      </c>
      <c r="L16" s="4" t="b">
        <v>0</v>
      </c>
      <c r="M16" s="8" t="b">
        <v>1</v>
      </c>
      <c r="N16" s="4"/>
      <c r="O16" s="4"/>
    </row>
    <row r="17">
      <c r="A17" s="4" t="s">
        <v>48</v>
      </c>
      <c r="B17" s="5" t="str">
        <f t="shared" si="1"/>
        <v>https://www.tsip.ai/force/85e101d0-e251-4991-91bb-5b2985d5cd65</v>
      </c>
      <c r="C17" s="13" t="s">
        <v>44</v>
      </c>
      <c r="D17" s="4"/>
      <c r="E17" s="4"/>
      <c r="F17" s="9" t="s">
        <v>15</v>
      </c>
      <c r="G17" s="9" t="s">
        <v>15</v>
      </c>
      <c r="H17" s="9" t="s">
        <v>15</v>
      </c>
      <c r="I17" s="9" t="s">
        <v>15</v>
      </c>
      <c r="J17" s="9" t="s">
        <v>15</v>
      </c>
      <c r="K17" s="4"/>
      <c r="L17" s="4" t="b">
        <v>0</v>
      </c>
      <c r="M17" s="4" t="b">
        <v>0</v>
      </c>
      <c r="N17" s="4"/>
      <c r="O17" s="4"/>
    </row>
    <row r="18">
      <c r="A18" s="4" t="s">
        <v>49</v>
      </c>
      <c r="B18" s="5" t="str">
        <f t="shared" si="1"/>
        <v>https://www.tsip.ai/force/90bbed8a-b185-4f3d-96d0-b1527582ae9b</v>
      </c>
      <c r="C18" s="6" t="s">
        <v>20</v>
      </c>
      <c r="D18" s="8" t="s">
        <v>50</v>
      </c>
      <c r="E18" s="8">
        <v>50.0</v>
      </c>
      <c r="F18" s="9" t="s">
        <v>15</v>
      </c>
      <c r="G18" s="9" t="s">
        <v>15</v>
      </c>
      <c r="H18" s="9" t="s">
        <v>15</v>
      </c>
      <c r="I18" s="9" t="s">
        <v>15</v>
      </c>
      <c r="J18" s="9" t="s">
        <v>15</v>
      </c>
      <c r="K18" s="10">
        <v>46160.0</v>
      </c>
      <c r="L18" s="4" t="b">
        <v>0</v>
      </c>
      <c r="M18" s="8" t="b">
        <v>1</v>
      </c>
      <c r="N18" s="4"/>
      <c r="O18" s="4"/>
    </row>
    <row r="19">
      <c r="A19" s="4" t="s">
        <v>51</v>
      </c>
      <c r="B19" s="5" t="str">
        <f t="shared" si="1"/>
        <v>https://www.tsip.ai/force/0d9d675e-f3aa-4291-9183-9828fc1cca68</v>
      </c>
      <c r="C19" s="6" t="s">
        <v>20</v>
      </c>
      <c r="D19" s="7" t="s">
        <v>52</v>
      </c>
      <c r="F19" s="9" t="s">
        <v>15</v>
      </c>
      <c r="G19" s="9" t="s">
        <v>15</v>
      </c>
      <c r="H19" s="9" t="s">
        <v>15</v>
      </c>
      <c r="I19" s="9" t="s">
        <v>15</v>
      </c>
      <c r="J19" s="9" t="s">
        <v>15</v>
      </c>
      <c r="L19" s="4" t="b">
        <v>0</v>
      </c>
      <c r="M19" s="8" t="b">
        <v>0</v>
      </c>
      <c r="N19" s="4"/>
      <c r="O19" s="4"/>
    </row>
    <row r="20">
      <c r="A20" s="4" t="s">
        <v>53</v>
      </c>
      <c r="B20" s="5" t="str">
        <f t="shared" si="1"/>
        <v>https://www.tsip.ai/force/74071b8e-e1a7-4815-9604-056c66f53fcd</v>
      </c>
      <c r="C20" s="6" t="s">
        <v>20</v>
      </c>
      <c r="D20" s="8" t="s">
        <v>54</v>
      </c>
      <c r="E20" s="8">
        <v>45.0</v>
      </c>
      <c r="F20" s="9" t="s">
        <v>15</v>
      </c>
      <c r="G20" s="9" t="s">
        <v>15</v>
      </c>
      <c r="H20" s="9" t="s">
        <v>15</v>
      </c>
      <c r="I20" s="9" t="s">
        <v>15</v>
      </c>
      <c r="J20" s="9" t="s">
        <v>15</v>
      </c>
      <c r="K20" s="10">
        <v>46160.0</v>
      </c>
      <c r="L20" s="4" t="b">
        <v>0</v>
      </c>
      <c r="M20" s="8" t="b">
        <v>1</v>
      </c>
      <c r="N20" s="4"/>
      <c r="O20" s="4"/>
    </row>
    <row r="21">
      <c r="A21" s="4" t="s">
        <v>55</v>
      </c>
      <c r="B21" s="14" t="s">
        <v>56</v>
      </c>
      <c r="C21" s="6" t="s">
        <v>57</v>
      </c>
      <c r="D21" s="8" t="s">
        <v>58</v>
      </c>
      <c r="E21" s="4"/>
      <c r="F21" s="9" t="s">
        <v>15</v>
      </c>
      <c r="G21" s="9" t="s">
        <v>15</v>
      </c>
      <c r="H21" s="9" t="s">
        <v>15</v>
      </c>
      <c r="I21" s="9" t="s">
        <v>15</v>
      </c>
      <c r="J21" s="9" t="s">
        <v>15</v>
      </c>
      <c r="K21" s="4"/>
      <c r="L21" s="4" t="b">
        <v>0</v>
      </c>
      <c r="M21" s="4" t="b">
        <v>0</v>
      </c>
      <c r="N21" s="4"/>
      <c r="O21" s="4"/>
    </row>
    <row r="22">
      <c r="A22" s="4" t="s">
        <v>59</v>
      </c>
      <c r="B22" s="5" t="str">
        <f t="shared" ref="B22:B141" si="2">concat("https://www.tsip.ai/force/",A22)</f>
        <v>https://www.tsip.ai/force/7e959336-04ed-49e4-bfef-665c0782448c</v>
      </c>
      <c r="C22" s="13" t="s">
        <v>44</v>
      </c>
      <c r="D22" s="4"/>
      <c r="E22" s="4"/>
      <c r="F22" s="9" t="s">
        <v>15</v>
      </c>
      <c r="G22" s="9" t="s">
        <v>15</v>
      </c>
      <c r="H22" s="9" t="s">
        <v>15</v>
      </c>
      <c r="I22" s="9" t="s">
        <v>15</v>
      </c>
      <c r="J22" s="9" t="s">
        <v>15</v>
      </c>
      <c r="K22" s="4"/>
      <c r="L22" s="4" t="b">
        <v>0</v>
      </c>
      <c r="M22" s="4" t="b">
        <v>0</v>
      </c>
      <c r="N22" s="4"/>
      <c r="O22" s="4"/>
    </row>
    <row r="23">
      <c r="A23" s="4" t="s">
        <v>60</v>
      </c>
      <c r="B23" s="5" t="str">
        <f t="shared" si="2"/>
        <v>https://www.tsip.ai/force/a2cea33d-12d0-44ca-a889-a81ace87c570</v>
      </c>
      <c r="C23" s="13" t="s">
        <v>44</v>
      </c>
      <c r="D23" s="4"/>
      <c r="E23" s="4"/>
      <c r="F23" s="9" t="s">
        <v>15</v>
      </c>
      <c r="G23" s="9" t="s">
        <v>15</v>
      </c>
      <c r="H23" s="9" t="s">
        <v>15</v>
      </c>
      <c r="I23" s="9" t="s">
        <v>15</v>
      </c>
      <c r="J23" s="9" t="s">
        <v>15</v>
      </c>
      <c r="K23" s="4"/>
      <c r="L23" s="4" t="b">
        <v>0</v>
      </c>
      <c r="M23" s="4" t="b">
        <v>0</v>
      </c>
      <c r="N23" s="4"/>
      <c r="O23" s="4"/>
    </row>
    <row r="24">
      <c r="A24" s="4" t="s">
        <v>61</v>
      </c>
      <c r="B24" s="5" t="str">
        <f t="shared" si="2"/>
        <v>https://www.tsip.ai/force/e12b11cd-c4b1-416a-89cc-76419d8c598a</v>
      </c>
      <c r="C24" s="6" t="s">
        <v>62</v>
      </c>
      <c r="D24" s="15" t="s">
        <v>52</v>
      </c>
      <c r="E24" s="4"/>
      <c r="F24" s="9" t="s">
        <v>15</v>
      </c>
      <c r="G24" s="9" t="s">
        <v>15</v>
      </c>
      <c r="H24" s="9" t="s">
        <v>15</v>
      </c>
      <c r="I24" s="9" t="s">
        <v>15</v>
      </c>
      <c r="J24" s="9" t="s">
        <v>15</v>
      </c>
      <c r="K24" s="4"/>
      <c r="L24" s="4" t="b">
        <v>0</v>
      </c>
      <c r="M24" s="4" t="b">
        <v>0</v>
      </c>
      <c r="N24" s="4"/>
      <c r="O24" s="4"/>
    </row>
    <row r="25" ht="15.0" customHeight="1">
      <c r="A25" s="4" t="s">
        <v>63</v>
      </c>
      <c r="B25" s="5" t="str">
        <f t="shared" si="2"/>
        <v>https://www.tsip.ai/force/62e771dc-72a6-41f0-9a53-41f396bef554</v>
      </c>
      <c r="C25" s="6" t="s">
        <v>62</v>
      </c>
      <c r="D25" s="8" t="s">
        <v>64</v>
      </c>
      <c r="E25" s="8">
        <v>55.0</v>
      </c>
      <c r="F25" s="9" t="s">
        <v>15</v>
      </c>
      <c r="G25" s="9" t="s">
        <v>15</v>
      </c>
      <c r="H25" s="9" t="s">
        <v>15</v>
      </c>
      <c r="I25" s="9" t="s">
        <v>15</v>
      </c>
      <c r="J25" s="9" t="s">
        <v>15</v>
      </c>
      <c r="K25" s="10">
        <v>46161.0</v>
      </c>
      <c r="L25" s="4" t="b">
        <v>0</v>
      </c>
      <c r="M25" s="8" t="b">
        <v>1</v>
      </c>
      <c r="N25" s="4"/>
      <c r="O25" s="4"/>
    </row>
    <row r="26" ht="13.5" customHeight="1">
      <c r="A26" s="4" t="s">
        <v>65</v>
      </c>
      <c r="B26" s="5" t="str">
        <f t="shared" si="2"/>
        <v>https://www.tsip.ai/force/76d1c9fa-dcc0-4ae6-8d8a-54b7a3af800a</v>
      </c>
      <c r="C26" s="6" t="s">
        <v>62</v>
      </c>
      <c r="D26" s="8" t="s">
        <v>66</v>
      </c>
      <c r="E26" s="8">
        <v>65.0</v>
      </c>
      <c r="F26" s="9" t="s">
        <v>15</v>
      </c>
      <c r="G26" s="9" t="s">
        <v>15</v>
      </c>
      <c r="H26" s="9" t="s">
        <v>15</v>
      </c>
      <c r="I26" s="9" t="s">
        <v>15</v>
      </c>
      <c r="J26" s="9" t="s">
        <v>15</v>
      </c>
      <c r="K26" s="10">
        <v>46161.0</v>
      </c>
      <c r="L26" s="4" t="b">
        <v>0</v>
      </c>
      <c r="M26" s="8" t="b">
        <v>1</v>
      </c>
      <c r="N26" s="4"/>
      <c r="O26" s="4"/>
    </row>
    <row r="27">
      <c r="A27" s="4" t="s">
        <v>67</v>
      </c>
      <c r="B27" s="5" t="str">
        <f t="shared" si="2"/>
        <v>https://www.tsip.ai/force/de0b9b68-3655-4ad8-b299-716ccea058fa</v>
      </c>
      <c r="C27" s="6" t="s">
        <v>62</v>
      </c>
      <c r="D27" s="16" t="s">
        <v>68</v>
      </c>
      <c r="E27" s="4"/>
      <c r="F27" s="9" t="s">
        <v>15</v>
      </c>
      <c r="G27" s="9" t="s">
        <v>15</v>
      </c>
      <c r="H27" s="9" t="s">
        <v>15</v>
      </c>
      <c r="I27" s="9" t="s">
        <v>15</v>
      </c>
      <c r="J27" s="9" t="s">
        <v>15</v>
      </c>
      <c r="K27" s="4"/>
      <c r="L27" s="4" t="b">
        <v>0</v>
      </c>
      <c r="M27" s="4" t="b">
        <v>0</v>
      </c>
      <c r="N27" s="4"/>
      <c r="O27" s="4"/>
    </row>
    <row r="28">
      <c r="A28" s="4" t="s">
        <v>69</v>
      </c>
      <c r="B28" s="5" t="str">
        <f t="shared" si="2"/>
        <v>https://www.tsip.ai/force/9b77ed14-955e-476d-b455-9b9b4d7e0441</v>
      </c>
      <c r="C28" s="6" t="s">
        <v>62</v>
      </c>
      <c r="D28" s="8" t="s">
        <v>70</v>
      </c>
      <c r="E28" s="4"/>
      <c r="F28" s="9" t="s">
        <v>15</v>
      </c>
      <c r="G28" s="9" t="s">
        <v>15</v>
      </c>
      <c r="H28" s="9" t="s">
        <v>15</v>
      </c>
      <c r="I28" s="9" t="s">
        <v>15</v>
      </c>
      <c r="J28" s="9" t="s">
        <v>15</v>
      </c>
      <c r="K28" s="4"/>
      <c r="L28" s="4" t="b">
        <v>0</v>
      </c>
      <c r="M28" s="4" t="b">
        <v>0</v>
      </c>
      <c r="N28" s="4"/>
      <c r="O28" s="4"/>
    </row>
    <row r="29" ht="15.0" customHeight="1">
      <c r="A29" s="4" t="s">
        <v>71</v>
      </c>
      <c r="B29" s="5" t="str">
        <f t="shared" si="2"/>
        <v>https://www.tsip.ai/force/98424092-bac5-4483-9f0f-dcfa1df92519</v>
      </c>
      <c r="C29" s="6" t="s">
        <v>62</v>
      </c>
      <c r="D29" s="8" t="s">
        <v>72</v>
      </c>
      <c r="E29" s="8">
        <v>90.0</v>
      </c>
      <c r="F29" s="9" t="s">
        <v>15</v>
      </c>
      <c r="G29" s="9" t="s">
        <v>15</v>
      </c>
      <c r="H29" s="9" t="s">
        <v>15</v>
      </c>
      <c r="I29" s="9" t="s">
        <v>15</v>
      </c>
      <c r="J29" s="9" t="s">
        <v>15</v>
      </c>
      <c r="K29" s="10">
        <v>46161.0</v>
      </c>
      <c r="L29" s="4" t="b">
        <v>0</v>
      </c>
      <c r="M29" s="8" t="b">
        <v>1</v>
      </c>
      <c r="N29" s="4"/>
      <c r="O29" s="4"/>
    </row>
    <row r="30">
      <c r="A30" s="4" t="s">
        <v>73</v>
      </c>
      <c r="B30" s="5" t="str">
        <f t="shared" si="2"/>
        <v>https://www.tsip.ai/force/36e31d9a-2788-4c0b-816a-22f66623d6fd</v>
      </c>
      <c r="C30" s="6" t="s">
        <v>62</v>
      </c>
      <c r="D30" s="8" t="s">
        <v>70</v>
      </c>
      <c r="E30" s="4"/>
      <c r="F30" s="9" t="s">
        <v>15</v>
      </c>
      <c r="G30" s="9" t="s">
        <v>15</v>
      </c>
      <c r="H30" s="9" t="s">
        <v>15</v>
      </c>
      <c r="I30" s="9" t="s">
        <v>15</v>
      </c>
      <c r="J30" s="9" t="s">
        <v>15</v>
      </c>
      <c r="K30" s="4"/>
      <c r="L30" s="4" t="b">
        <v>0</v>
      </c>
      <c r="M30" s="4" t="b">
        <v>0</v>
      </c>
      <c r="N30" s="4"/>
      <c r="O30" s="4"/>
    </row>
    <row r="31">
      <c r="A31" s="4" t="s">
        <v>74</v>
      </c>
      <c r="B31" s="5" t="str">
        <f t="shared" si="2"/>
        <v>https://www.tsip.ai/force/0a88b778-e4f3-418f-a39c-31aa94b7afa0</v>
      </c>
      <c r="C31" s="6" t="s">
        <v>62</v>
      </c>
      <c r="D31" s="8" t="s">
        <v>70</v>
      </c>
      <c r="E31" s="4"/>
      <c r="F31" s="9" t="s">
        <v>15</v>
      </c>
      <c r="G31" s="9" t="s">
        <v>15</v>
      </c>
      <c r="H31" s="9" t="s">
        <v>15</v>
      </c>
      <c r="I31" s="9" t="s">
        <v>15</v>
      </c>
      <c r="J31" s="9" t="s">
        <v>15</v>
      </c>
      <c r="K31" s="4"/>
      <c r="L31" s="4" t="b">
        <v>0</v>
      </c>
      <c r="M31" s="4" t="b">
        <v>0</v>
      </c>
      <c r="N31" s="4"/>
      <c r="O31" s="4"/>
    </row>
    <row r="32">
      <c r="A32" s="4" t="s">
        <v>75</v>
      </c>
      <c r="B32" s="5" t="str">
        <f t="shared" si="2"/>
        <v>https://www.tsip.ai/force/d83d3eb8-99ca-4de7-9f98-991a81ce1147</v>
      </c>
      <c r="C32" s="6" t="s">
        <v>62</v>
      </c>
      <c r="D32" s="15" t="s">
        <v>52</v>
      </c>
      <c r="E32" s="4"/>
      <c r="F32" s="9" t="s">
        <v>15</v>
      </c>
      <c r="G32" s="9" t="s">
        <v>15</v>
      </c>
      <c r="H32" s="9" t="s">
        <v>15</v>
      </c>
      <c r="I32" s="9" t="s">
        <v>15</v>
      </c>
      <c r="J32" s="9" t="s">
        <v>15</v>
      </c>
      <c r="K32" s="4"/>
      <c r="L32" s="4" t="b">
        <v>0</v>
      </c>
      <c r="M32" s="4" t="b">
        <v>0</v>
      </c>
      <c r="N32" s="4"/>
      <c r="O32" s="4"/>
    </row>
    <row r="33">
      <c r="A33" s="4" t="s">
        <v>56</v>
      </c>
      <c r="B33" s="5" t="str">
        <f t="shared" si="2"/>
        <v>https://www.tsip.ai/force/2d607b4b-a8a1-41eb-a290-966ef66a1a8e</v>
      </c>
      <c r="C33" s="6"/>
      <c r="D33" s="8"/>
      <c r="E33" s="4"/>
      <c r="F33" s="9" t="s">
        <v>15</v>
      </c>
      <c r="G33" s="9" t="s">
        <v>15</v>
      </c>
      <c r="H33" s="9" t="s">
        <v>15</v>
      </c>
      <c r="I33" s="9" t="s">
        <v>15</v>
      </c>
      <c r="J33" s="9" t="s">
        <v>15</v>
      </c>
      <c r="K33" s="4"/>
      <c r="L33" s="4" t="b">
        <v>0</v>
      </c>
      <c r="M33" s="4" t="b">
        <v>0</v>
      </c>
      <c r="N33" s="4"/>
      <c r="O33" s="4"/>
    </row>
    <row r="34">
      <c r="A34" s="4" t="s">
        <v>76</v>
      </c>
      <c r="B34" s="5" t="str">
        <f t="shared" si="2"/>
        <v>https://www.tsip.ai/force/45417e1e-19aa-4c6b-83e6-cd694026420d</v>
      </c>
      <c r="C34" s="6"/>
      <c r="D34" s="8"/>
      <c r="E34" s="4"/>
      <c r="F34" s="9" t="s">
        <v>15</v>
      </c>
      <c r="G34" s="9" t="s">
        <v>15</v>
      </c>
      <c r="H34" s="9" t="s">
        <v>15</v>
      </c>
      <c r="I34" s="9" t="s">
        <v>15</v>
      </c>
      <c r="J34" s="9" t="s">
        <v>15</v>
      </c>
      <c r="K34" s="4"/>
      <c r="L34" s="4" t="b">
        <v>0</v>
      </c>
      <c r="M34" s="4" t="b">
        <v>0</v>
      </c>
      <c r="N34" s="4"/>
      <c r="O34" s="4"/>
    </row>
    <row r="35">
      <c r="A35" s="4" t="s">
        <v>77</v>
      </c>
      <c r="B35" s="5" t="str">
        <f t="shared" si="2"/>
        <v>https://www.tsip.ai/force/108dc013-5e4c-4773-8379-c873684fe7ca</v>
      </c>
      <c r="C35" s="6" t="s">
        <v>57</v>
      </c>
      <c r="D35" s="8" t="s">
        <v>78</v>
      </c>
      <c r="E35" s="8">
        <v>90.0</v>
      </c>
      <c r="F35" s="9" t="s">
        <v>15</v>
      </c>
      <c r="G35" s="9" t="s">
        <v>15</v>
      </c>
      <c r="H35" s="9" t="s">
        <v>15</v>
      </c>
      <c r="I35" s="9" t="s">
        <v>15</v>
      </c>
      <c r="J35" s="9" t="s">
        <v>15</v>
      </c>
      <c r="K35" s="10">
        <v>46161.0</v>
      </c>
      <c r="L35" s="4" t="b">
        <v>0</v>
      </c>
      <c r="M35" s="8" t="b">
        <v>1</v>
      </c>
      <c r="N35" s="4"/>
      <c r="O35" s="4"/>
    </row>
    <row r="36">
      <c r="A36" s="4" t="s">
        <v>79</v>
      </c>
      <c r="B36" s="5" t="str">
        <f t="shared" si="2"/>
        <v>https://www.tsip.ai/force/bb995691-d4c3-4929-82e0-514c944b369a</v>
      </c>
      <c r="C36" s="6"/>
      <c r="D36" s="8"/>
      <c r="E36" s="4"/>
      <c r="F36" s="9" t="s">
        <v>15</v>
      </c>
      <c r="G36" s="9" t="s">
        <v>15</v>
      </c>
      <c r="H36" s="9" t="s">
        <v>15</v>
      </c>
      <c r="I36" s="9" t="s">
        <v>15</v>
      </c>
      <c r="J36" s="9" t="s">
        <v>15</v>
      </c>
      <c r="K36" s="4"/>
      <c r="L36" s="4" t="b">
        <v>0</v>
      </c>
      <c r="M36" s="4" t="b">
        <v>0</v>
      </c>
      <c r="N36" s="4"/>
      <c r="O36" s="4"/>
    </row>
    <row r="37">
      <c r="A37" s="4" t="s">
        <v>80</v>
      </c>
      <c r="B37" s="5" t="str">
        <f t="shared" si="2"/>
        <v>https://www.tsip.ai/force/ea0c47ab-e763-421c-b9cd-9d61c1e1c880</v>
      </c>
      <c r="C37" s="6" t="s">
        <v>37</v>
      </c>
      <c r="D37" s="8" t="s">
        <v>81</v>
      </c>
      <c r="E37" s="8">
        <v>90.0</v>
      </c>
      <c r="F37" s="9" t="s">
        <v>15</v>
      </c>
      <c r="G37" s="9" t="s">
        <v>15</v>
      </c>
      <c r="H37" s="9" t="s">
        <v>15</v>
      </c>
      <c r="I37" s="9" t="s">
        <v>15</v>
      </c>
      <c r="J37" s="9" t="s">
        <v>15</v>
      </c>
      <c r="K37" s="10">
        <v>46161.0</v>
      </c>
      <c r="L37" s="4" t="b">
        <v>0</v>
      </c>
      <c r="M37" s="8" t="b">
        <v>1</v>
      </c>
      <c r="N37" s="4"/>
      <c r="O37" s="4"/>
    </row>
    <row r="38" ht="13.5" customHeight="1">
      <c r="A38" s="4" t="s">
        <v>82</v>
      </c>
      <c r="B38" s="5" t="str">
        <f t="shared" si="2"/>
        <v>https://www.tsip.ai/force/c3e5538c-d952-4ac9-9a99-7069e6438856</v>
      </c>
      <c r="C38" s="6" t="s">
        <v>62</v>
      </c>
      <c r="D38" s="8" t="s">
        <v>83</v>
      </c>
      <c r="E38" s="8">
        <v>80.0</v>
      </c>
      <c r="F38" s="9" t="s">
        <v>15</v>
      </c>
      <c r="G38" s="9" t="s">
        <v>15</v>
      </c>
      <c r="H38" s="9" t="s">
        <v>15</v>
      </c>
      <c r="I38" s="9" t="s">
        <v>15</v>
      </c>
      <c r="J38" s="9" t="s">
        <v>15</v>
      </c>
      <c r="K38" s="10">
        <v>46161.0</v>
      </c>
      <c r="L38" s="8" t="b">
        <v>0</v>
      </c>
      <c r="M38" s="8" t="b">
        <v>1</v>
      </c>
      <c r="N38" s="4"/>
      <c r="O38" s="4"/>
    </row>
    <row r="39" ht="15.75" customHeight="1">
      <c r="A39" s="4" t="s">
        <v>84</v>
      </c>
      <c r="B39" s="5" t="str">
        <f t="shared" si="2"/>
        <v>https://www.tsip.ai/force/b66e0bf3-d738-4297-83dc-c19c545cf74c</v>
      </c>
      <c r="C39" s="6" t="s">
        <v>62</v>
      </c>
      <c r="D39" s="8" t="s">
        <v>85</v>
      </c>
      <c r="E39" s="8">
        <v>90.0</v>
      </c>
      <c r="F39" s="9" t="s">
        <v>15</v>
      </c>
      <c r="G39" s="9" t="s">
        <v>15</v>
      </c>
      <c r="H39" s="9" t="s">
        <v>15</v>
      </c>
      <c r="I39" s="9" t="s">
        <v>15</v>
      </c>
      <c r="J39" s="9" t="s">
        <v>15</v>
      </c>
      <c r="K39" s="10">
        <v>46161.0</v>
      </c>
      <c r="L39" s="4" t="b">
        <v>0</v>
      </c>
      <c r="M39" s="8" t="b">
        <v>1</v>
      </c>
      <c r="N39" s="4"/>
      <c r="O39" s="4"/>
    </row>
    <row r="40" ht="15.0" customHeight="1">
      <c r="A40" s="4" t="s">
        <v>86</v>
      </c>
      <c r="B40" s="5" t="str">
        <f t="shared" si="2"/>
        <v>https://www.tsip.ai/force/058b4565-71f7-4ebc-a015-b8c266077015</v>
      </c>
      <c r="C40" s="6" t="s">
        <v>87</v>
      </c>
      <c r="D40" s="17" t="s">
        <v>88</v>
      </c>
      <c r="E40" s="8">
        <v>60.0</v>
      </c>
      <c r="F40" s="9" t="s">
        <v>15</v>
      </c>
      <c r="G40" s="9" t="s">
        <v>15</v>
      </c>
      <c r="H40" s="9" t="s">
        <v>15</v>
      </c>
      <c r="I40" s="9" t="s">
        <v>15</v>
      </c>
      <c r="J40" s="9" t="s">
        <v>15</v>
      </c>
      <c r="K40" s="10">
        <v>46161.0</v>
      </c>
      <c r="L40" s="4" t="b">
        <v>0</v>
      </c>
      <c r="M40" s="8" t="b">
        <v>1</v>
      </c>
      <c r="N40" s="4"/>
      <c r="O40" s="4"/>
    </row>
    <row r="41">
      <c r="A41" s="4" t="s">
        <v>89</v>
      </c>
      <c r="B41" s="5" t="str">
        <f t="shared" si="2"/>
        <v>https://www.tsip.ai/force/041e6f7f-5946-4fbd-8fb3-44b05aa05bfc</v>
      </c>
      <c r="C41" s="6" t="s">
        <v>34</v>
      </c>
      <c r="D41" s="8" t="s">
        <v>90</v>
      </c>
      <c r="E41" s="8">
        <v>120.0</v>
      </c>
      <c r="F41" s="9" t="s">
        <v>15</v>
      </c>
      <c r="G41" s="9" t="s">
        <v>15</v>
      </c>
      <c r="H41" s="9" t="s">
        <v>15</v>
      </c>
      <c r="I41" s="9" t="s">
        <v>15</v>
      </c>
      <c r="J41" s="9" t="s">
        <v>15</v>
      </c>
      <c r="K41" s="10">
        <v>46161.0</v>
      </c>
      <c r="L41" s="4" t="b">
        <v>0</v>
      </c>
      <c r="M41" s="8" t="b">
        <v>1</v>
      </c>
      <c r="N41" s="4"/>
      <c r="O41" s="4"/>
    </row>
    <row r="42">
      <c r="A42" s="4" t="s">
        <v>91</v>
      </c>
      <c r="B42" s="5" t="str">
        <f t="shared" si="2"/>
        <v>https://www.tsip.ai/force/f30e6ae0-df43-4046-bcf8-a3f33b59aeb9</v>
      </c>
      <c r="C42" s="6" t="s">
        <v>34</v>
      </c>
      <c r="D42" s="8" t="s">
        <v>92</v>
      </c>
      <c r="E42" s="8">
        <v>120.0</v>
      </c>
      <c r="F42" s="9" t="s">
        <v>15</v>
      </c>
      <c r="G42" s="9" t="s">
        <v>15</v>
      </c>
      <c r="H42" s="9" t="s">
        <v>15</v>
      </c>
      <c r="I42" s="9" t="s">
        <v>15</v>
      </c>
      <c r="J42" s="9" t="s">
        <v>15</v>
      </c>
      <c r="K42" s="10">
        <v>46161.0</v>
      </c>
      <c r="L42" s="4" t="b">
        <v>0</v>
      </c>
      <c r="M42" s="8" t="b">
        <v>1</v>
      </c>
      <c r="N42" s="4"/>
      <c r="O42" s="4"/>
    </row>
    <row r="43">
      <c r="A43" s="4" t="s">
        <v>93</v>
      </c>
      <c r="B43" s="5" t="str">
        <f t="shared" si="2"/>
        <v>https://www.tsip.ai/force/be626304-e5bb-4b2f-9ce0-8b4cd83bfbf3</v>
      </c>
      <c r="C43" s="6" t="s">
        <v>23</v>
      </c>
      <c r="D43" s="8" t="s">
        <v>94</v>
      </c>
      <c r="E43" s="8">
        <v>75.0</v>
      </c>
      <c r="F43" s="9" t="s">
        <v>15</v>
      </c>
      <c r="G43" s="9" t="s">
        <v>15</v>
      </c>
      <c r="H43" s="9" t="s">
        <v>15</v>
      </c>
      <c r="I43" s="9" t="s">
        <v>15</v>
      </c>
      <c r="J43" s="9" t="s">
        <v>15</v>
      </c>
      <c r="K43" s="10">
        <v>46160.0</v>
      </c>
      <c r="L43" s="8" t="b">
        <v>0</v>
      </c>
      <c r="M43" s="8" t="b">
        <v>1</v>
      </c>
      <c r="N43" s="4"/>
      <c r="O43" s="4"/>
    </row>
    <row r="44">
      <c r="A44" s="4" t="s">
        <v>95</v>
      </c>
      <c r="B44" s="5" t="str">
        <f t="shared" si="2"/>
        <v>https://www.tsip.ai/force/bf4c8c03-081b-4fc0-898a-fe986f5af59f</v>
      </c>
      <c r="C44" s="6"/>
      <c r="D44" s="4"/>
      <c r="E44" s="4"/>
      <c r="F44" s="9" t="s">
        <v>15</v>
      </c>
      <c r="G44" s="9" t="s">
        <v>15</v>
      </c>
      <c r="H44" s="9" t="s">
        <v>15</v>
      </c>
      <c r="I44" s="9" t="s">
        <v>15</v>
      </c>
      <c r="J44" s="9" t="s">
        <v>15</v>
      </c>
      <c r="K44" s="4"/>
      <c r="L44" s="4" t="b">
        <v>0</v>
      </c>
      <c r="M44" s="4" t="b">
        <v>0</v>
      </c>
      <c r="N44" s="4"/>
      <c r="O44" s="4"/>
    </row>
    <row r="45" ht="15.75" customHeight="1">
      <c r="A45" s="4" t="s">
        <v>96</v>
      </c>
      <c r="B45" s="5" t="str">
        <f t="shared" si="2"/>
        <v>https://www.tsip.ai/force/9d414d85-a66d-4f32-b050-5fdbbd86f024</v>
      </c>
      <c r="C45" s="6" t="s">
        <v>87</v>
      </c>
      <c r="D45" s="8" t="s">
        <v>97</v>
      </c>
      <c r="E45" s="8">
        <v>60.0</v>
      </c>
      <c r="F45" s="9" t="s">
        <v>15</v>
      </c>
      <c r="G45" s="9" t="s">
        <v>15</v>
      </c>
      <c r="H45" s="9" t="s">
        <v>15</v>
      </c>
      <c r="I45" s="9" t="s">
        <v>15</v>
      </c>
      <c r="J45" s="9" t="s">
        <v>15</v>
      </c>
      <c r="K45" s="10">
        <v>46161.0</v>
      </c>
      <c r="L45" s="4" t="b">
        <v>0</v>
      </c>
      <c r="M45" s="8" t="b">
        <v>1</v>
      </c>
      <c r="N45" s="4"/>
      <c r="O45" s="4"/>
    </row>
    <row r="46">
      <c r="A46" s="4" t="s">
        <v>98</v>
      </c>
      <c r="B46" s="5" t="str">
        <f t="shared" si="2"/>
        <v>https://www.tsip.ai/force/1a694939-ce51-42dd-9273-d4121f1ffab0</v>
      </c>
      <c r="C46" s="13"/>
      <c r="D46" s="4"/>
      <c r="E46" s="4"/>
      <c r="F46" s="9" t="s">
        <v>15</v>
      </c>
      <c r="G46" s="9" t="s">
        <v>15</v>
      </c>
      <c r="H46" s="9" t="s">
        <v>15</v>
      </c>
      <c r="I46" s="9" t="s">
        <v>15</v>
      </c>
      <c r="J46" s="9" t="s">
        <v>15</v>
      </c>
      <c r="K46" s="4"/>
      <c r="L46" s="4" t="b">
        <v>0</v>
      </c>
      <c r="M46" s="4" t="b">
        <v>0</v>
      </c>
      <c r="N46" s="4"/>
      <c r="O46" s="4"/>
    </row>
    <row r="47">
      <c r="A47" s="4" t="s">
        <v>99</v>
      </c>
      <c r="B47" s="5" t="str">
        <f t="shared" si="2"/>
        <v>https://www.tsip.ai/force/6e838e97-396b-444d-9be1-91e86bcae25b</v>
      </c>
      <c r="C47" s="6" t="s">
        <v>23</v>
      </c>
      <c r="D47" s="8" t="s">
        <v>100</v>
      </c>
      <c r="E47" s="8">
        <v>65.0</v>
      </c>
      <c r="F47" s="9" t="s">
        <v>15</v>
      </c>
      <c r="G47" s="9" t="s">
        <v>15</v>
      </c>
      <c r="H47" s="9" t="s">
        <v>15</v>
      </c>
      <c r="I47" s="9" t="s">
        <v>15</v>
      </c>
      <c r="J47" s="9" t="s">
        <v>15</v>
      </c>
      <c r="K47" s="10">
        <v>46160.0</v>
      </c>
      <c r="L47" s="8" t="b">
        <v>0</v>
      </c>
      <c r="M47" s="8" t="b">
        <v>1</v>
      </c>
      <c r="N47" s="4"/>
      <c r="O47" s="4"/>
    </row>
    <row r="48">
      <c r="A48" s="4" t="s">
        <v>101</v>
      </c>
      <c r="B48" s="5" t="str">
        <f t="shared" si="2"/>
        <v>https://www.tsip.ai/force/899357e8-934d-4655-990c-5e66e404d2a2</v>
      </c>
      <c r="C48" s="6" t="s">
        <v>13</v>
      </c>
      <c r="D48" s="8" t="s">
        <v>102</v>
      </c>
      <c r="E48" s="8">
        <v>70.0</v>
      </c>
      <c r="F48" s="9" t="s">
        <v>15</v>
      </c>
      <c r="G48" s="9" t="s">
        <v>15</v>
      </c>
      <c r="H48" s="9" t="s">
        <v>15</v>
      </c>
      <c r="I48" s="9" t="s">
        <v>15</v>
      </c>
      <c r="J48" s="9" t="s">
        <v>15</v>
      </c>
      <c r="K48" s="10">
        <v>46160.0</v>
      </c>
      <c r="L48" s="4" t="b">
        <v>0</v>
      </c>
      <c r="M48" s="8" t="b">
        <v>1</v>
      </c>
      <c r="N48" s="4"/>
      <c r="O48" s="4"/>
    </row>
    <row r="49">
      <c r="A49" s="4" t="s">
        <v>103</v>
      </c>
      <c r="B49" s="5" t="str">
        <f t="shared" si="2"/>
        <v>https://www.tsip.ai/force/6ceb3036-31f8-4349-9f95-5d4777b0c7c8</v>
      </c>
      <c r="C49" s="6" t="s">
        <v>87</v>
      </c>
      <c r="D49" s="8" t="s">
        <v>104</v>
      </c>
      <c r="E49" s="8">
        <v>55.0</v>
      </c>
      <c r="F49" s="9" t="s">
        <v>15</v>
      </c>
      <c r="G49" s="9" t="s">
        <v>15</v>
      </c>
      <c r="H49" s="9" t="s">
        <v>15</v>
      </c>
      <c r="I49" s="9" t="s">
        <v>15</v>
      </c>
      <c r="J49" s="9" t="s">
        <v>15</v>
      </c>
      <c r="K49" s="10">
        <v>46161.0</v>
      </c>
      <c r="L49" s="4" t="b">
        <v>0</v>
      </c>
      <c r="M49" s="8" t="b">
        <v>1</v>
      </c>
      <c r="N49" s="4"/>
      <c r="O49" s="4"/>
    </row>
    <row r="50">
      <c r="A50" s="4" t="s">
        <v>105</v>
      </c>
      <c r="B50" s="5" t="str">
        <f t="shared" si="2"/>
        <v>https://www.tsip.ai/force/23a19259-e3c4-4823-bb05-ed7821221264</v>
      </c>
      <c r="C50" s="6" t="s">
        <v>32</v>
      </c>
      <c r="D50" s="8" t="s">
        <v>106</v>
      </c>
      <c r="E50" s="8">
        <v>100.0</v>
      </c>
      <c r="F50" s="9" t="s">
        <v>15</v>
      </c>
      <c r="G50" s="9" t="s">
        <v>15</v>
      </c>
      <c r="H50" s="9" t="s">
        <v>15</v>
      </c>
      <c r="I50" s="9" t="s">
        <v>15</v>
      </c>
      <c r="J50" s="9" t="s">
        <v>15</v>
      </c>
      <c r="K50" s="10">
        <v>46161.0</v>
      </c>
      <c r="L50" s="4" t="b">
        <v>0</v>
      </c>
      <c r="M50" s="8" t="b">
        <v>1</v>
      </c>
      <c r="N50" s="4"/>
      <c r="O50" s="4"/>
    </row>
    <row r="51">
      <c r="A51" s="4" t="s">
        <v>107</v>
      </c>
      <c r="B51" s="5" t="str">
        <f t="shared" si="2"/>
        <v>https://www.tsip.ai/force/d295bf7f-ae0d-4757-af49-90df5a265211</v>
      </c>
      <c r="C51" s="13"/>
      <c r="D51" s="4"/>
      <c r="E51" s="4"/>
      <c r="F51" s="9" t="s">
        <v>15</v>
      </c>
      <c r="G51" s="9" t="s">
        <v>15</v>
      </c>
      <c r="H51" s="9" t="s">
        <v>15</v>
      </c>
      <c r="I51" s="9" t="s">
        <v>15</v>
      </c>
      <c r="J51" s="9" t="s">
        <v>15</v>
      </c>
      <c r="K51" s="4"/>
      <c r="L51" s="4" t="b">
        <v>0</v>
      </c>
      <c r="M51" s="4" t="b">
        <v>0</v>
      </c>
      <c r="N51" s="4"/>
      <c r="O51" s="4"/>
    </row>
    <row r="52">
      <c r="A52" s="4" t="s">
        <v>108</v>
      </c>
      <c r="B52" s="5" t="str">
        <f t="shared" si="2"/>
        <v>https://www.tsip.ai/force/a6dbab57-b9a1-4329-8bed-969535af74bd</v>
      </c>
      <c r="C52" s="6" t="s">
        <v>23</v>
      </c>
      <c r="D52" s="8" t="s">
        <v>109</v>
      </c>
      <c r="E52" s="8">
        <v>60.0</v>
      </c>
      <c r="F52" s="9" t="s">
        <v>15</v>
      </c>
      <c r="G52" s="9" t="s">
        <v>15</v>
      </c>
      <c r="H52" s="9" t="s">
        <v>15</v>
      </c>
      <c r="I52" s="9" t="s">
        <v>15</v>
      </c>
      <c r="J52" s="9" t="s">
        <v>15</v>
      </c>
      <c r="K52" s="10">
        <v>46161.0</v>
      </c>
      <c r="L52" s="8" t="b">
        <v>0</v>
      </c>
      <c r="M52" s="8" t="b">
        <v>1</v>
      </c>
      <c r="N52" s="4"/>
      <c r="O52" s="4"/>
    </row>
    <row r="53">
      <c r="A53" s="4" t="s">
        <v>110</v>
      </c>
      <c r="B53" s="5" t="str">
        <f t="shared" si="2"/>
        <v>https://www.tsip.ai/force/3784aa9e-504c-4e54-b985-7a5cb8d1933a</v>
      </c>
      <c r="C53" s="6" t="s">
        <v>23</v>
      </c>
      <c r="D53" s="18" t="s">
        <v>111</v>
      </c>
      <c r="E53" s="8">
        <v>10.0</v>
      </c>
      <c r="F53" s="9" t="s">
        <v>15</v>
      </c>
      <c r="G53" s="9" t="s">
        <v>15</v>
      </c>
      <c r="H53" s="9" t="s">
        <v>15</v>
      </c>
      <c r="I53" s="9" t="s">
        <v>15</v>
      </c>
      <c r="J53" s="9" t="s">
        <v>15</v>
      </c>
      <c r="K53" s="10">
        <v>46161.0</v>
      </c>
      <c r="L53" s="8" t="b">
        <v>1</v>
      </c>
      <c r="M53" s="8" t="b">
        <v>1</v>
      </c>
      <c r="N53" s="4"/>
      <c r="O53" s="4"/>
    </row>
    <row r="54">
      <c r="A54" s="4" t="s">
        <v>112</v>
      </c>
      <c r="B54" s="5" t="str">
        <f t="shared" si="2"/>
        <v>https://www.tsip.ai/force/8d6779ec-df84-4fcb-8d42-17100bec979c</v>
      </c>
      <c r="C54" s="6" t="s">
        <v>23</v>
      </c>
      <c r="D54" s="18" t="s">
        <v>113</v>
      </c>
      <c r="E54" s="8">
        <v>65.0</v>
      </c>
      <c r="F54" s="9" t="s">
        <v>15</v>
      </c>
      <c r="G54" s="9" t="s">
        <v>15</v>
      </c>
      <c r="H54" s="9" t="s">
        <v>15</v>
      </c>
      <c r="I54" s="9" t="s">
        <v>15</v>
      </c>
      <c r="J54" s="9" t="s">
        <v>15</v>
      </c>
      <c r="K54" s="10">
        <v>46160.0</v>
      </c>
      <c r="L54" s="8" t="b">
        <v>0</v>
      </c>
      <c r="M54" s="8" t="b">
        <v>1</v>
      </c>
      <c r="N54" s="4"/>
      <c r="O54" s="4"/>
    </row>
    <row r="55">
      <c r="A55" s="4" t="s">
        <v>114</v>
      </c>
      <c r="B55" s="5" t="str">
        <f t="shared" si="2"/>
        <v>https://www.tsip.ai/force/d5f5c3cc-bec3-457a-8f25-39e33cce876f</v>
      </c>
      <c r="C55" s="13" t="s">
        <v>44</v>
      </c>
      <c r="D55" s="4"/>
      <c r="E55" s="4"/>
      <c r="F55" s="9" t="s">
        <v>15</v>
      </c>
      <c r="G55" s="9" t="s">
        <v>15</v>
      </c>
      <c r="H55" s="9" t="s">
        <v>15</v>
      </c>
      <c r="I55" s="9" t="s">
        <v>15</v>
      </c>
      <c r="J55" s="9" t="s">
        <v>15</v>
      </c>
      <c r="K55" s="4"/>
      <c r="L55" s="4" t="b">
        <v>0</v>
      </c>
      <c r="M55" s="4" t="b">
        <v>0</v>
      </c>
      <c r="N55" s="4"/>
      <c r="O55" s="4"/>
    </row>
    <row r="56">
      <c r="A56" s="4" t="s">
        <v>115</v>
      </c>
      <c r="B56" s="5" t="str">
        <f t="shared" si="2"/>
        <v>https://www.tsip.ai/force/b63e33e0-f4e9-4802-9908-2ce8ca7c074e</v>
      </c>
      <c r="C56" s="13" t="s">
        <v>44</v>
      </c>
      <c r="D56" s="4"/>
      <c r="E56" s="4"/>
      <c r="F56" s="9" t="s">
        <v>15</v>
      </c>
      <c r="G56" s="9" t="s">
        <v>15</v>
      </c>
      <c r="H56" s="9" t="s">
        <v>15</v>
      </c>
      <c r="I56" s="9" t="s">
        <v>15</v>
      </c>
      <c r="J56" s="9" t="s">
        <v>15</v>
      </c>
      <c r="K56" s="4"/>
      <c r="L56" s="4" t="b">
        <v>0</v>
      </c>
      <c r="M56" s="4" t="b">
        <v>0</v>
      </c>
      <c r="N56" s="4"/>
      <c r="O56" s="4"/>
    </row>
    <row r="57">
      <c r="A57" s="4" t="s">
        <v>116</v>
      </c>
      <c r="B57" s="5" t="str">
        <f t="shared" si="2"/>
        <v>https://www.tsip.ai/force/6be2cad2-d839-433a-837f-ead416902d88</v>
      </c>
      <c r="C57" s="13" t="s">
        <v>44</v>
      </c>
      <c r="D57" s="4"/>
      <c r="E57" s="4"/>
      <c r="F57" s="9" t="s">
        <v>15</v>
      </c>
      <c r="G57" s="9" t="s">
        <v>15</v>
      </c>
      <c r="H57" s="9" t="s">
        <v>15</v>
      </c>
      <c r="I57" s="9" t="s">
        <v>15</v>
      </c>
      <c r="J57" s="9" t="s">
        <v>15</v>
      </c>
      <c r="K57" s="4"/>
      <c r="L57" s="4" t="b">
        <v>0</v>
      </c>
      <c r="M57" s="4" t="b">
        <v>0</v>
      </c>
      <c r="N57" s="4"/>
      <c r="O57" s="4"/>
    </row>
    <row r="58">
      <c r="A58" s="4" t="s">
        <v>117</v>
      </c>
      <c r="B58" s="5" t="str">
        <f t="shared" si="2"/>
        <v>https://www.tsip.ai/force/4b3370f6-b062-4b42-a9c0-70edb4a9f649</v>
      </c>
      <c r="C58" s="13" t="s">
        <v>44</v>
      </c>
      <c r="D58" s="4"/>
      <c r="E58" s="4"/>
      <c r="F58" s="9" t="s">
        <v>15</v>
      </c>
      <c r="G58" s="9" t="s">
        <v>15</v>
      </c>
      <c r="H58" s="9" t="s">
        <v>15</v>
      </c>
      <c r="I58" s="9" t="s">
        <v>15</v>
      </c>
      <c r="J58" s="9" t="s">
        <v>15</v>
      </c>
      <c r="K58" s="4"/>
      <c r="L58" s="4" t="b">
        <v>0</v>
      </c>
      <c r="M58" s="4" t="b">
        <v>0</v>
      </c>
      <c r="N58" s="4"/>
      <c r="O58" s="4"/>
    </row>
    <row r="59">
      <c r="A59" s="4" t="s">
        <v>118</v>
      </c>
      <c r="B59" s="5" t="str">
        <f t="shared" si="2"/>
        <v>https://www.tsip.ai/force/8506d678-28b4-4dc3-8d48-e847e8bb11f0</v>
      </c>
      <c r="C59" s="6" t="s">
        <v>87</v>
      </c>
      <c r="D59" s="8" t="s">
        <v>119</v>
      </c>
      <c r="E59" s="8">
        <v>40.0</v>
      </c>
      <c r="F59" s="9" t="s">
        <v>15</v>
      </c>
      <c r="G59" s="9" t="s">
        <v>15</v>
      </c>
      <c r="H59" s="9" t="s">
        <v>15</v>
      </c>
      <c r="I59" s="9" t="s">
        <v>15</v>
      </c>
      <c r="J59" s="9" t="s">
        <v>15</v>
      </c>
      <c r="K59" s="10">
        <v>46161.0</v>
      </c>
      <c r="L59" s="4" t="b">
        <v>0</v>
      </c>
      <c r="M59" s="8" t="b">
        <v>1</v>
      </c>
      <c r="N59" s="4"/>
      <c r="O59" s="4"/>
    </row>
    <row r="60">
      <c r="A60" s="4" t="s">
        <v>120</v>
      </c>
      <c r="B60" s="5" t="str">
        <f t="shared" si="2"/>
        <v>https://www.tsip.ai/force/b6c24819-eb15-41e3-9e85-e1ec3944a1f3</v>
      </c>
      <c r="C60" s="13" t="s">
        <v>44</v>
      </c>
      <c r="D60" s="4"/>
      <c r="E60" s="4"/>
      <c r="F60" s="9" t="s">
        <v>15</v>
      </c>
      <c r="G60" s="9" t="s">
        <v>15</v>
      </c>
      <c r="H60" s="9" t="s">
        <v>15</v>
      </c>
      <c r="I60" s="9" t="s">
        <v>15</v>
      </c>
      <c r="J60" s="9" t="s">
        <v>15</v>
      </c>
      <c r="K60" s="4"/>
      <c r="L60" s="4" t="b">
        <v>0</v>
      </c>
      <c r="M60" s="4" t="b">
        <v>0</v>
      </c>
      <c r="N60" s="4"/>
      <c r="O60" s="4"/>
    </row>
    <row r="61">
      <c r="A61" s="4" t="s">
        <v>121</v>
      </c>
      <c r="B61" s="5" t="str">
        <f t="shared" si="2"/>
        <v>https://www.tsip.ai/force/3068d001-beac-4e53-ba25-1029c5b31b0a</v>
      </c>
      <c r="C61" s="6" t="s">
        <v>37</v>
      </c>
      <c r="D61" s="7" t="s">
        <v>122</v>
      </c>
      <c r="E61" s="8">
        <v>60.0</v>
      </c>
      <c r="F61" s="9" t="s">
        <v>15</v>
      </c>
      <c r="G61" s="9" t="s">
        <v>15</v>
      </c>
      <c r="H61" s="9" t="s">
        <v>15</v>
      </c>
      <c r="I61" s="9" t="s">
        <v>15</v>
      </c>
      <c r="J61" s="9" t="s">
        <v>15</v>
      </c>
      <c r="K61" s="19">
        <v>46160.0</v>
      </c>
      <c r="L61" s="4" t="b">
        <v>0</v>
      </c>
      <c r="M61" s="8" t="b">
        <v>1</v>
      </c>
      <c r="N61" s="4"/>
      <c r="O61" s="4"/>
    </row>
    <row r="62">
      <c r="A62" s="4" t="s">
        <v>123</v>
      </c>
      <c r="B62" s="5" t="str">
        <f t="shared" si="2"/>
        <v>https://www.tsip.ai/force/4afa716c-2632-44e3-a046-1d3cafde99ad</v>
      </c>
      <c r="C62" s="6" t="s">
        <v>124</v>
      </c>
      <c r="D62" s="20" t="s">
        <v>125</v>
      </c>
      <c r="E62" s="4"/>
      <c r="F62" s="9" t="s">
        <v>15</v>
      </c>
      <c r="G62" s="9" t="s">
        <v>15</v>
      </c>
      <c r="H62" s="9" t="s">
        <v>15</v>
      </c>
      <c r="I62" s="9" t="s">
        <v>15</v>
      </c>
      <c r="J62" s="9" t="s">
        <v>15</v>
      </c>
      <c r="K62" s="4"/>
      <c r="L62" s="4" t="b">
        <v>0</v>
      </c>
      <c r="M62" s="4" t="b">
        <v>0</v>
      </c>
      <c r="N62" s="4"/>
      <c r="O62" s="4"/>
    </row>
    <row r="63">
      <c r="A63" s="4" t="s">
        <v>126</v>
      </c>
      <c r="B63" s="5" t="str">
        <f t="shared" si="2"/>
        <v>https://www.tsip.ai/force/9ac50b6a-b3cc-4e39-80db-26efc527a7df</v>
      </c>
      <c r="C63" s="6" t="s">
        <v>124</v>
      </c>
      <c r="D63" s="20" t="s">
        <v>127</v>
      </c>
      <c r="E63" s="8">
        <v>70.0</v>
      </c>
      <c r="F63" s="9" t="s">
        <v>15</v>
      </c>
      <c r="G63" s="9" t="s">
        <v>15</v>
      </c>
      <c r="H63" s="9" t="s">
        <v>15</v>
      </c>
      <c r="I63" s="9" t="s">
        <v>15</v>
      </c>
      <c r="J63" s="9" t="s">
        <v>15</v>
      </c>
      <c r="K63" s="10">
        <v>46161.0</v>
      </c>
      <c r="L63" s="4" t="b">
        <v>0</v>
      </c>
      <c r="M63" s="8" t="b">
        <v>1</v>
      </c>
      <c r="N63" s="4"/>
      <c r="O63" s="4"/>
    </row>
    <row r="64">
      <c r="A64" s="7" t="s">
        <v>128</v>
      </c>
      <c r="B64" s="5" t="str">
        <f t="shared" si="2"/>
        <v>https://www.tsip.ai/force/dd5dd87a-520c-4890-ae75-645ec85a25b0</v>
      </c>
      <c r="C64" s="21" t="s">
        <v>32</v>
      </c>
      <c r="D64" s="7" t="s">
        <v>129</v>
      </c>
      <c r="E64" s="7">
        <v>80.0</v>
      </c>
      <c r="F64" s="9" t="s">
        <v>15</v>
      </c>
      <c r="G64" s="9" t="s">
        <v>15</v>
      </c>
      <c r="H64" s="9" t="s">
        <v>15</v>
      </c>
      <c r="I64" s="9" t="s">
        <v>15</v>
      </c>
      <c r="J64" s="9" t="s">
        <v>15</v>
      </c>
      <c r="K64" s="10">
        <v>46161.0</v>
      </c>
      <c r="L64" s="4" t="b">
        <v>0</v>
      </c>
      <c r="M64" s="8" t="b">
        <v>1</v>
      </c>
      <c r="N64" s="4"/>
      <c r="O64" s="4"/>
    </row>
    <row r="65">
      <c r="A65" s="4" t="s">
        <v>130</v>
      </c>
      <c r="B65" s="5" t="str">
        <f t="shared" si="2"/>
        <v>https://www.tsip.ai/force/9050883a-2ded-43ff-bdef-b111598bfe77</v>
      </c>
      <c r="C65" s="13"/>
      <c r="D65" s="7" t="s">
        <v>131</v>
      </c>
      <c r="F65" s="9" t="s">
        <v>15</v>
      </c>
      <c r="G65" s="9" t="s">
        <v>15</v>
      </c>
      <c r="H65" s="9" t="s">
        <v>15</v>
      </c>
      <c r="I65" s="9" t="s">
        <v>15</v>
      </c>
      <c r="J65" s="9" t="s">
        <v>15</v>
      </c>
      <c r="L65" s="4" t="b">
        <v>0</v>
      </c>
      <c r="M65" s="4" t="b">
        <v>0</v>
      </c>
      <c r="N65" s="4"/>
      <c r="O65" s="4"/>
    </row>
    <row r="66">
      <c r="A66" s="4" t="s">
        <v>132</v>
      </c>
      <c r="B66" s="5" t="str">
        <f t="shared" si="2"/>
        <v>https://www.tsip.ai/force/95e47754-95d9-43e7-b7ac-b7182ed26a1f</v>
      </c>
      <c r="C66" s="13"/>
      <c r="D66" s="22" t="s">
        <v>133</v>
      </c>
      <c r="F66" s="9" t="s">
        <v>15</v>
      </c>
      <c r="G66" s="9" t="s">
        <v>15</v>
      </c>
      <c r="H66" s="9" t="s">
        <v>15</v>
      </c>
      <c r="I66" s="9" t="s">
        <v>15</v>
      </c>
      <c r="J66" s="9" t="s">
        <v>15</v>
      </c>
      <c r="K66" s="19">
        <v>46160.0</v>
      </c>
      <c r="L66" s="4" t="b">
        <v>0</v>
      </c>
      <c r="M66" s="4" t="b">
        <v>0</v>
      </c>
      <c r="N66" s="4"/>
      <c r="O66" s="4"/>
    </row>
    <row r="67">
      <c r="A67" s="4" t="s">
        <v>134</v>
      </c>
      <c r="B67" s="5" t="str">
        <f t="shared" si="2"/>
        <v>https://www.tsip.ai/force/2a848255-51e8-41af-8bf6-33720f84f8f3</v>
      </c>
      <c r="C67" s="13" t="s">
        <v>135</v>
      </c>
      <c r="D67" s="7" t="s">
        <v>131</v>
      </c>
      <c r="E67" s="7">
        <v>65.0</v>
      </c>
      <c r="F67" s="9" t="s">
        <v>15</v>
      </c>
      <c r="G67" s="9" t="s">
        <v>15</v>
      </c>
      <c r="H67" s="9" t="s">
        <v>15</v>
      </c>
      <c r="I67" s="9" t="s">
        <v>15</v>
      </c>
      <c r="J67" s="9" t="s">
        <v>15</v>
      </c>
      <c r="K67" s="19">
        <v>46160.0</v>
      </c>
      <c r="L67" s="4" t="b">
        <v>0</v>
      </c>
      <c r="M67" s="8" t="b">
        <v>1</v>
      </c>
      <c r="N67" s="4"/>
      <c r="O67" s="4"/>
    </row>
    <row r="68">
      <c r="A68" s="4" t="s">
        <v>136</v>
      </c>
      <c r="B68" s="5" t="str">
        <f t="shared" si="2"/>
        <v>https://www.tsip.ai/force/1c826292-7474-41b0-b55c-c5c3026881e9</v>
      </c>
      <c r="C68" s="13" t="s">
        <v>32</v>
      </c>
      <c r="D68" s="7" t="s">
        <v>137</v>
      </c>
      <c r="E68" s="7">
        <v>60.0</v>
      </c>
      <c r="F68" s="9" t="s">
        <v>15</v>
      </c>
      <c r="G68" s="9" t="s">
        <v>15</v>
      </c>
      <c r="H68" s="9" t="s">
        <v>15</v>
      </c>
      <c r="I68" s="9" t="s">
        <v>15</v>
      </c>
      <c r="J68" s="9" t="s">
        <v>15</v>
      </c>
      <c r="K68" s="19">
        <v>46159.0</v>
      </c>
      <c r="L68" s="4" t="b">
        <v>0</v>
      </c>
      <c r="M68" s="4" t="b">
        <v>0</v>
      </c>
      <c r="N68" s="4"/>
      <c r="O68" s="4"/>
    </row>
    <row r="69">
      <c r="A69" s="4" t="s">
        <v>138</v>
      </c>
      <c r="B69" s="5" t="str">
        <f t="shared" si="2"/>
        <v>https://www.tsip.ai/force/654770a8-7e2c-447f-a770-57a6b05f1683</v>
      </c>
      <c r="C69" s="13" t="s">
        <v>20</v>
      </c>
      <c r="D69" s="7" t="s">
        <v>131</v>
      </c>
      <c r="F69" s="9" t="s">
        <v>15</v>
      </c>
      <c r="G69" s="9" t="s">
        <v>15</v>
      </c>
      <c r="H69" s="9" t="s">
        <v>15</v>
      </c>
      <c r="I69" s="9" t="s">
        <v>15</v>
      </c>
      <c r="J69" s="9" t="s">
        <v>15</v>
      </c>
      <c r="L69" s="4" t="b">
        <v>0</v>
      </c>
      <c r="M69" s="4" t="b">
        <v>0</v>
      </c>
      <c r="N69" s="4"/>
      <c r="O69" s="4"/>
    </row>
    <row r="70">
      <c r="A70" s="4" t="s">
        <v>139</v>
      </c>
      <c r="B70" s="5" t="str">
        <f t="shared" si="2"/>
        <v>https://www.tsip.ai/force/25c6fc3e-a489-4b5c-a24f-6ac3bf5f7cf2</v>
      </c>
      <c r="C70" s="13" t="s">
        <v>87</v>
      </c>
      <c r="D70" s="7" t="s">
        <v>140</v>
      </c>
      <c r="E70" s="7">
        <v>45.0</v>
      </c>
      <c r="F70" s="9" t="s">
        <v>15</v>
      </c>
      <c r="G70" s="9" t="s">
        <v>15</v>
      </c>
      <c r="H70" s="9" t="s">
        <v>15</v>
      </c>
      <c r="I70" s="9" t="s">
        <v>15</v>
      </c>
      <c r="J70" s="9" t="s">
        <v>15</v>
      </c>
      <c r="K70" s="23">
        <v>46161.0</v>
      </c>
      <c r="L70" s="4" t="b">
        <v>0</v>
      </c>
      <c r="M70" s="8" t="b">
        <v>1</v>
      </c>
      <c r="N70" s="4"/>
      <c r="O70" s="4"/>
    </row>
    <row r="71">
      <c r="A71" s="4" t="s">
        <v>141</v>
      </c>
      <c r="B71" s="5" t="str">
        <f t="shared" si="2"/>
        <v>https://www.tsip.ai/force/3426a792-0dce-4172-99f3-ad16f69e29e3</v>
      </c>
      <c r="C71" s="4"/>
      <c r="D71" s="7" t="s">
        <v>131</v>
      </c>
      <c r="F71" s="9" t="s">
        <v>15</v>
      </c>
      <c r="G71" s="9" t="s">
        <v>15</v>
      </c>
      <c r="H71" s="9" t="s">
        <v>15</v>
      </c>
      <c r="I71" s="9" t="s">
        <v>15</v>
      </c>
      <c r="J71" s="9" t="s">
        <v>15</v>
      </c>
      <c r="L71" s="4" t="b">
        <v>0</v>
      </c>
      <c r="M71" s="4" t="b">
        <v>0</v>
      </c>
      <c r="N71" s="4"/>
      <c r="O71" s="4"/>
    </row>
    <row r="72">
      <c r="A72" s="4" t="s">
        <v>142</v>
      </c>
      <c r="B72" s="5" t="str">
        <f t="shared" si="2"/>
        <v>https://www.tsip.ai/force/f355ac29-6025-4a13-a04b-b1e0b9cf0b67</v>
      </c>
      <c r="C72" s="13" t="s">
        <v>44</v>
      </c>
      <c r="E72" s="24">
        <v>62.0</v>
      </c>
      <c r="F72" s="9" t="s">
        <v>15</v>
      </c>
      <c r="G72" s="9" t="s">
        <v>15</v>
      </c>
      <c r="H72" s="9" t="s">
        <v>15</v>
      </c>
      <c r="I72" s="9" t="s">
        <v>15</v>
      </c>
      <c r="J72" s="9" t="s">
        <v>15</v>
      </c>
      <c r="K72" s="23">
        <v>46159.0</v>
      </c>
      <c r="L72" s="4" t="b">
        <v>0</v>
      </c>
      <c r="M72" s="8" t="b">
        <v>1</v>
      </c>
      <c r="N72" s="4"/>
      <c r="O72" s="4"/>
    </row>
    <row r="73">
      <c r="A73" s="4" t="s">
        <v>143</v>
      </c>
      <c r="B73" s="5" t="str">
        <f t="shared" si="2"/>
        <v>https://www.tsip.ai/force/68f08b51-5cf5-446d-ac68-50ed30841bdc</v>
      </c>
      <c r="C73" s="13" t="s">
        <v>44</v>
      </c>
      <c r="E73" s="24">
        <v>77.0</v>
      </c>
      <c r="F73" s="9" t="s">
        <v>15</v>
      </c>
      <c r="G73" s="9" t="s">
        <v>15</v>
      </c>
      <c r="H73" s="9" t="s">
        <v>15</v>
      </c>
      <c r="I73" s="9" t="s">
        <v>15</v>
      </c>
      <c r="J73" s="9" t="s">
        <v>15</v>
      </c>
      <c r="K73" s="10">
        <v>46159.0</v>
      </c>
      <c r="L73" s="4" t="b">
        <v>0</v>
      </c>
      <c r="M73" s="8" t="b">
        <v>1</v>
      </c>
      <c r="N73" s="4"/>
      <c r="O73" s="4"/>
    </row>
    <row r="74">
      <c r="A74" s="4" t="s">
        <v>144</v>
      </c>
      <c r="B74" s="5" t="str">
        <f t="shared" si="2"/>
        <v>https://www.tsip.ai/force/a8590094-240a-4bd5-9fc9-1957975c02cd</v>
      </c>
      <c r="C74" s="13" t="s">
        <v>32</v>
      </c>
      <c r="D74" s="7" t="s">
        <v>131</v>
      </c>
      <c r="E74" s="24">
        <v>70.0</v>
      </c>
      <c r="F74" s="9" t="s">
        <v>15</v>
      </c>
      <c r="G74" s="9" t="s">
        <v>15</v>
      </c>
      <c r="H74" s="9" t="s">
        <v>15</v>
      </c>
      <c r="I74" s="9" t="s">
        <v>15</v>
      </c>
      <c r="J74" s="9" t="s">
        <v>15</v>
      </c>
      <c r="K74" s="4"/>
      <c r="L74" s="4" t="b">
        <v>0</v>
      </c>
      <c r="M74" s="8" t="b">
        <v>1</v>
      </c>
      <c r="N74" s="4"/>
      <c r="O74" s="4"/>
    </row>
    <row r="75">
      <c r="A75" s="4" t="s">
        <v>145</v>
      </c>
      <c r="B75" s="5" t="str">
        <f t="shared" si="2"/>
        <v>https://www.tsip.ai/force/3166a5a4-9fa1-4cb6-9cb7-69efb4129132</v>
      </c>
      <c r="C75" s="6" t="s">
        <v>23</v>
      </c>
      <c r="D75" s="22" t="s">
        <v>146</v>
      </c>
      <c r="E75" s="8">
        <v>10.0</v>
      </c>
      <c r="F75" s="9" t="s">
        <v>15</v>
      </c>
      <c r="G75" s="9" t="s">
        <v>15</v>
      </c>
      <c r="H75" s="9" t="s">
        <v>15</v>
      </c>
      <c r="I75" s="9" t="s">
        <v>15</v>
      </c>
      <c r="J75" s="9" t="s">
        <v>15</v>
      </c>
      <c r="K75" s="10">
        <v>46161.0</v>
      </c>
      <c r="L75" s="8" t="b">
        <v>1</v>
      </c>
      <c r="M75" s="8" t="b">
        <v>1</v>
      </c>
      <c r="N75" s="4"/>
      <c r="O75" s="4"/>
    </row>
    <row r="76">
      <c r="A76" s="4" t="s">
        <v>147</v>
      </c>
      <c r="B76" s="5" t="str">
        <f t="shared" si="2"/>
        <v>https://www.tsip.ai/force/f37029d6-f2f6-458e-803a-32d664f3e0ca</v>
      </c>
      <c r="C76" s="6"/>
      <c r="E76" s="4"/>
      <c r="F76" s="9" t="s">
        <v>15</v>
      </c>
      <c r="G76" s="9" t="s">
        <v>15</v>
      </c>
      <c r="H76" s="9" t="s">
        <v>15</v>
      </c>
      <c r="I76" s="9" t="s">
        <v>15</v>
      </c>
      <c r="J76" s="9" t="s">
        <v>15</v>
      </c>
      <c r="K76" s="4"/>
      <c r="L76" s="4" t="b">
        <v>0</v>
      </c>
      <c r="M76" s="4" t="b">
        <v>0</v>
      </c>
      <c r="N76" s="4"/>
      <c r="O76" s="4"/>
    </row>
    <row r="77">
      <c r="A77" s="4" t="s">
        <v>148</v>
      </c>
      <c r="B77" s="5" t="str">
        <f t="shared" si="2"/>
        <v>https://www.tsip.ai/force/d44d1f90-a527-4f89-b6b8-7b0182b31ac6</v>
      </c>
      <c r="C77" s="6"/>
      <c r="E77" s="4"/>
      <c r="F77" s="9" t="s">
        <v>15</v>
      </c>
      <c r="G77" s="9" t="s">
        <v>15</v>
      </c>
      <c r="H77" s="9" t="s">
        <v>15</v>
      </c>
      <c r="I77" s="9" t="s">
        <v>15</v>
      </c>
      <c r="J77" s="9" t="s">
        <v>15</v>
      </c>
      <c r="K77" s="4"/>
      <c r="L77" s="4" t="b">
        <v>0</v>
      </c>
      <c r="M77" s="4" t="b">
        <v>0</v>
      </c>
      <c r="N77" s="4"/>
      <c r="O77" s="4"/>
    </row>
    <row r="78">
      <c r="A78" s="4" t="s">
        <v>149</v>
      </c>
      <c r="B78" s="5" t="str">
        <f t="shared" si="2"/>
        <v>https://www.tsip.ai/force/274a5df8-9de4-47da-a688-f7c2c545426a</v>
      </c>
      <c r="C78" s="6" t="s">
        <v>23</v>
      </c>
      <c r="D78" s="7" t="s">
        <v>131</v>
      </c>
      <c r="E78" s="7">
        <v>60.0</v>
      </c>
      <c r="F78" s="9" t="s">
        <v>15</v>
      </c>
      <c r="G78" s="9" t="s">
        <v>15</v>
      </c>
      <c r="H78" s="9" t="s">
        <v>15</v>
      </c>
      <c r="I78" s="9" t="s">
        <v>15</v>
      </c>
      <c r="J78" s="9" t="s">
        <v>15</v>
      </c>
      <c r="K78" s="10">
        <v>46160.0</v>
      </c>
      <c r="L78" s="8" t="b">
        <v>0</v>
      </c>
      <c r="M78" s="8" t="b">
        <v>1</v>
      </c>
      <c r="N78" s="4"/>
      <c r="O78" s="4"/>
    </row>
    <row r="79">
      <c r="A79" s="4" t="s">
        <v>150</v>
      </c>
      <c r="B79" s="5" t="str">
        <f t="shared" si="2"/>
        <v>https://www.tsip.ai/force/735a68dd-f94a-4837-aa1a-4e4db7330811</v>
      </c>
      <c r="C79" s="6"/>
      <c r="D79" s="7" t="s">
        <v>131</v>
      </c>
      <c r="E79" s="4"/>
      <c r="F79" s="9" t="s">
        <v>15</v>
      </c>
      <c r="G79" s="9" t="s">
        <v>15</v>
      </c>
      <c r="H79" s="9" t="s">
        <v>15</v>
      </c>
      <c r="I79" s="9" t="s">
        <v>15</v>
      </c>
      <c r="J79" s="9" t="s">
        <v>15</v>
      </c>
      <c r="K79" s="4"/>
      <c r="L79" s="4" t="b">
        <v>0</v>
      </c>
      <c r="M79" s="4" t="b">
        <v>0</v>
      </c>
      <c r="N79" s="4"/>
      <c r="O79" s="4"/>
    </row>
    <row r="80">
      <c r="A80" s="4" t="s">
        <v>151</v>
      </c>
      <c r="B80" s="5" t="str">
        <f t="shared" si="2"/>
        <v>https://www.tsip.ai/force/fe06a32d-2474-4338-8d11-e6391b0e0002</v>
      </c>
      <c r="C80" s="13" t="s">
        <v>34</v>
      </c>
      <c r="D80" s="7" t="s">
        <v>131</v>
      </c>
      <c r="E80" s="7">
        <v>120.0</v>
      </c>
      <c r="F80" s="9" t="s">
        <v>15</v>
      </c>
      <c r="G80" s="9" t="s">
        <v>15</v>
      </c>
      <c r="H80" s="9" t="s">
        <v>15</v>
      </c>
      <c r="I80" s="9" t="s">
        <v>15</v>
      </c>
      <c r="J80" s="9" t="s">
        <v>15</v>
      </c>
      <c r="K80" s="10">
        <v>46160.0</v>
      </c>
      <c r="L80" s="4" t="b">
        <v>0</v>
      </c>
      <c r="M80" s="8" t="b">
        <v>1</v>
      </c>
      <c r="N80" s="4"/>
      <c r="O80" s="4"/>
    </row>
    <row r="81">
      <c r="A81" s="4" t="s">
        <v>152</v>
      </c>
      <c r="B81" s="5" t="str">
        <f t="shared" si="2"/>
        <v>https://www.tsip.ai/force/c603f188-012e-432c-987a-bab69d68e967</v>
      </c>
      <c r="C81" s="6" t="s">
        <v>17</v>
      </c>
      <c r="D81" s="7" t="s">
        <v>153</v>
      </c>
      <c r="E81" s="4"/>
      <c r="F81" s="9" t="s">
        <v>15</v>
      </c>
      <c r="G81" s="9" t="s">
        <v>15</v>
      </c>
      <c r="H81" s="9" t="s">
        <v>15</v>
      </c>
      <c r="I81" s="9" t="s">
        <v>15</v>
      </c>
      <c r="J81" s="9" t="s">
        <v>15</v>
      </c>
      <c r="K81" s="4"/>
      <c r="L81" s="4" t="b">
        <v>0</v>
      </c>
      <c r="M81" s="4" t="b">
        <v>0</v>
      </c>
      <c r="N81" s="4"/>
      <c r="O81" s="4"/>
    </row>
    <row r="82">
      <c r="A82" s="4" t="s">
        <v>154</v>
      </c>
      <c r="B82" s="5" t="str">
        <f t="shared" si="2"/>
        <v>https://www.tsip.ai/force/4d4aebcd-b8ad-4ced-bf88-65f873ada047</v>
      </c>
      <c r="C82" s="13" t="s">
        <v>34</v>
      </c>
      <c r="D82" s="7" t="s">
        <v>131</v>
      </c>
      <c r="E82" s="8">
        <v>300.0</v>
      </c>
      <c r="F82" s="9" t="s">
        <v>15</v>
      </c>
      <c r="G82" s="9" t="s">
        <v>15</v>
      </c>
      <c r="H82" s="9" t="s">
        <v>15</v>
      </c>
      <c r="I82" s="9" t="s">
        <v>15</v>
      </c>
      <c r="J82" s="9" t="s">
        <v>15</v>
      </c>
      <c r="K82" s="10">
        <v>46160.0</v>
      </c>
      <c r="L82" s="4" t="b">
        <v>0</v>
      </c>
      <c r="M82" s="8" t="b">
        <v>1</v>
      </c>
      <c r="N82" s="4"/>
      <c r="O82" s="4"/>
    </row>
    <row r="83">
      <c r="A83" s="4" t="s">
        <v>155</v>
      </c>
      <c r="B83" s="5" t="str">
        <f t="shared" si="2"/>
        <v>https://www.tsip.ai/force/f294960f-a3ca-40cf-acca-b9590c052592</v>
      </c>
      <c r="C83" s="13" t="s">
        <v>156</v>
      </c>
      <c r="D83" s="7" t="s">
        <v>131</v>
      </c>
      <c r="E83" s="8">
        <v>200.0</v>
      </c>
      <c r="F83" s="9" t="s">
        <v>15</v>
      </c>
      <c r="G83" s="9" t="s">
        <v>15</v>
      </c>
      <c r="H83" s="9" t="s">
        <v>15</v>
      </c>
      <c r="I83" s="9" t="s">
        <v>15</v>
      </c>
      <c r="J83" s="9" t="s">
        <v>15</v>
      </c>
      <c r="K83" s="10">
        <v>46160.0</v>
      </c>
      <c r="L83" s="4" t="b">
        <v>0</v>
      </c>
      <c r="M83" s="8" t="b">
        <v>1</v>
      </c>
      <c r="N83" s="4"/>
      <c r="O83" s="4"/>
    </row>
    <row r="84">
      <c r="A84" s="4" t="s">
        <v>157</v>
      </c>
      <c r="B84" s="5" t="str">
        <f t="shared" si="2"/>
        <v>https://www.tsip.ai/force/837b4154-66d4-4608-ae5e-c276a5353e0a</v>
      </c>
      <c r="C84" s="13" t="s">
        <v>62</v>
      </c>
      <c r="D84" s="7" t="s">
        <v>131</v>
      </c>
      <c r="E84" s="24">
        <v>48.0</v>
      </c>
      <c r="F84" s="9" t="s">
        <v>15</v>
      </c>
      <c r="G84" s="9" t="s">
        <v>15</v>
      </c>
      <c r="H84" s="9" t="s">
        <v>15</v>
      </c>
      <c r="I84" s="9" t="s">
        <v>15</v>
      </c>
      <c r="J84" s="9" t="s">
        <v>15</v>
      </c>
      <c r="K84" s="25">
        <v>46160.0</v>
      </c>
      <c r="L84" s="4"/>
      <c r="M84" s="8" t="b">
        <v>1</v>
      </c>
      <c r="N84" s="4"/>
      <c r="O84" s="4"/>
    </row>
    <row r="85">
      <c r="A85" s="4" t="s">
        <v>158</v>
      </c>
      <c r="B85" s="5" t="str">
        <f t="shared" si="2"/>
        <v>https://www.tsip.ai/force/1edd989b-7321-4735-a6f3-3ee860e97797</v>
      </c>
      <c r="C85" s="13" t="s">
        <v>62</v>
      </c>
      <c r="D85" s="7" t="s">
        <v>131</v>
      </c>
      <c r="E85" s="24">
        <v>67.0</v>
      </c>
      <c r="F85" s="9" t="s">
        <v>15</v>
      </c>
      <c r="G85" s="9" t="s">
        <v>15</v>
      </c>
      <c r="H85" s="9" t="s">
        <v>15</v>
      </c>
      <c r="I85" s="9" t="s">
        <v>15</v>
      </c>
      <c r="J85" s="9" t="s">
        <v>15</v>
      </c>
      <c r="K85" s="25">
        <v>46160.0</v>
      </c>
      <c r="L85" s="4"/>
      <c r="M85" s="8" t="b">
        <v>1</v>
      </c>
      <c r="N85" s="4"/>
      <c r="O85" s="4"/>
    </row>
    <row r="86">
      <c r="A86" s="4" t="s">
        <v>159</v>
      </c>
      <c r="B86" s="5" t="str">
        <f t="shared" si="2"/>
        <v>https://www.tsip.ai/force/8acc4474-5e33-4ec3-a13b-91af7d059e53</v>
      </c>
      <c r="C86" s="13" t="s">
        <v>62</v>
      </c>
      <c r="D86" s="7" t="s">
        <v>131</v>
      </c>
      <c r="E86" s="24">
        <v>60.0</v>
      </c>
      <c r="F86" s="9" t="s">
        <v>15</v>
      </c>
      <c r="G86" s="9" t="s">
        <v>15</v>
      </c>
      <c r="H86" s="9" t="s">
        <v>15</v>
      </c>
      <c r="I86" s="9" t="s">
        <v>15</v>
      </c>
      <c r="J86" s="9" t="s">
        <v>15</v>
      </c>
      <c r="K86" s="25">
        <v>46160.0</v>
      </c>
      <c r="L86" s="4"/>
      <c r="M86" s="8" t="b">
        <v>1</v>
      </c>
      <c r="N86" s="4"/>
      <c r="O86" s="4"/>
    </row>
    <row r="87">
      <c r="A87" s="4" t="s">
        <v>160</v>
      </c>
      <c r="B87" s="5" t="str">
        <f t="shared" si="2"/>
        <v>https://www.tsip.ai/force/a9ecec1f-7c00-483e-a8a2-ca5e37bb67d7</v>
      </c>
      <c r="C87" s="13" t="s">
        <v>62</v>
      </c>
      <c r="D87" s="7" t="s">
        <v>131</v>
      </c>
      <c r="E87" s="24">
        <v>80.0</v>
      </c>
      <c r="F87" s="9" t="s">
        <v>15</v>
      </c>
      <c r="G87" s="9" t="s">
        <v>15</v>
      </c>
      <c r="H87" s="9" t="s">
        <v>15</v>
      </c>
      <c r="I87" s="9" t="s">
        <v>15</v>
      </c>
      <c r="J87" s="9" t="s">
        <v>15</v>
      </c>
      <c r="K87" s="25">
        <v>46160.0</v>
      </c>
      <c r="L87" s="4"/>
      <c r="M87" s="8" t="b">
        <v>1</v>
      </c>
      <c r="N87" s="4"/>
      <c r="O87" s="4"/>
    </row>
    <row r="88">
      <c r="A88" s="4" t="s">
        <v>161</v>
      </c>
      <c r="B88" s="5" t="str">
        <f t="shared" si="2"/>
        <v>https://www.tsip.ai/force/91773d4f-fedd-4d3c-869c-677ea3db26c5</v>
      </c>
      <c r="C88" s="13" t="s">
        <v>124</v>
      </c>
      <c r="D88" s="26" t="s">
        <v>162</v>
      </c>
      <c r="E88" s="8">
        <v>75.0</v>
      </c>
      <c r="F88" s="9" t="s">
        <v>15</v>
      </c>
      <c r="G88" s="9" t="s">
        <v>15</v>
      </c>
      <c r="H88" s="9" t="s">
        <v>15</v>
      </c>
      <c r="I88" s="9" t="s">
        <v>15</v>
      </c>
      <c r="J88" s="9" t="s">
        <v>15</v>
      </c>
      <c r="K88" s="10">
        <v>46161.0</v>
      </c>
      <c r="L88" s="4" t="b">
        <v>0</v>
      </c>
      <c r="M88" s="8" t="b">
        <v>1</v>
      </c>
      <c r="N88" s="4"/>
      <c r="O88" s="4"/>
    </row>
    <row r="89" ht="15.75" customHeight="1">
      <c r="A89" s="4" t="s">
        <v>163</v>
      </c>
      <c r="B89" s="5" t="str">
        <f t="shared" si="2"/>
        <v>https://www.tsip.ai/force/67f9d9b6-ddab-458f-825e-472de522a481</v>
      </c>
      <c r="C89" s="13" t="s">
        <v>62</v>
      </c>
      <c r="D89" s="8" t="s">
        <v>164</v>
      </c>
      <c r="E89" s="8">
        <v>60.0</v>
      </c>
      <c r="F89" s="9" t="s">
        <v>15</v>
      </c>
      <c r="G89" s="9" t="s">
        <v>15</v>
      </c>
      <c r="H89" s="9" t="s">
        <v>15</v>
      </c>
      <c r="I89" s="9" t="s">
        <v>15</v>
      </c>
      <c r="J89" s="9" t="s">
        <v>15</v>
      </c>
      <c r="K89" s="10">
        <v>46161.0</v>
      </c>
      <c r="L89" s="4" t="b">
        <v>0</v>
      </c>
      <c r="M89" s="8" t="b">
        <v>1</v>
      </c>
      <c r="N89" s="4"/>
      <c r="O89" s="4"/>
    </row>
    <row r="90">
      <c r="A90" s="4" t="s">
        <v>165</v>
      </c>
      <c r="B90" s="5" t="str">
        <f t="shared" si="2"/>
        <v>https://www.tsip.ai/force/fedb1a49-141f-4903-bb1d-af4e416f99e9</v>
      </c>
      <c r="C90" s="6" t="s">
        <v>23</v>
      </c>
      <c r="D90" s="22" t="s">
        <v>166</v>
      </c>
      <c r="E90" s="8">
        <v>5.0</v>
      </c>
      <c r="F90" s="9" t="s">
        <v>15</v>
      </c>
      <c r="G90" s="9" t="s">
        <v>15</v>
      </c>
      <c r="H90" s="9" t="s">
        <v>15</v>
      </c>
      <c r="I90" s="9" t="s">
        <v>15</v>
      </c>
      <c r="J90" s="9" t="s">
        <v>15</v>
      </c>
      <c r="K90" s="10">
        <v>46161.0</v>
      </c>
      <c r="L90" s="4" t="b">
        <v>0</v>
      </c>
      <c r="M90" s="4" t="b">
        <v>0</v>
      </c>
      <c r="N90" s="4"/>
      <c r="O90" s="4"/>
    </row>
    <row r="91">
      <c r="A91" s="4" t="s">
        <v>167</v>
      </c>
      <c r="B91" s="5" t="str">
        <f t="shared" si="2"/>
        <v>https://www.tsip.ai/force/88bf1a51-3a20-4248-aa51-d6f16244776d</v>
      </c>
      <c r="C91" s="4"/>
      <c r="D91" s="22" t="s">
        <v>168</v>
      </c>
      <c r="E91" s="4"/>
      <c r="F91" s="9" t="s">
        <v>15</v>
      </c>
      <c r="G91" s="9" t="s">
        <v>15</v>
      </c>
      <c r="H91" s="9" t="s">
        <v>15</v>
      </c>
      <c r="I91" s="9" t="s">
        <v>15</v>
      </c>
      <c r="J91" s="9" t="s">
        <v>15</v>
      </c>
      <c r="K91" s="4"/>
      <c r="L91" s="4" t="b">
        <v>0</v>
      </c>
      <c r="M91" s="4" t="b">
        <v>0</v>
      </c>
      <c r="N91" s="4"/>
      <c r="O91" s="4"/>
    </row>
    <row r="92">
      <c r="A92" s="4" t="s">
        <v>169</v>
      </c>
      <c r="B92" s="5" t="str">
        <f t="shared" si="2"/>
        <v>https://www.tsip.ai/force/ed6c77a7-69a7-4c66-9b3b-277ccab17b9d</v>
      </c>
      <c r="C92" s="13" t="s">
        <v>135</v>
      </c>
      <c r="D92" s="7" t="s">
        <v>131</v>
      </c>
      <c r="E92" s="4"/>
      <c r="F92" s="9" t="s">
        <v>15</v>
      </c>
      <c r="G92" s="9" t="s">
        <v>15</v>
      </c>
      <c r="H92" s="9" t="s">
        <v>15</v>
      </c>
      <c r="I92" s="9" t="s">
        <v>15</v>
      </c>
      <c r="J92" s="9" t="s">
        <v>15</v>
      </c>
      <c r="K92" s="4"/>
      <c r="L92" s="4" t="b">
        <v>0</v>
      </c>
      <c r="M92" s="4" t="b">
        <v>0</v>
      </c>
      <c r="N92" s="4"/>
      <c r="O92" s="4"/>
    </row>
    <row r="93">
      <c r="A93" s="4" t="s">
        <v>170</v>
      </c>
      <c r="B93" s="5" t="str">
        <f t="shared" si="2"/>
        <v>https://www.tsip.ai/force/7e1002d3-e929-49ff-b66f-0c8639cd3d49</v>
      </c>
      <c r="C93" s="13" t="s">
        <v>37</v>
      </c>
      <c r="D93" s="7" t="s">
        <v>131</v>
      </c>
      <c r="E93" s="4"/>
      <c r="F93" s="9" t="s">
        <v>15</v>
      </c>
      <c r="G93" s="9" t="s">
        <v>15</v>
      </c>
      <c r="H93" s="9" t="s">
        <v>15</v>
      </c>
      <c r="I93" s="9" t="s">
        <v>15</v>
      </c>
      <c r="J93" s="9" t="s">
        <v>15</v>
      </c>
      <c r="K93" s="4"/>
      <c r="L93" s="4" t="b">
        <v>0</v>
      </c>
      <c r="M93" s="4" t="b">
        <v>0</v>
      </c>
      <c r="N93" s="4"/>
      <c r="O93" s="4"/>
    </row>
    <row r="94">
      <c r="A94" s="4" t="s">
        <v>171</v>
      </c>
      <c r="B94" s="5" t="str">
        <f t="shared" si="2"/>
        <v>https://www.tsip.ai/force/f54cc8f4-531c-43ad-8271-0731f6a5fc1f</v>
      </c>
      <c r="C94" s="13" t="s">
        <v>13</v>
      </c>
      <c r="D94" s="7" t="s">
        <v>131</v>
      </c>
      <c r="E94" s="7">
        <v>60.0</v>
      </c>
      <c r="F94" s="9" t="s">
        <v>15</v>
      </c>
      <c r="G94" s="9" t="s">
        <v>15</v>
      </c>
      <c r="H94" s="9" t="s">
        <v>15</v>
      </c>
      <c r="I94" s="9" t="s">
        <v>15</v>
      </c>
      <c r="J94" s="9" t="s">
        <v>15</v>
      </c>
      <c r="K94" s="23">
        <v>46160.0</v>
      </c>
      <c r="L94" s="4"/>
      <c r="M94" s="8" t="b">
        <v>1</v>
      </c>
      <c r="N94" s="4"/>
      <c r="O94" s="4"/>
    </row>
    <row r="95" ht="15.0" customHeight="1">
      <c r="A95" s="4" t="s">
        <v>172</v>
      </c>
      <c r="B95" s="5" t="str">
        <f t="shared" si="2"/>
        <v>https://www.tsip.ai/force/bcdd0085-aeb2-483b-937b-3eca8c90a71a</v>
      </c>
      <c r="C95" s="13" t="s">
        <v>62</v>
      </c>
      <c r="D95" s="7" t="s">
        <v>173</v>
      </c>
      <c r="E95" s="8">
        <v>95.0</v>
      </c>
      <c r="F95" s="9" t="s">
        <v>15</v>
      </c>
      <c r="G95" s="9" t="s">
        <v>15</v>
      </c>
      <c r="H95" s="9" t="s">
        <v>15</v>
      </c>
      <c r="I95" s="9" t="s">
        <v>15</v>
      </c>
      <c r="J95" s="9" t="s">
        <v>15</v>
      </c>
      <c r="K95" s="10">
        <v>46161.0</v>
      </c>
      <c r="L95" s="8" t="b">
        <v>0</v>
      </c>
      <c r="M95" s="8" t="b">
        <v>1</v>
      </c>
      <c r="N95" s="4"/>
      <c r="O95" s="4"/>
    </row>
    <row r="96">
      <c r="A96" s="4" t="s">
        <v>174</v>
      </c>
      <c r="B96" s="5" t="str">
        <f t="shared" si="2"/>
        <v>https://www.tsip.ai/force/ecea9d6b-d4fa-4ceb-9612-428e69c57930</v>
      </c>
      <c r="C96" s="13" t="s">
        <v>37</v>
      </c>
      <c r="D96" s="7" t="s">
        <v>131</v>
      </c>
      <c r="E96" s="7">
        <v>50.0</v>
      </c>
      <c r="F96" s="9" t="s">
        <v>15</v>
      </c>
      <c r="G96" s="9" t="s">
        <v>15</v>
      </c>
      <c r="H96" s="9" t="s">
        <v>15</v>
      </c>
      <c r="I96" s="9" t="s">
        <v>15</v>
      </c>
      <c r="J96" s="9" t="s">
        <v>15</v>
      </c>
      <c r="K96" s="19">
        <v>46159.0</v>
      </c>
      <c r="L96" s="4"/>
      <c r="M96" s="8" t="b">
        <v>1</v>
      </c>
      <c r="N96" s="4"/>
      <c r="O96" s="4"/>
    </row>
    <row r="97">
      <c r="A97" s="4" t="s">
        <v>175</v>
      </c>
      <c r="B97" s="5" t="str">
        <f t="shared" si="2"/>
        <v>https://www.tsip.ai/force/cf2067a1-99b4-4c0d-817b-01e60ba24c80</v>
      </c>
      <c r="C97" s="13" t="s">
        <v>32</v>
      </c>
      <c r="D97" s="7" t="s">
        <v>176</v>
      </c>
      <c r="E97" s="7">
        <v>50.0</v>
      </c>
      <c r="F97" s="9" t="s">
        <v>15</v>
      </c>
      <c r="G97" s="9" t="s">
        <v>15</v>
      </c>
      <c r="H97" s="9" t="s">
        <v>15</v>
      </c>
      <c r="I97" s="9" t="s">
        <v>15</v>
      </c>
      <c r="J97" s="9" t="s">
        <v>15</v>
      </c>
      <c r="K97" s="19">
        <v>46160.0</v>
      </c>
      <c r="L97" s="4"/>
      <c r="M97" s="8" t="b">
        <v>1</v>
      </c>
      <c r="N97" s="4"/>
      <c r="O97" s="4"/>
    </row>
    <row r="98">
      <c r="A98" s="4" t="s">
        <v>177</v>
      </c>
      <c r="B98" s="5" t="str">
        <f t="shared" si="2"/>
        <v>https://www.tsip.ai/force/455a84b6-0dec-4e36-9f0c-a49a25261eda</v>
      </c>
      <c r="C98" s="6" t="s">
        <v>87</v>
      </c>
      <c r="D98" s="8" t="s">
        <v>178</v>
      </c>
      <c r="E98" s="8">
        <v>70.0</v>
      </c>
      <c r="F98" s="9" t="s">
        <v>15</v>
      </c>
      <c r="G98" s="9" t="s">
        <v>15</v>
      </c>
      <c r="H98" s="9" t="s">
        <v>15</v>
      </c>
      <c r="I98" s="9" t="s">
        <v>15</v>
      </c>
      <c r="J98" s="9" t="s">
        <v>15</v>
      </c>
      <c r="K98" s="10">
        <v>46161.0</v>
      </c>
      <c r="L98" s="4" t="b">
        <v>0</v>
      </c>
      <c r="M98" s="8" t="b">
        <v>1</v>
      </c>
      <c r="N98" s="4"/>
      <c r="O98" s="4"/>
    </row>
    <row r="99">
      <c r="A99" s="4" t="s">
        <v>179</v>
      </c>
      <c r="B99" s="5" t="str">
        <f t="shared" si="2"/>
        <v>https://www.tsip.ai/force/e3c878e1-31cc-44a5-9d12-3045a0475fdd</v>
      </c>
      <c r="C99" s="8"/>
      <c r="D99" s="4"/>
      <c r="E99" s="4"/>
      <c r="F99" s="9" t="s">
        <v>15</v>
      </c>
      <c r="G99" s="9" t="s">
        <v>15</v>
      </c>
      <c r="H99" s="9" t="s">
        <v>15</v>
      </c>
      <c r="I99" s="9" t="s">
        <v>15</v>
      </c>
      <c r="J99" s="9" t="s">
        <v>15</v>
      </c>
      <c r="K99" s="4"/>
      <c r="L99" s="4" t="b">
        <v>0</v>
      </c>
      <c r="M99" s="4" t="b">
        <v>0</v>
      </c>
      <c r="N99" s="4"/>
      <c r="O99" s="4"/>
    </row>
    <row r="100">
      <c r="A100" s="4" t="s">
        <v>180</v>
      </c>
      <c r="B100" s="5" t="str">
        <f t="shared" si="2"/>
        <v>https://www.tsip.ai/force/36ab5d58-e3a7-40e2-9388-e1d156a775f7</v>
      </c>
      <c r="C100" s="4"/>
      <c r="D100" s="4"/>
      <c r="E100" s="4"/>
      <c r="F100" s="9" t="s">
        <v>15</v>
      </c>
      <c r="G100" s="9" t="s">
        <v>15</v>
      </c>
      <c r="H100" s="9" t="s">
        <v>15</v>
      </c>
      <c r="I100" s="9" t="s">
        <v>15</v>
      </c>
      <c r="J100" s="9" t="s">
        <v>15</v>
      </c>
      <c r="K100" s="4"/>
      <c r="L100" s="4" t="b">
        <v>0</v>
      </c>
      <c r="M100" s="4" t="b">
        <v>0</v>
      </c>
      <c r="N100" s="4"/>
      <c r="O100" s="4"/>
    </row>
    <row r="101">
      <c r="A101" s="4" t="s">
        <v>181</v>
      </c>
      <c r="B101" s="5" t="str">
        <f t="shared" si="2"/>
        <v>https://www.tsip.ai/force/1ef74bd2-64b2-448e-a858-57a93046a5fd</v>
      </c>
      <c r="F101" s="9" t="s">
        <v>15</v>
      </c>
      <c r="G101" s="9" t="s">
        <v>15</v>
      </c>
      <c r="H101" s="9" t="s">
        <v>15</v>
      </c>
      <c r="I101" s="9" t="s">
        <v>15</v>
      </c>
      <c r="J101" s="9" t="s">
        <v>15</v>
      </c>
      <c r="L101" s="7" t="s">
        <v>182</v>
      </c>
      <c r="M101" s="4" t="b">
        <v>0</v>
      </c>
      <c r="N101" s="4"/>
    </row>
    <row r="102">
      <c r="A102" s="4" t="s">
        <v>183</v>
      </c>
      <c r="B102" s="5" t="str">
        <f t="shared" si="2"/>
        <v>https://www.tsip.ai/force/3f333b76-25bc-4c8a-80b4-c06e7d095f32</v>
      </c>
      <c r="F102" s="9" t="s">
        <v>15</v>
      </c>
      <c r="G102" s="9" t="s">
        <v>15</v>
      </c>
      <c r="H102" s="9" t="s">
        <v>15</v>
      </c>
      <c r="I102" s="9" t="s">
        <v>15</v>
      </c>
      <c r="J102" s="9" t="s">
        <v>15</v>
      </c>
      <c r="L102" s="7" t="s">
        <v>182</v>
      </c>
      <c r="M102" s="4" t="b">
        <v>0</v>
      </c>
      <c r="N102" s="4"/>
    </row>
    <row r="103">
      <c r="A103" s="4" t="s">
        <v>184</v>
      </c>
      <c r="B103" s="5" t="str">
        <f t="shared" si="2"/>
        <v>https://www.tsip.ai/force/50b0e0fe-f7d8-47fc-8986-b2f457e50ceb</v>
      </c>
      <c r="F103" s="9" t="s">
        <v>15</v>
      </c>
      <c r="G103" s="9" t="s">
        <v>15</v>
      </c>
      <c r="H103" s="9" t="s">
        <v>15</v>
      </c>
      <c r="I103" s="9" t="s">
        <v>15</v>
      </c>
      <c r="J103" s="9" t="s">
        <v>15</v>
      </c>
      <c r="L103" s="7" t="s">
        <v>182</v>
      </c>
      <c r="M103" s="4" t="b">
        <v>0</v>
      </c>
      <c r="N103" s="4"/>
    </row>
    <row r="104">
      <c r="A104" s="4" t="s">
        <v>185</v>
      </c>
      <c r="B104" s="5" t="str">
        <f t="shared" si="2"/>
        <v>https://www.tsip.ai/force/5216bfae-ded2-45bf-a26b-f580993a521d</v>
      </c>
      <c r="F104" s="9" t="s">
        <v>15</v>
      </c>
      <c r="G104" s="9" t="s">
        <v>15</v>
      </c>
      <c r="H104" s="9" t="s">
        <v>15</v>
      </c>
      <c r="I104" s="9" t="s">
        <v>15</v>
      </c>
      <c r="J104" s="9" t="s">
        <v>15</v>
      </c>
      <c r="L104" s="7" t="s">
        <v>182</v>
      </c>
      <c r="M104" s="4" t="b">
        <v>0</v>
      </c>
      <c r="N104" s="4"/>
    </row>
    <row r="105" ht="15.75" customHeight="1">
      <c r="A105" s="4" t="s">
        <v>186</v>
      </c>
      <c r="B105" s="5" t="str">
        <f t="shared" si="2"/>
        <v>https://www.tsip.ai/force/67c66149-8cf4-4a0c-9bd0-959882d572f1</v>
      </c>
      <c r="C105" s="21" t="s">
        <v>135</v>
      </c>
      <c r="D105" s="7" t="s">
        <v>187</v>
      </c>
      <c r="E105" s="7">
        <v>26.0</v>
      </c>
      <c r="F105" s="9">
        <v>5.0</v>
      </c>
      <c r="G105" s="27" t="s">
        <v>188</v>
      </c>
      <c r="H105" s="9" t="s">
        <v>15</v>
      </c>
      <c r="I105" s="9" t="s">
        <v>15</v>
      </c>
      <c r="J105" s="9" t="s">
        <v>15</v>
      </c>
      <c r="K105" s="25">
        <v>46161.0</v>
      </c>
      <c r="L105" s="7" t="s">
        <v>182</v>
      </c>
      <c r="M105" s="4" t="b">
        <v>0</v>
      </c>
      <c r="N105" s="4"/>
    </row>
    <row r="106">
      <c r="A106" s="4" t="s">
        <v>189</v>
      </c>
      <c r="B106" s="5" t="str">
        <f t="shared" si="2"/>
        <v>https://www.tsip.ai/force/733e1ae8-7516-4dcf-8dd9-3a9b082c2153</v>
      </c>
      <c r="D106" s="22" t="s">
        <v>190</v>
      </c>
      <c r="F106" s="9" t="s">
        <v>15</v>
      </c>
      <c r="G106" s="9" t="s">
        <v>15</v>
      </c>
      <c r="H106" s="9" t="s">
        <v>15</v>
      </c>
      <c r="I106" s="9" t="s">
        <v>15</v>
      </c>
      <c r="J106" s="9" t="s">
        <v>15</v>
      </c>
      <c r="L106" s="7" t="s">
        <v>182</v>
      </c>
      <c r="M106" s="4" t="b">
        <v>0</v>
      </c>
      <c r="N106" s="4"/>
    </row>
    <row r="107" ht="15.75" customHeight="1">
      <c r="A107" s="4" t="s">
        <v>191</v>
      </c>
      <c r="B107" s="5" t="str">
        <f t="shared" si="2"/>
        <v>https://www.tsip.ai/force/7b100f04-743a-441e-9b0c-6bebe95cbee0</v>
      </c>
      <c r="C107" s="21" t="s">
        <v>135</v>
      </c>
      <c r="D107" s="7" t="s">
        <v>192</v>
      </c>
      <c r="E107" s="7">
        <v>38.0</v>
      </c>
      <c r="F107" s="9">
        <v>4.0</v>
      </c>
      <c r="G107" s="28" t="s">
        <v>193</v>
      </c>
      <c r="H107" s="9" t="s">
        <v>15</v>
      </c>
      <c r="I107" s="9" t="s">
        <v>15</v>
      </c>
      <c r="J107" s="9" t="s">
        <v>15</v>
      </c>
      <c r="K107" s="25">
        <v>46161.0</v>
      </c>
      <c r="L107" s="7" t="s">
        <v>182</v>
      </c>
      <c r="M107" s="8" t="b">
        <v>1</v>
      </c>
    </row>
    <row r="108" ht="15.75" customHeight="1">
      <c r="A108" s="4" t="s">
        <v>194</v>
      </c>
      <c r="B108" s="5" t="str">
        <f t="shared" si="2"/>
        <v>https://www.tsip.ai/force/7b5945dd-98a8-43ef-b9d2-2c94c05bf17a</v>
      </c>
      <c r="C108" s="21" t="s">
        <v>135</v>
      </c>
      <c r="D108" s="7" t="s">
        <v>195</v>
      </c>
      <c r="E108" s="7">
        <v>59.0</v>
      </c>
      <c r="F108" s="9">
        <v>4.0</v>
      </c>
      <c r="G108" s="28" t="s">
        <v>196</v>
      </c>
      <c r="H108" s="9" t="s">
        <v>15</v>
      </c>
      <c r="I108" s="9" t="s">
        <v>15</v>
      </c>
      <c r="J108" s="9" t="s">
        <v>15</v>
      </c>
      <c r="K108" s="25">
        <v>46161.0</v>
      </c>
      <c r="L108" s="7" t="s">
        <v>182</v>
      </c>
      <c r="M108" s="8" t="b">
        <v>1</v>
      </c>
    </row>
    <row r="109">
      <c r="A109" s="4" t="s">
        <v>197</v>
      </c>
      <c r="B109" s="5" t="str">
        <f t="shared" si="2"/>
        <v>https://www.tsip.ai/force/7d448839-ff50-421f-bc77-2e16018b103a</v>
      </c>
      <c r="D109" s="22" t="s">
        <v>190</v>
      </c>
      <c r="F109" s="9" t="s">
        <v>15</v>
      </c>
      <c r="G109" s="9" t="s">
        <v>15</v>
      </c>
      <c r="H109" s="9" t="s">
        <v>15</v>
      </c>
      <c r="I109" s="9" t="s">
        <v>15</v>
      </c>
      <c r="J109" s="9" t="s">
        <v>15</v>
      </c>
      <c r="L109" s="7" t="s">
        <v>182</v>
      </c>
      <c r="M109" s="4" t="b">
        <v>0</v>
      </c>
    </row>
    <row r="110" ht="15.75" customHeight="1">
      <c r="A110" s="29" t="s">
        <v>198</v>
      </c>
      <c r="B110" s="5" t="str">
        <f t="shared" si="2"/>
        <v>https://www.tsip.ai/force/a124b3a8-c8db-404b-8746-898dcb4ac333</v>
      </c>
      <c r="C110" s="30" t="s">
        <v>135</v>
      </c>
      <c r="D110" s="31" t="s">
        <v>199</v>
      </c>
      <c r="E110" s="31">
        <v>64.0</v>
      </c>
      <c r="F110" s="28">
        <v>3.0</v>
      </c>
      <c r="G110" s="28" t="s">
        <v>200</v>
      </c>
      <c r="H110" s="28" t="s">
        <v>15</v>
      </c>
      <c r="I110" s="28" t="s">
        <v>15</v>
      </c>
      <c r="J110" s="28" t="s">
        <v>15</v>
      </c>
      <c r="K110" s="25">
        <v>46161.0</v>
      </c>
      <c r="L110" s="31" t="s">
        <v>182</v>
      </c>
      <c r="M110" s="17" t="b">
        <v>1</v>
      </c>
      <c r="N110" s="32"/>
      <c r="O110" s="32"/>
      <c r="P110" s="32"/>
      <c r="Q110" s="32"/>
      <c r="R110" s="32"/>
      <c r="S110" s="32"/>
      <c r="T110" s="32"/>
      <c r="U110" s="32"/>
      <c r="V110" s="32"/>
      <c r="W110" s="32"/>
      <c r="X110" s="32"/>
      <c r="Y110" s="32"/>
      <c r="Z110" s="32"/>
      <c r="AA110" s="32"/>
    </row>
    <row r="111">
      <c r="A111" s="4" t="s">
        <v>201</v>
      </c>
      <c r="B111" s="5" t="str">
        <f t="shared" si="2"/>
        <v>https://www.tsip.ai/force/a1994fa7-5a56-405c-b21c-2adcd5e00220</v>
      </c>
      <c r="F111" s="9" t="s">
        <v>15</v>
      </c>
      <c r="G111" s="9" t="s">
        <v>15</v>
      </c>
      <c r="H111" s="9" t="s">
        <v>15</v>
      </c>
      <c r="I111" s="9" t="s">
        <v>15</v>
      </c>
      <c r="J111" s="9" t="s">
        <v>15</v>
      </c>
      <c r="L111" s="7" t="s">
        <v>182</v>
      </c>
      <c r="M111" s="4" t="b">
        <v>0</v>
      </c>
    </row>
    <row r="112">
      <c r="A112" s="4" t="s">
        <v>202</v>
      </c>
      <c r="B112" s="5" t="str">
        <f t="shared" si="2"/>
        <v>https://www.tsip.ai/force/a222dbc3-5eed-4800-bc5b-6d3502db4925</v>
      </c>
      <c r="D112" s="22" t="s">
        <v>190</v>
      </c>
      <c r="F112" s="9" t="s">
        <v>15</v>
      </c>
      <c r="G112" s="9" t="s">
        <v>15</v>
      </c>
      <c r="H112" s="9" t="s">
        <v>15</v>
      </c>
      <c r="I112" s="9" t="s">
        <v>15</v>
      </c>
      <c r="J112" s="9" t="s">
        <v>15</v>
      </c>
      <c r="L112" s="7" t="s">
        <v>182</v>
      </c>
      <c r="M112" s="4" t="b">
        <v>0</v>
      </c>
    </row>
    <row r="113">
      <c r="A113" s="4" t="s">
        <v>203</v>
      </c>
      <c r="B113" s="5" t="str">
        <f t="shared" si="2"/>
        <v>https://www.tsip.ai/force/a93a8e62-cbed-4d01-b27e-d626c0d94c33</v>
      </c>
      <c r="C113" s="7" t="s">
        <v>13</v>
      </c>
      <c r="D113" s="22" t="s">
        <v>190</v>
      </c>
      <c r="F113" s="9" t="s">
        <v>15</v>
      </c>
      <c r="G113" s="9" t="s">
        <v>15</v>
      </c>
      <c r="H113" s="9" t="s">
        <v>15</v>
      </c>
      <c r="I113" s="9" t="s">
        <v>15</v>
      </c>
      <c r="J113" s="9" t="s">
        <v>15</v>
      </c>
      <c r="L113" s="7" t="s">
        <v>182</v>
      </c>
      <c r="M113" s="4" t="b">
        <v>0</v>
      </c>
    </row>
    <row r="114">
      <c r="A114" s="4" t="s">
        <v>204</v>
      </c>
      <c r="B114" s="5" t="str">
        <f t="shared" si="2"/>
        <v>https://www.tsip.ai/force/b6ff3d68-fd93-4b27-b359-e9133b897b5e</v>
      </c>
      <c r="C114" s="21"/>
      <c r="F114" s="9" t="s">
        <v>15</v>
      </c>
      <c r="G114" s="9" t="s">
        <v>15</v>
      </c>
      <c r="H114" s="9" t="s">
        <v>15</v>
      </c>
      <c r="I114" s="9" t="s">
        <v>15</v>
      </c>
      <c r="J114" s="9" t="s">
        <v>15</v>
      </c>
      <c r="L114" s="7" t="s">
        <v>182</v>
      </c>
      <c r="M114" s="4" t="b">
        <v>0</v>
      </c>
    </row>
    <row r="115">
      <c r="A115" s="4" t="s">
        <v>205</v>
      </c>
      <c r="B115" s="5" t="str">
        <f t="shared" si="2"/>
        <v>https://www.tsip.ai/force/bdebb79d-9179-4081-8c21-130d8746836b</v>
      </c>
      <c r="C115" s="21"/>
      <c r="F115" s="9" t="s">
        <v>15</v>
      </c>
      <c r="G115" s="9" t="s">
        <v>15</v>
      </c>
      <c r="H115" s="9" t="s">
        <v>15</v>
      </c>
      <c r="I115" s="9" t="s">
        <v>15</v>
      </c>
      <c r="J115" s="9" t="s">
        <v>15</v>
      </c>
      <c r="L115" s="7" t="s">
        <v>182</v>
      </c>
      <c r="M115" s="4" t="b">
        <v>0</v>
      </c>
    </row>
    <row r="116">
      <c r="A116" s="4" t="s">
        <v>206</v>
      </c>
      <c r="B116" s="5" t="str">
        <f t="shared" si="2"/>
        <v>https://www.tsip.ai/force/c4226597-d7d3-425d-b2cc-ddcb837bef79</v>
      </c>
      <c r="D116" s="33" t="s">
        <v>207</v>
      </c>
      <c r="F116" s="9" t="s">
        <v>15</v>
      </c>
      <c r="G116" s="9" t="s">
        <v>15</v>
      </c>
      <c r="H116" s="9" t="s">
        <v>15</v>
      </c>
      <c r="I116" s="9" t="s">
        <v>15</v>
      </c>
      <c r="J116" s="9" t="s">
        <v>15</v>
      </c>
      <c r="L116" s="7" t="s">
        <v>182</v>
      </c>
      <c r="M116" s="4" t="b">
        <v>0</v>
      </c>
    </row>
    <row r="117">
      <c r="A117" s="4" t="s">
        <v>208</v>
      </c>
      <c r="B117" s="5" t="str">
        <f t="shared" si="2"/>
        <v>https://www.tsip.ai/force/c4b37795-de85-4cc8-bf22-a6af61230d5a</v>
      </c>
      <c r="F117" s="9" t="s">
        <v>15</v>
      </c>
      <c r="G117" s="9" t="s">
        <v>209</v>
      </c>
      <c r="H117" s="9" t="s">
        <v>15</v>
      </c>
      <c r="I117" s="9" t="s">
        <v>15</v>
      </c>
      <c r="J117" s="9" t="s">
        <v>15</v>
      </c>
      <c r="L117" s="7" t="s">
        <v>182</v>
      </c>
      <c r="M117" s="4" t="b">
        <v>0</v>
      </c>
    </row>
    <row r="118">
      <c r="A118" s="4" t="s">
        <v>210</v>
      </c>
      <c r="B118" s="5" t="str">
        <f t="shared" si="2"/>
        <v>https://www.tsip.ai/force/cabcd355-4c64-4984-9269-62b815e3c33c</v>
      </c>
      <c r="F118" s="9" t="s">
        <v>15</v>
      </c>
      <c r="G118" s="9" t="s">
        <v>15</v>
      </c>
      <c r="H118" s="9" t="s">
        <v>15</v>
      </c>
      <c r="I118" s="9" t="s">
        <v>15</v>
      </c>
      <c r="J118" s="9" t="s">
        <v>15</v>
      </c>
      <c r="L118" s="7" t="s">
        <v>182</v>
      </c>
      <c r="M118" s="4" t="b">
        <v>0</v>
      </c>
    </row>
    <row r="119">
      <c r="A119" s="4" t="s">
        <v>211</v>
      </c>
      <c r="B119" s="5" t="str">
        <f t="shared" si="2"/>
        <v>https://www.tsip.ai/force/ce32d18d-3a33-4d27-8545-04abfe38a94a</v>
      </c>
      <c r="C119" s="7" t="s">
        <v>87</v>
      </c>
      <c r="D119" s="7" t="s">
        <v>212</v>
      </c>
      <c r="E119" s="7">
        <v>55.0</v>
      </c>
      <c r="F119" s="9" t="s">
        <v>15</v>
      </c>
      <c r="G119" s="9" t="s">
        <v>15</v>
      </c>
      <c r="H119" s="9" t="s">
        <v>15</v>
      </c>
      <c r="I119" s="9" t="s">
        <v>15</v>
      </c>
      <c r="J119" s="9" t="s">
        <v>15</v>
      </c>
      <c r="K119" s="23">
        <v>46161.0</v>
      </c>
      <c r="L119" s="7" t="s">
        <v>182</v>
      </c>
      <c r="M119" s="8" t="b">
        <v>1</v>
      </c>
    </row>
    <row r="120">
      <c r="A120" s="4" t="s">
        <v>213</v>
      </c>
      <c r="B120" s="5" t="str">
        <f t="shared" si="2"/>
        <v>https://www.tsip.ai/force/d0debda7-739a-4533-86cf-237ee6667ddf</v>
      </c>
      <c r="C120" s="7" t="s">
        <v>34</v>
      </c>
      <c r="D120" s="7" t="s">
        <v>214</v>
      </c>
      <c r="E120" s="7">
        <v>90.0</v>
      </c>
      <c r="F120" s="9" t="s">
        <v>15</v>
      </c>
      <c r="G120" s="9" t="s">
        <v>15</v>
      </c>
      <c r="H120" s="9" t="s">
        <v>15</v>
      </c>
      <c r="I120" s="9" t="s">
        <v>15</v>
      </c>
      <c r="J120" s="9" t="s">
        <v>15</v>
      </c>
      <c r="K120" s="23">
        <v>46161.0</v>
      </c>
      <c r="L120" s="7" t="s">
        <v>182</v>
      </c>
      <c r="M120" s="4" t="b">
        <v>0</v>
      </c>
    </row>
    <row r="121">
      <c r="A121" s="4" t="s">
        <v>215</v>
      </c>
      <c r="B121" s="5" t="str">
        <f t="shared" si="2"/>
        <v>https://www.tsip.ai/force/d8573bf5-af9e-4bd2-bead-e53a7aa221d3</v>
      </c>
      <c r="F121" s="9" t="s">
        <v>15</v>
      </c>
      <c r="G121" s="9" t="s">
        <v>15</v>
      </c>
      <c r="H121" s="9" t="s">
        <v>15</v>
      </c>
      <c r="I121" s="9" t="s">
        <v>15</v>
      </c>
      <c r="J121" s="9" t="s">
        <v>15</v>
      </c>
      <c r="L121" s="7" t="s">
        <v>182</v>
      </c>
      <c r="M121" s="4" t="b">
        <v>0</v>
      </c>
    </row>
    <row r="122">
      <c r="A122" s="4" t="s">
        <v>216</v>
      </c>
      <c r="B122" s="5" t="str">
        <f t="shared" si="2"/>
        <v>https://www.tsip.ai/force/ddf08efb-44d8-4311-ba6f-67c7c0f9b5e0</v>
      </c>
      <c r="C122" s="7" t="s">
        <v>23</v>
      </c>
      <c r="F122" s="9" t="s">
        <v>15</v>
      </c>
      <c r="G122" s="9" t="s">
        <v>15</v>
      </c>
      <c r="H122" s="9" t="s">
        <v>15</v>
      </c>
      <c r="I122" s="9" t="s">
        <v>15</v>
      </c>
      <c r="J122" s="9" t="s">
        <v>15</v>
      </c>
      <c r="L122" s="7" t="s">
        <v>182</v>
      </c>
      <c r="M122" s="4" t="b">
        <v>0</v>
      </c>
    </row>
    <row r="123">
      <c r="A123" s="4" t="s">
        <v>217</v>
      </c>
      <c r="B123" s="5" t="str">
        <f t="shared" si="2"/>
        <v>https://www.tsip.ai/force/de7da32b-1496-4fc0-9668-365d8e167669</v>
      </c>
      <c r="F123" s="9" t="s">
        <v>15</v>
      </c>
      <c r="G123" s="9" t="s">
        <v>15</v>
      </c>
      <c r="H123" s="9" t="s">
        <v>15</v>
      </c>
      <c r="I123" s="9" t="s">
        <v>15</v>
      </c>
      <c r="J123" s="9" t="s">
        <v>15</v>
      </c>
      <c r="L123" s="7" t="s">
        <v>182</v>
      </c>
      <c r="M123" s="4" t="b">
        <v>0</v>
      </c>
    </row>
    <row r="124">
      <c r="A124" s="4" t="s">
        <v>218</v>
      </c>
      <c r="B124" s="5" t="str">
        <f t="shared" si="2"/>
        <v>https://www.tsip.ai/force/de822396-0cb8-4acf-8ddc-c31f4eaeb84f</v>
      </c>
      <c r="D124" s="33" t="s">
        <v>207</v>
      </c>
      <c r="F124" s="9" t="s">
        <v>15</v>
      </c>
      <c r="G124" s="9" t="s">
        <v>15</v>
      </c>
      <c r="H124" s="9" t="s">
        <v>15</v>
      </c>
      <c r="I124" s="9" t="s">
        <v>15</v>
      </c>
      <c r="J124" s="9" t="s">
        <v>15</v>
      </c>
      <c r="L124" s="7" t="s">
        <v>182</v>
      </c>
      <c r="M124" s="4" t="b">
        <v>0</v>
      </c>
    </row>
    <row r="125">
      <c r="A125" s="4" t="s">
        <v>219</v>
      </c>
      <c r="B125" s="5" t="str">
        <f t="shared" si="2"/>
        <v>https://www.tsip.ai/force/e5722b43-4586-4bbe-9476-bed884031c29</v>
      </c>
      <c r="D125" s="7" t="s">
        <v>220</v>
      </c>
      <c r="F125" s="9" t="s">
        <v>15</v>
      </c>
      <c r="G125" s="9" t="s">
        <v>15</v>
      </c>
      <c r="H125" s="9" t="s">
        <v>15</v>
      </c>
      <c r="I125" s="9" t="s">
        <v>15</v>
      </c>
      <c r="J125" s="9" t="s">
        <v>15</v>
      </c>
      <c r="L125" s="7" t="s">
        <v>182</v>
      </c>
      <c r="M125" s="4" t="b">
        <v>0</v>
      </c>
    </row>
    <row r="126">
      <c r="A126" s="4" t="s">
        <v>221</v>
      </c>
      <c r="B126" s="5" t="str">
        <f t="shared" si="2"/>
        <v>https://www.tsip.ai/force/ebd52873-afcc-4d85-8551-37803b3b3d51</v>
      </c>
      <c r="F126" s="9" t="s">
        <v>15</v>
      </c>
      <c r="G126" s="9" t="s">
        <v>15</v>
      </c>
      <c r="H126" s="9" t="s">
        <v>15</v>
      </c>
      <c r="I126" s="9" t="s">
        <v>15</v>
      </c>
      <c r="J126" s="9" t="s">
        <v>15</v>
      </c>
      <c r="L126" s="7" t="s">
        <v>182</v>
      </c>
      <c r="M126" s="4" t="b">
        <v>0</v>
      </c>
    </row>
    <row r="127">
      <c r="A127" s="4" t="s">
        <v>222</v>
      </c>
      <c r="B127" s="5" t="str">
        <f t="shared" si="2"/>
        <v>https://www.tsip.ai/force/ec6f7962-6c0f-4893-b3f1-505c6ee455de</v>
      </c>
      <c r="D127" s="33" t="s">
        <v>207</v>
      </c>
      <c r="F127" s="9" t="s">
        <v>15</v>
      </c>
      <c r="G127" s="9" t="s">
        <v>15</v>
      </c>
      <c r="H127" s="9" t="s">
        <v>15</v>
      </c>
      <c r="I127" s="9" t="s">
        <v>15</v>
      </c>
      <c r="J127" s="9" t="s">
        <v>15</v>
      </c>
      <c r="L127" s="7" t="s">
        <v>182</v>
      </c>
      <c r="M127" s="4" t="b">
        <v>0</v>
      </c>
    </row>
    <row r="128">
      <c r="A128" s="4" t="s">
        <v>223</v>
      </c>
      <c r="B128" s="5" t="str">
        <f t="shared" si="2"/>
        <v>https://www.tsip.ai/force/ed94f8cb-7e44-44e8-b598-22c542d10a87</v>
      </c>
      <c r="F128" s="9" t="s">
        <v>15</v>
      </c>
      <c r="G128" s="9" t="s">
        <v>15</v>
      </c>
      <c r="H128" s="9" t="s">
        <v>15</v>
      </c>
      <c r="I128" s="9" t="s">
        <v>15</v>
      </c>
      <c r="J128" s="9" t="s">
        <v>15</v>
      </c>
      <c r="L128" s="7" t="s">
        <v>182</v>
      </c>
      <c r="M128" s="4" t="b">
        <v>0</v>
      </c>
    </row>
    <row r="129">
      <c r="A129" s="4" t="s">
        <v>224</v>
      </c>
      <c r="B129" s="5" t="str">
        <f t="shared" si="2"/>
        <v>https://www.tsip.ai/force/ee7f9598-b841-436a-a2e1-a731f901d2a5</v>
      </c>
      <c r="C129" s="7" t="s">
        <v>23</v>
      </c>
      <c r="D129" s="7" t="s">
        <v>225</v>
      </c>
      <c r="E129" s="7">
        <v>45.0</v>
      </c>
      <c r="F129" s="9" t="s">
        <v>15</v>
      </c>
      <c r="G129" s="9" t="s">
        <v>15</v>
      </c>
      <c r="H129" s="9" t="s">
        <v>15</v>
      </c>
      <c r="I129" s="9" t="s">
        <v>15</v>
      </c>
      <c r="J129" s="9" t="s">
        <v>15</v>
      </c>
      <c r="K129" s="23">
        <v>46161.0</v>
      </c>
      <c r="L129" s="7" t="s">
        <v>182</v>
      </c>
      <c r="M129" s="8" t="b">
        <v>1</v>
      </c>
    </row>
    <row r="130">
      <c r="A130" s="4" t="s">
        <v>226</v>
      </c>
      <c r="B130" s="5" t="str">
        <f t="shared" si="2"/>
        <v>https://www.tsip.ai/force/f1261b88-1642-4ebe-a2ed-ce1c0918bc52</v>
      </c>
      <c r="C130" s="22"/>
      <c r="D130" s="33" t="s">
        <v>207</v>
      </c>
      <c r="F130" s="9" t="s">
        <v>15</v>
      </c>
      <c r="G130" s="9" t="s">
        <v>15</v>
      </c>
      <c r="H130" s="9" t="s">
        <v>15</v>
      </c>
      <c r="I130" s="9" t="s">
        <v>15</v>
      </c>
      <c r="J130" s="9" t="s">
        <v>15</v>
      </c>
      <c r="L130" s="7" t="s">
        <v>182</v>
      </c>
      <c r="M130" s="4" t="b">
        <v>0</v>
      </c>
    </row>
    <row r="131">
      <c r="A131" s="4" t="s">
        <v>227</v>
      </c>
      <c r="B131" s="5" t="str">
        <f t="shared" si="2"/>
        <v>https://www.tsip.ai/force/f36a98f3-3d0c-4d52-8cb1-b0d927bf96fb</v>
      </c>
      <c r="C131" s="7" t="s">
        <v>87</v>
      </c>
      <c r="D131" s="34" t="s">
        <v>228</v>
      </c>
      <c r="E131" s="7">
        <v>40.0</v>
      </c>
      <c r="F131" s="9" t="s">
        <v>15</v>
      </c>
      <c r="G131" s="9" t="s">
        <v>15</v>
      </c>
      <c r="H131" s="9" t="s">
        <v>15</v>
      </c>
      <c r="I131" s="9" t="s">
        <v>15</v>
      </c>
      <c r="J131" s="9" t="s">
        <v>15</v>
      </c>
      <c r="K131" s="23">
        <v>46161.0</v>
      </c>
      <c r="L131" s="7" t="s">
        <v>182</v>
      </c>
      <c r="M131" s="8" t="b">
        <v>1</v>
      </c>
    </row>
    <row r="132">
      <c r="A132" s="4" t="s">
        <v>229</v>
      </c>
      <c r="B132" s="5" t="str">
        <f t="shared" si="2"/>
        <v>https://www.tsip.ai/force/f3792e17-0a37-4190-a674-99d77666d0a5</v>
      </c>
      <c r="C132" s="22"/>
      <c r="D132" s="33" t="s">
        <v>207</v>
      </c>
      <c r="F132" s="9" t="s">
        <v>15</v>
      </c>
      <c r="G132" s="9" t="s">
        <v>15</v>
      </c>
      <c r="H132" s="9" t="s">
        <v>15</v>
      </c>
      <c r="I132" s="9" t="s">
        <v>15</v>
      </c>
      <c r="J132" s="9" t="s">
        <v>15</v>
      </c>
      <c r="L132" s="7" t="s">
        <v>182</v>
      </c>
      <c r="M132" s="4" t="b">
        <v>0</v>
      </c>
    </row>
    <row r="133">
      <c r="A133" s="4" t="s">
        <v>230</v>
      </c>
      <c r="B133" s="5" t="str">
        <f t="shared" si="2"/>
        <v>https://www.tsip.ai/force/f84b70a6-25e7-4a65-a48f-e49f3d11ee68</v>
      </c>
      <c r="C133" s="22"/>
      <c r="D133" s="33" t="s">
        <v>207</v>
      </c>
      <c r="F133" s="9" t="s">
        <v>15</v>
      </c>
      <c r="G133" s="9" t="s">
        <v>15</v>
      </c>
      <c r="H133" s="9" t="s">
        <v>15</v>
      </c>
      <c r="I133" s="9" t="s">
        <v>15</v>
      </c>
      <c r="J133" s="9" t="s">
        <v>15</v>
      </c>
      <c r="L133" s="7" t="s">
        <v>182</v>
      </c>
      <c r="M133" s="4" t="b">
        <v>0</v>
      </c>
    </row>
    <row r="134">
      <c r="A134" s="4" t="s">
        <v>231</v>
      </c>
      <c r="B134" s="5" t="str">
        <f t="shared" si="2"/>
        <v>https://www.tsip.ai/force/f8e1dc28-6729-4054-96f1-e2cf47656818</v>
      </c>
      <c r="C134" s="22"/>
      <c r="D134" s="33" t="s">
        <v>207</v>
      </c>
      <c r="F134" s="9" t="s">
        <v>15</v>
      </c>
      <c r="G134" s="9" t="s">
        <v>15</v>
      </c>
      <c r="H134" s="9" t="s">
        <v>15</v>
      </c>
      <c r="I134" s="9" t="s">
        <v>15</v>
      </c>
      <c r="J134" s="9" t="s">
        <v>15</v>
      </c>
      <c r="L134" s="7" t="s">
        <v>182</v>
      </c>
      <c r="M134" s="4" t="b">
        <v>0</v>
      </c>
    </row>
    <row r="135">
      <c r="A135" s="4" t="s">
        <v>232</v>
      </c>
      <c r="B135" s="5" t="str">
        <f t="shared" si="2"/>
        <v>https://www.tsip.ai/force/096c55fa-de5b-4f3f-95f5-9e9ae584e9c4</v>
      </c>
      <c r="F135" s="9" t="s">
        <v>15</v>
      </c>
      <c r="G135" s="9" t="s">
        <v>15</v>
      </c>
      <c r="H135" s="9" t="s">
        <v>15</v>
      </c>
      <c r="I135" s="9" t="s">
        <v>15</v>
      </c>
      <c r="J135" s="9" t="s">
        <v>15</v>
      </c>
      <c r="L135" s="7" t="s">
        <v>182</v>
      </c>
      <c r="M135" s="4" t="b">
        <v>0</v>
      </c>
    </row>
    <row r="136">
      <c r="A136" s="4" t="s">
        <v>233</v>
      </c>
      <c r="B136" s="5" t="str">
        <f t="shared" si="2"/>
        <v>https://www.tsip.ai/force/098dfc3f-e094-4da1-af4c-db764ef4b1ba</v>
      </c>
      <c r="C136" s="7" t="s">
        <v>23</v>
      </c>
      <c r="D136" s="7" t="s">
        <v>234</v>
      </c>
      <c r="E136" s="7">
        <v>65.0</v>
      </c>
      <c r="F136" s="9" t="s">
        <v>15</v>
      </c>
      <c r="G136" s="9" t="s">
        <v>15</v>
      </c>
      <c r="H136" s="9" t="s">
        <v>15</v>
      </c>
      <c r="I136" s="9" t="s">
        <v>15</v>
      </c>
      <c r="J136" s="9" t="s">
        <v>15</v>
      </c>
      <c r="K136" s="23">
        <v>46161.0</v>
      </c>
      <c r="L136" s="7" t="s">
        <v>182</v>
      </c>
      <c r="M136" s="8" t="b">
        <v>1</v>
      </c>
    </row>
    <row r="137">
      <c r="A137" s="4" t="s">
        <v>235</v>
      </c>
      <c r="B137" s="5" t="str">
        <f t="shared" si="2"/>
        <v>https://www.tsip.ai/force/0a0d9272-d159-4fb2-9ac5-1aef6629bdf0</v>
      </c>
      <c r="F137" s="9" t="s">
        <v>15</v>
      </c>
      <c r="G137" s="9" t="s">
        <v>15</v>
      </c>
      <c r="H137" s="9" t="s">
        <v>15</v>
      </c>
      <c r="I137" s="9" t="s">
        <v>15</v>
      </c>
      <c r="J137" s="9" t="s">
        <v>15</v>
      </c>
      <c r="L137" s="7" t="s">
        <v>182</v>
      </c>
      <c r="M137" s="4" t="b">
        <v>0</v>
      </c>
    </row>
    <row r="138">
      <c r="A138" s="4" t="s">
        <v>236</v>
      </c>
      <c r="B138" s="5" t="str">
        <f t="shared" si="2"/>
        <v>https://www.tsip.ai/force/0aa6f18c-2aad-49cc-8813-cb79f92b65ce</v>
      </c>
      <c r="C138" s="7" t="s">
        <v>37</v>
      </c>
      <c r="D138" s="7" t="s">
        <v>237</v>
      </c>
      <c r="E138" s="7">
        <v>60.0</v>
      </c>
      <c r="F138" s="9" t="s">
        <v>15</v>
      </c>
      <c r="G138" s="9" t="s">
        <v>15</v>
      </c>
      <c r="H138" s="9" t="s">
        <v>15</v>
      </c>
      <c r="I138" s="9" t="s">
        <v>15</v>
      </c>
      <c r="J138" s="9" t="s">
        <v>15</v>
      </c>
      <c r="K138" s="25">
        <v>46161.0</v>
      </c>
      <c r="L138" s="7" t="s">
        <v>182</v>
      </c>
      <c r="M138" s="8" t="b">
        <v>1</v>
      </c>
    </row>
    <row r="139">
      <c r="A139" s="4" t="s">
        <v>238</v>
      </c>
      <c r="B139" s="5" t="str">
        <f t="shared" si="2"/>
        <v>https://www.tsip.ai/force/0d0a769c-426f-4e3e-a297-e17b85e72990</v>
      </c>
      <c r="C139" s="7" t="s">
        <v>37</v>
      </c>
      <c r="F139" s="9" t="s">
        <v>15</v>
      </c>
      <c r="G139" s="9" t="s">
        <v>15</v>
      </c>
      <c r="H139" s="9" t="s">
        <v>15</v>
      </c>
      <c r="I139" s="9" t="s">
        <v>15</v>
      </c>
      <c r="J139" s="9" t="s">
        <v>15</v>
      </c>
      <c r="L139" s="7" t="s">
        <v>182</v>
      </c>
      <c r="M139" s="4" t="b">
        <v>0</v>
      </c>
    </row>
    <row r="140">
      <c r="A140" s="4" t="s">
        <v>239</v>
      </c>
      <c r="B140" s="5" t="str">
        <f t="shared" si="2"/>
        <v>https://www.tsip.ai/force/109dbda6-e0bc-4aa0-b0ab-563bca672717</v>
      </c>
      <c r="C140" s="7" t="s">
        <v>87</v>
      </c>
      <c r="D140" s="7" t="s">
        <v>240</v>
      </c>
      <c r="F140" s="9" t="s">
        <v>15</v>
      </c>
      <c r="G140" s="9" t="s">
        <v>15</v>
      </c>
      <c r="H140" s="9" t="s">
        <v>15</v>
      </c>
      <c r="I140" s="9" t="s">
        <v>15</v>
      </c>
      <c r="J140" s="9" t="s">
        <v>15</v>
      </c>
      <c r="L140" s="7" t="s">
        <v>182</v>
      </c>
      <c r="M140" s="4" t="b">
        <v>0</v>
      </c>
    </row>
    <row r="141">
      <c r="A141" s="4" t="s">
        <v>241</v>
      </c>
      <c r="B141" s="5" t="str">
        <f t="shared" si="2"/>
        <v>https://www.tsip.ai/force/10f93eac-1ebc-438c-8e1b-e4fa66ad59a8</v>
      </c>
      <c r="C141" s="7" t="s">
        <v>124</v>
      </c>
      <c r="F141" s="9" t="s">
        <v>15</v>
      </c>
      <c r="G141" s="9" t="s">
        <v>15</v>
      </c>
      <c r="H141" s="9" t="s">
        <v>15</v>
      </c>
      <c r="I141" s="9" t="s">
        <v>15</v>
      </c>
      <c r="J141" s="9" t="s">
        <v>15</v>
      </c>
      <c r="L141" s="7" t="s">
        <v>182</v>
      </c>
      <c r="M141" s="4" t="b">
        <v>0</v>
      </c>
    </row>
    <row r="142">
      <c r="A142" s="4"/>
    </row>
    <row r="143">
      <c r="A143" s="4"/>
    </row>
    <row r="144">
      <c r="A144" s="4"/>
    </row>
    <row r="145">
      <c r="A145" s="4"/>
    </row>
    <row r="146">
      <c r="A146" s="4"/>
    </row>
    <row r="147">
      <c r="A147" s="4"/>
    </row>
    <row r="148">
      <c r="A148" s="4"/>
    </row>
    <row r="149">
      <c r="A149" s="4"/>
    </row>
    <row r="151">
      <c r="A151" s="4"/>
    </row>
    <row r="152">
      <c r="A152" s="4"/>
    </row>
    <row r="153">
      <c r="A153" s="4"/>
    </row>
    <row r="154">
      <c r="A154" s="4"/>
    </row>
    <row r="155">
      <c r="A155" s="4"/>
    </row>
    <row r="156">
      <c r="A156" s="4"/>
    </row>
    <row r="157">
      <c r="A157" s="4"/>
    </row>
    <row r="158">
      <c r="A158" s="4"/>
    </row>
    <row r="159">
      <c r="A159" s="4"/>
    </row>
    <row r="160">
      <c r="A160" s="4"/>
    </row>
    <row r="161">
      <c r="A161" s="4"/>
    </row>
    <row r="162">
      <c r="A162" s="4"/>
    </row>
    <row r="163">
      <c r="A163" s="4"/>
    </row>
    <row r="164">
      <c r="A164" s="4"/>
    </row>
    <row r="165">
      <c r="A165" s="4"/>
    </row>
    <row r="166">
      <c r="A166" s="4"/>
    </row>
    <row r="167">
      <c r="A167" s="4"/>
    </row>
    <row r="168">
      <c r="A168" s="4"/>
    </row>
    <row r="169">
      <c r="A169" s="4"/>
    </row>
    <row r="170">
      <c r="A170" s="4"/>
    </row>
    <row r="171">
      <c r="A171" s="4"/>
    </row>
    <row r="172">
      <c r="A172" s="4"/>
    </row>
    <row r="173">
      <c r="A173" s="4"/>
    </row>
    <row r="174">
      <c r="A174" s="4"/>
    </row>
    <row r="175">
      <c r="A175" s="4"/>
    </row>
    <row r="176">
      <c r="A176" s="4"/>
    </row>
    <row r="177">
      <c r="A177" s="4"/>
    </row>
    <row r="178">
      <c r="A178" s="4"/>
    </row>
    <row r="179">
      <c r="A179" s="4"/>
    </row>
    <row r="180">
      <c r="A180" s="4"/>
    </row>
    <row r="181">
      <c r="A181" s="4"/>
    </row>
    <row r="182">
      <c r="A182" s="4"/>
    </row>
    <row r="183">
      <c r="A183" s="4"/>
    </row>
    <row r="184">
      <c r="A184" s="4"/>
    </row>
    <row r="185">
      <c r="A185" s="4"/>
    </row>
    <row r="186">
      <c r="A186" s="4"/>
    </row>
    <row r="187">
      <c r="A187" s="4"/>
    </row>
    <row r="188">
      <c r="A188" s="4"/>
    </row>
    <row r="189">
      <c r="A189" s="4"/>
    </row>
    <row r="190">
      <c r="A190" s="4"/>
    </row>
    <row r="191">
      <c r="A191" s="4"/>
    </row>
    <row r="192">
      <c r="A192" s="4"/>
    </row>
    <row r="193">
      <c r="A193" s="4"/>
    </row>
    <row r="194">
      <c r="A194" s="4"/>
    </row>
    <row r="195">
      <c r="A195" s="4"/>
    </row>
    <row r="196">
      <c r="A196" s="4"/>
    </row>
    <row r="197">
      <c r="A197" s="4"/>
    </row>
    <row r="198">
      <c r="A198" s="4"/>
    </row>
    <row r="199">
      <c r="A199" s="4"/>
    </row>
    <row r="200">
      <c r="A200" s="4"/>
    </row>
    <row r="201">
      <c r="A201" s="4"/>
    </row>
    <row r="202">
      <c r="A202" s="4"/>
    </row>
    <row r="203">
      <c r="A203" s="4"/>
    </row>
    <row r="204">
      <c r="A204" s="4"/>
    </row>
    <row r="205">
      <c r="A205" s="4"/>
    </row>
    <row r="206">
      <c r="A206" s="4"/>
    </row>
    <row r="207">
      <c r="A207" s="4"/>
    </row>
    <row r="208">
      <c r="A208" s="4"/>
    </row>
    <row r="209">
      <c r="A209" s="4"/>
    </row>
    <row r="210">
      <c r="A210" s="4"/>
    </row>
    <row r="211">
      <c r="A211" s="4"/>
    </row>
    <row r="212">
      <c r="A212" s="4"/>
    </row>
    <row r="213">
      <c r="A213" s="4"/>
    </row>
    <row r="214">
      <c r="A214" s="4"/>
    </row>
    <row r="215">
      <c r="A215" s="4"/>
    </row>
    <row r="216">
      <c r="A216" s="4"/>
    </row>
    <row r="217">
      <c r="A217" s="4"/>
    </row>
    <row r="218">
      <c r="A218" s="4"/>
    </row>
    <row r="219">
      <c r="A219" s="4"/>
    </row>
    <row r="220">
      <c r="A220" s="4"/>
    </row>
    <row r="221">
      <c r="A221" s="4"/>
    </row>
    <row r="222">
      <c r="A222" s="4"/>
    </row>
    <row r="223">
      <c r="A223" s="4"/>
    </row>
    <row r="224">
      <c r="A224" s="4"/>
    </row>
    <row r="225">
      <c r="A225" s="4"/>
    </row>
    <row r="226">
      <c r="A226" s="4"/>
    </row>
    <row r="227">
      <c r="A227" s="4"/>
    </row>
    <row r="228">
      <c r="A228" s="4"/>
    </row>
    <row r="229">
      <c r="A229" s="4"/>
    </row>
    <row r="230">
      <c r="A230" s="4"/>
    </row>
    <row r="231">
      <c r="A231" s="4"/>
    </row>
    <row r="232">
      <c r="A232" s="4"/>
    </row>
    <row r="233">
      <c r="A233" s="4"/>
    </row>
    <row r="234">
      <c r="A234" s="4"/>
    </row>
    <row r="235">
      <c r="A235" s="4"/>
    </row>
    <row r="236">
      <c r="A236" s="4"/>
    </row>
    <row r="237">
      <c r="A237" s="4"/>
    </row>
    <row r="238">
      <c r="A238" s="4"/>
    </row>
    <row r="239">
      <c r="A239" s="4"/>
    </row>
    <row r="240">
      <c r="A240" s="4"/>
    </row>
    <row r="241">
      <c r="A241" s="4"/>
    </row>
    <row r="242">
      <c r="A242" s="4"/>
    </row>
    <row r="243">
      <c r="A243" s="4"/>
    </row>
    <row r="244">
      <c r="A244" s="4"/>
    </row>
    <row r="245">
      <c r="A245" s="4"/>
    </row>
    <row r="246">
      <c r="A246" s="4"/>
    </row>
    <row r="247">
      <c r="A247" s="4"/>
    </row>
    <row r="248">
      <c r="A248" s="4"/>
    </row>
    <row r="906">
      <c r="B906" s="5"/>
    </row>
  </sheetData>
  <autoFilter ref="$A$1:$M$141"/>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2.88"/>
    <col customWidth="1" min="4" max="4" width="37.88"/>
    <col customWidth="1" min="6" max="8" width="14.0"/>
    <col customWidth="1" min="9" max="9" width="16.13"/>
    <col customWidth="1" min="11" max="11" width="21.38"/>
    <col customWidth="1" min="13" max="13" width="30.75"/>
  </cols>
  <sheetData>
    <row r="1" ht="60.0" customHeight="1">
      <c r="A1" s="35" t="s">
        <v>0</v>
      </c>
      <c r="B1" s="35" t="s">
        <v>1</v>
      </c>
      <c r="C1" s="35" t="s">
        <v>242</v>
      </c>
      <c r="D1" s="35" t="s">
        <v>3</v>
      </c>
      <c r="E1" s="35" t="s">
        <v>4</v>
      </c>
      <c r="F1" s="35" t="s">
        <v>5</v>
      </c>
      <c r="G1" s="35" t="s">
        <v>7</v>
      </c>
      <c r="H1" s="36" t="s">
        <v>8</v>
      </c>
      <c r="I1" s="35" t="s">
        <v>9</v>
      </c>
      <c r="J1" s="35" t="s">
        <v>11</v>
      </c>
      <c r="K1" s="37" t="s">
        <v>243</v>
      </c>
      <c r="L1" s="37" t="s">
        <v>244</v>
      </c>
      <c r="M1" s="38" t="s">
        <v>245</v>
      </c>
    </row>
    <row r="2" ht="21.0" customHeight="1">
      <c r="A2" s="4" t="s">
        <v>246</v>
      </c>
      <c r="B2" s="5" t="str">
        <f t="shared" ref="B2:B41" si="1">concat("https://www.tsip.ai/force/",A2)</f>
        <v>https://www.tsip.ai/force/f61610de-33d8-4e1d-b40e-c6cad426cefa</v>
      </c>
      <c r="C2" s="21" t="s">
        <v>247</v>
      </c>
      <c r="D2" s="7" t="s">
        <v>248</v>
      </c>
      <c r="E2" s="7">
        <v>60.0</v>
      </c>
      <c r="F2" s="9" t="s">
        <v>249</v>
      </c>
      <c r="G2" s="9" t="s">
        <v>249</v>
      </c>
      <c r="H2" s="9" t="s">
        <v>249</v>
      </c>
      <c r="I2" s="39">
        <v>46161.0</v>
      </c>
      <c r="J2" s="8" t="b">
        <v>1</v>
      </c>
      <c r="K2" s="21" t="s">
        <v>250</v>
      </c>
      <c r="L2" s="4"/>
    </row>
    <row r="3" ht="21.0" customHeight="1">
      <c r="A3" s="4" t="s">
        <v>251</v>
      </c>
      <c r="B3" s="5" t="str">
        <f t="shared" si="1"/>
        <v>https://www.tsip.ai/force/fe294ac6-9f9f-4c74-8864-e3be7962c3cb</v>
      </c>
      <c r="C3" s="21" t="s">
        <v>247</v>
      </c>
      <c r="D3" s="7" t="s">
        <v>252</v>
      </c>
      <c r="E3" s="7">
        <v>75.0</v>
      </c>
      <c r="F3" s="9" t="s">
        <v>249</v>
      </c>
      <c r="G3" s="9" t="s">
        <v>249</v>
      </c>
      <c r="H3" s="9" t="s">
        <v>249</v>
      </c>
      <c r="I3" s="39">
        <v>46161.0</v>
      </c>
      <c r="J3" s="8" t="b">
        <v>1</v>
      </c>
      <c r="K3" s="21" t="s">
        <v>250</v>
      </c>
      <c r="L3" s="4"/>
    </row>
    <row r="4">
      <c r="A4" s="4" t="s">
        <v>253</v>
      </c>
      <c r="B4" s="5" t="str">
        <f t="shared" si="1"/>
        <v>https://www.tsip.ai/force/017a6e0d-12ed-4efc-bfa5-ea70840080e3</v>
      </c>
      <c r="C4" s="40"/>
      <c r="F4" s="9" t="s">
        <v>249</v>
      </c>
      <c r="G4" s="9" t="s">
        <v>249</v>
      </c>
      <c r="H4" s="9" t="s">
        <v>249</v>
      </c>
      <c r="J4" s="4" t="b">
        <v>0</v>
      </c>
      <c r="K4" s="40"/>
      <c r="L4" s="4"/>
    </row>
    <row r="5">
      <c r="A5" s="4" t="s">
        <v>254</v>
      </c>
      <c r="B5" s="5" t="str">
        <f t="shared" si="1"/>
        <v>https://www.tsip.ai/force/035f0506-b19c-4def-8a75-b196f8448cdf</v>
      </c>
      <c r="C5" s="21" t="s">
        <v>255</v>
      </c>
      <c r="D5" s="7" t="s">
        <v>256</v>
      </c>
      <c r="E5" s="7">
        <v>90.0</v>
      </c>
      <c r="F5" s="9" t="s">
        <v>249</v>
      </c>
      <c r="G5" s="9" t="s">
        <v>249</v>
      </c>
      <c r="H5" s="9" t="s">
        <v>249</v>
      </c>
      <c r="I5" s="39">
        <v>46161.0</v>
      </c>
      <c r="J5" s="8" t="b">
        <v>1</v>
      </c>
      <c r="K5" s="21" t="s">
        <v>250</v>
      </c>
      <c r="L5" s="4"/>
    </row>
    <row r="6">
      <c r="A6" s="4" t="s">
        <v>257</v>
      </c>
      <c r="B6" s="5" t="str">
        <f t="shared" si="1"/>
        <v>https://www.tsip.ai/force/04c58cea-57df-4a08-8386-096d4a1d6668</v>
      </c>
      <c r="C6" s="21" t="s">
        <v>258</v>
      </c>
      <c r="F6" s="9" t="s">
        <v>249</v>
      </c>
      <c r="G6" s="9" t="s">
        <v>249</v>
      </c>
      <c r="H6" s="9" t="s">
        <v>249</v>
      </c>
      <c r="J6" s="4" t="b">
        <v>0</v>
      </c>
      <c r="K6" s="40"/>
      <c r="L6" s="4"/>
    </row>
    <row r="7">
      <c r="A7" s="4" t="s">
        <v>259</v>
      </c>
      <c r="B7" s="5" t="str">
        <f t="shared" si="1"/>
        <v>https://www.tsip.ai/force/06473005-29a0-45b5-b35f-2f1b9d245aa8</v>
      </c>
      <c r="C7" s="21" t="s">
        <v>258</v>
      </c>
      <c r="F7" s="9" t="s">
        <v>249</v>
      </c>
      <c r="G7" s="9" t="s">
        <v>249</v>
      </c>
      <c r="H7" s="9" t="s">
        <v>249</v>
      </c>
      <c r="J7" s="4" t="b">
        <v>0</v>
      </c>
      <c r="L7" s="4"/>
    </row>
    <row r="8">
      <c r="A8" s="4" t="s">
        <v>260</v>
      </c>
      <c r="B8" s="5" t="str">
        <f t="shared" si="1"/>
        <v>https://www.tsip.ai/force/0a2ffe07-f1e1-4e5e-8388-40197e5244b8</v>
      </c>
      <c r="C8" s="21" t="s">
        <v>261</v>
      </c>
      <c r="F8" s="9" t="s">
        <v>249</v>
      </c>
      <c r="G8" s="9" t="s">
        <v>249</v>
      </c>
      <c r="H8" s="9" t="s">
        <v>249</v>
      </c>
      <c r="J8" s="4" t="b">
        <v>0</v>
      </c>
      <c r="L8" s="4"/>
    </row>
    <row r="9">
      <c r="A9" s="4" t="s">
        <v>262</v>
      </c>
      <c r="B9" s="5" t="str">
        <f t="shared" si="1"/>
        <v>https://www.tsip.ai/force/137946c6-2d25-40b1-b21e-86ad86196443</v>
      </c>
      <c r="C9" s="21" t="s">
        <v>261</v>
      </c>
      <c r="F9" s="9" t="s">
        <v>249</v>
      </c>
      <c r="G9" s="9" t="s">
        <v>249</v>
      </c>
      <c r="H9" s="9" t="s">
        <v>249</v>
      </c>
      <c r="J9" s="4" t="b">
        <v>0</v>
      </c>
      <c r="L9" s="4"/>
    </row>
    <row r="10">
      <c r="A10" s="4" t="s">
        <v>263</v>
      </c>
      <c r="B10" s="5" t="str">
        <f t="shared" si="1"/>
        <v>https://www.tsip.ai/force/1559ae3b-d368-4483-89eb-652b19ff8a6d</v>
      </c>
      <c r="C10" s="6" t="s">
        <v>264</v>
      </c>
      <c r="F10" s="9" t="s">
        <v>249</v>
      </c>
      <c r="G10" s="9" t="s">
        <v>249</v>
      </c>
      <c r="H10" s="9" t="s">
        <v>249</v>
      </c>
      <c r="J10" s="4" t="b">
        <v>0</v>
      </c>
      <c r="L10" s="4"/>
    </row>
    <row r="11">
      <c r="A11" s="4" t="s">
        <v>265</v>
      </c>
      <c r="B11" s="5" t="str">
        <f t="shared" si="1"/>
        <v>https://www.tsip.ai/force/15f2b6bb-22dd-4057-a12c-5d6c722af03e</v>
      </c>
      <c r="C11" s="6" t="s">
        <v>264</v>
      </c>
      <c r="F11" s="9" t="s">
        <v>249</v>
      </c>
      <c r="G11" s="9" t="s">
        <v>249</v>
      </c>
      <c r="H11" s="9" t="s">
        <v>249</v>
      </c>
      <c r="J11" s="4" t="b">
        <v>0</v>
      </c>
      <c r="L11" s="4"/>
    </row>
    <row r="12">
      <c r="A12" s="4" t="s">
        <v>266</v>
      </c>
      <c r="B12" s="5" t="str">
        <f t="shared" si="1"/>
        <v>https://www.tsip.ai/force/172507df-9689-4d99-b211-934424a2586d</v>
      </c>
      <c r="C12" s="6" t="s">
        <v>267</v>
      </c>
      <c r="F12" s="9" t="s">
        <v>249</v>
      </c>
      <c r="G12" s="9" t="s">
        <v>249</v>
      </c>
      <c r="H12" s="9" t="s">
        <v>249</v>
      </c>
      <c r="J12" s="4" t="b">
        <v>0</v>
      </c>
      <c r="L12" s="4"/>
    </row>
    <row r="13">
      <c r="A13" s="4" t="s">
        <v>268</v>
      </c>
      <c r="B13" s="5" t="str">
        <f t="shared" si="1"/>
        <v>https://www.tsip.ai/force/17a88eb2-ef37-4094-8255-57602e6f4427</v>
      </c>
      <c r="C13" s="6" t="s">
        <v>267</v>
      </c>
      <c r="F13" s="9" t="s">
        <v>249</v>
      </c>
      <c r="G13" s="9" t="s">
        <v>249</v>
      </c>
      <c r="H13" s="9" t="s">
        <v>249</v>
      </c>
      <c r="J13" s="4" t="b">
        <v>0</v>
      </c>
      <c r="L13" s="4"/>
    </row>
    <row r="14">
      <c r="A14" s="4" t="s">
        <v>269</v>
      </c>
      <c r="B14" s="5" t="str">
        <f t="shared" si="1"/>
        <v>https://www.tsip.ai/force/18f5665c-58c0-4e6a-aa1c-dc2ddaa45083</v>
      </c>
      <c r="C14" s="21" t="s">
        <v>270</v>
      </c>
      <c r="F14" s="9" t="s">
        <v>249</v>
      </c>
      <c r="G14" s="9" t="s">
        <v>249</v>
      </c>
      <c r="H14" s="9" t="s">
        <v>249</v>
      </c>
      <c r="J14" s="4" t="b">
        <v>0</v>
      </c>
      <c r="L14" s="4"/>
    </row>
    <row r="15">
      <c r="A15" s="4" t="s">
        <v>271</v>
      </c>
      <c r="B15" s="5" t="str">
        <f t="shared" si="1"/>
        <v>https://www.tsip.ai/force/1af8d289-a2f3-45a7-b829-6c76051a2e1f</v>
      </c>
      <c r="C15" s="21" t="s">
        <v>270</v>
      </c>
      <c r="F15" s="9" t="s">
        <v>249</v>
      </c>
      <c r="G15" s="9" t="s">
        <v>249</v>
      </c>
      <c r="H15" s="9" t="s">
        <v>249</v>
      </c>
      <c r="J15" s="4" t="b">
        <v>0</v>
      </c>
      <c r="L15" s="4"/>
    </row>
    <row r="16">
      <c r="A16" s="4" t="s">
        <v>272</v>
      </c>
      <c r="B16" s="5" t="str">
        <f t="shared" si="1"/>
        <v>https://www.tsip.ai/force/1bb297ef-c0de-4a85-b10f-c4aaffedd0f9</v>
      </c>
      <c r="C16" s="21" t="s">
        <v>273</v>
      </c>
      <c r="D16" s="7" t="s">
        <v>274</v>
      </c>
      <c r="E16" s="7">
        <v>105.0</v>
      </c>
      <c r="F16" s="9" t="s">
        <v>249</v>
      </c>
      <c r="G16" s="9" t="s">
        <v>249</v>
      </c>
      <c r="H16" s="9" t="s">
        <v>249</v>
      </c>
      <c r="J16" s="4" t="b">
        <v>0</v>
      </c>
      <c r="L16" s="4"/>
    </row>
    <row r="17">
      <c r="A17" s="4" t="s">
        <v>275</v>
      </c>
      <c r="B17" s="5" t="str">
        <f t="shared" si="1"/>
        <v>https://www.tsip.ai/force/29c50543-7df8-4f07-86de-42cd3dfe3518</v>
      </c>
      <c r="C17" s="21" t="s">
        <v>276</v>
      </c>
      <c r="F17" s="9" t="s">
        <v>249</v>
      </c>
      <c r="G17" s="9" t="s">
        <v>249</v>
      </c>
      <c r="H17" s="9" t="s">
        <v>249</v>
      </c>
      <c r="J17" s="4" t="b">
        <v>0</v>
      </c>
      <c r="L17" s="4"/>
    </row>
    <row r="18">
      <c r="A18" s="4" t="s">
        <v>277</v>
      </c>
      <c r="B18" s="5" t="str">
        <f t="shared" si="1"/>
        <v>https://www.tsip.ai/force/34bae99b-d264-490b-8dcc-cb9470b6cea9</v>
      </c>
      <c r="C18" s="13" t="s">
        <v>278</v>
      </c>
      <c r="F18" s="9" t="s">
        <v>249</v>
      </c>
      <c r="G18" s="9" t="s">
        <v>249</v>
      </c>
      <c r="H18" s="9" t="s">
        <v>249</v>
      </c>
      <c r="J18" s="4" t="b">
        <v>0</v>
      </c>
      <c r="L18" s="4"/>
    </row>
    <row r="19">
      <c r="A19" s="4" t="s">
        <v>279</v>
      </c>
      <c r="B19" s="5" t="str">
        <f t="shared" si="1"/>
        <v>https://www.tsip.ai/force/47496d6b-0a37-42b7-bfd0-676a2695bc10</v>
      </c>
      <c r="C19" s="6" t="s">
        <v>255</v>
      </c>
      <c r="F19" s="9" t="s">
        <v>249</v>
      </c>
      <c r="G19" s="9" t="s">
        <v>249</v>
      </c>
      <c r="H19" s="9" t="s">
        <v>249</v>
      </c>
      <c r="J19" s="4" t="b">
        <v>0</v>
      </c>
      <c r="L19" s="4"/>
    </row>
    <row r="20">
      <c r="A20" s="4" t="s">
        <v>280</v>
      </c>
      <c r="B20" s="5" t="str">
        <f t="shared" si="1"/>
        <v>https://www.tsip.ai/force/49174f45-dbab-4409-86de-c84fdb5a929a</v>
      </c>
      <c r="C20" s="21" t="s">
        <v>281</v>
      </c>
      <c r="F20" s="9" t="s">
        <v>249</v>
      </c>
      <c r="G20" s="9" t="s">
        <v>249</v>
      </c>
      <c r="H20" s="9" t="s">
        <v>249</v>
      </c>
      <c r="J20" s="4" t="b">
        <v>0</v>
      </c>
      <c r="L20" s="4"/>
    </row>
    <row r="21">
      <c r="A21" s="4" t="s">
        <v>282</v>
      </c>
      <c r="B21" s="5" t="str">
        <f t="shared" si="1"/>
        <v>https://www.tsip.ai/force/52a81288-b941-4399-a756-140d63708bd3</v>
      </c>
      <c r="C21" s="21" t="s">
        <v>281</v>
      </c>
      <c r="F21" s="9" t="s">
        <v>249</v>
      </c>
      <c r="G21" s="9" t="s">
        <v>249</v>
      </c>
      <c r="H21" s="9" t="s">
        <v>249</v>
      </c>
      <c r="J21" s="4" t="b">
        <v>0</v>
      </c>
      <c r="L21" s="4"/>
    </row>
    <row r="22">
      <c r="A22" s="4" t="s">
        <v>283</v>
      </c>
      <c r="B22" s="5" t="str">
        <f t="shared" si="1"/>
        <v>https://www.tsip.ai/force/7bcd454a-587c-4354-9933-3d0bff3d232a</v>
      </c>
      <c r="C22" s="13"/>
      <c r="F22" s="9" t="s">
        <v>249</v>
      </c>
      <c r="G22" s="9" t="s">
        <v>249</v>
      </c>
      <c r="H22" s="9" t="s">
        <v>249</v>
      </c>
      <c r="J22" s="4" t="b">
        <v>0</v>
      </c>
      <c r="L22" s="4"/>
    </row>
    <row r="23">
      <c r="A23" s="4" t="s">
        <v>284</v>
      </c>
      <c r="B23" s="5" t="str">
        <f t="shared" si="1"/>
        <v>https://www.tsip.ai/force/7d34a324-931a-465c-9ddb-b7cca61049d6</v>
      </c>
      <c r="C23" s="13"/>
      <c r="F23" s="9" t="s">
        <v>249</v>
      </c>
      <c r="G23" s="9" t="s">
        <v>249</v>
      </c>
      <c r="H23" s="9" t="s">
        <v>249</v>
      </c>
      <c r="J23" s="4" t="b">
        <v>0</v>
      </c>
      <c r="L23" s="4"/>
    </row>
    <row r="24">
      <c r="A24" s="4" t="s">
        <v>285</v>
      </c>
      <c r="B24" s="5" t="str">
        <f t="shared" si="1"/>
        <v>https://www.tsip.ai/force/11d63782-a9ac-4050-8408-ba259a0df940</v>
      </c>
      <c r="C24" s="13"/>
      <c r="F24" s="9" t="s">
        <v>249</v>
      </c>
      <c r="G24" s="9" t="s">
        <v>249</v>
      </c>
      <c r="H24" s="9" t="s">
        <v>249</v>
      </c>
      <c r="J24" s="4" t="b">
        <v>0</v>
      </c>
      <c r="L24" s="4"/>
    </row>
    <row r="25">
      <c r="A25" s="4" t="s">
        <v>286</v>
      </c>
      <c r="B25" s="5" t="str">
        <f t="shared" si="1"/>
        <v>https://www.tsip.ai/force/13d86739-f0c2-4ea9-bc25-031647cb348a</v>
      </c>
      <c r="C25" s="40"/>
      <c r="F25" s="9" t="s">
        <v>249</v>
      </c>
      <c r="G25" s="9" t="s">
        <v>249</v>
      </c>
      <c r="H25" s="9" t="s">
        <v>249</v>
      </c>
      <c r="J25" s="4" t="b">
        <v>0</v>
      </c>
      <c r="L25" s="4"/>
    </row>
    <row r="26">
      <c r="A26" s="4" t="s">
        <v>287</v>
      </c>
      <c r="B26" s="5" t="str">
        <f t="shared" si="1"/>
        <v>https://www.tsip.ai/force/1418dd3a-c080-4e72-baf7-a7c582fdcf06</v>
      </c>
      <c r="C26" s="13"/>
      <c r="F26" s="9" t="s">
        <v>249</v>
      </c>
      <c r="G26" s="9" t="s">
        <v>249</v>
      </c>
      <c r="H26" s="9" t="s">
        <v>249</v>
      </c>
      <c r="J26" s="4" t="b">
        <v>0</v>
      </c>
      <c r="L26" s="4"/>
    </row>
    <row r="27">
      <c r="A27" s="4" t="s">
        <v>288</v>
      </c>
      <c r="B27" s="5" t="str">
        <f t="shared" si="1"/>
        <v>https://www.tsip.ai/force/1455f0d4-b252-42e8-98b8-5560a78ebfe3</v>
      </c>
      <c r="C27" s="13"/>
      <c r="F27" s="9" t="s">
        <v>249</v>
      </c>
      <c r="G27" s="9" t="s">
        <v>249</v>
      </c>
      <c r="H27" s="9" t="s">
        <v>249</v>
      </c>
      <c r="J27" s="4" t="b">
        <v>0</v>
      </c>
      <c r="L27" s="4"/>
    </row>
    <row r="28">
      <c r="A28" s="4" t="s">
        <v>289</v>
      </c>
      <c r="B28" s="5" t="str">
        <f t="shared" si="1"/>
        <v>https://www.tsip.ai/force/156ad62e-145a-403b-b64f-e9e681b19702</v>
      </c>
      <c r="C28" s="13"/>
      <c r="F28" s="9" t="s">
        <v>249</v>
      </c>
      <c r="G28" s="9" t="s">
        <v>249</v>
      </c>
      <c r="H28" s="9" t="s">
        <v>249</v>
      </c>
      <c r="J28" s="4" t="b">
        <v>0</v>
      </c>
      <c r="L28" s="4"/>
    </row>
    <row r="29">
      <c r="A29" s="4" t="s">
        <v>290</v>
      </c>
      <c r="B29" s="5" t="str">
        <f t="shared" si="1"/>
        <v>https://www.tsip.ai/force/162bdf3d-475d-46e6-b5c2-6cca7919a4d5</v>
      </c>
      <c r="C29" s="13"/>
      <c r="F29" s="9" t="s">
        <v>249</v>
      </c>
      <c r="G29" s="9" t="s">
        <v>249</v>
      </c>
      <c r="H29" s="9" t="s">
        <v>249</v>
      </c>
      <c r="J29" s="4" t="b">
        <v>0</v>
      </c>
      <c r="L29" s="4"/>
    </row>
    <row r="30">
      <c r="A30" s="4" t="s">
        <v>291</v>
      </c>
      <c r="B30" s="5" t="str">
        <f t="shared" si="1"/>
        <v>https://www.tsip.ai/force/19530fd4-46b1-4ac4-8067-e9e62b767960</v>
      </c>
      <c r="C30" s="40"/>
      <c r="F30" s="9" t="s">
        <v>249</v>
      </c>
      <c r="G30" s="9" t="s">
        <v>249</v>
      </c>
      <c r="H30" s="9" t="s">
        <v>249</v>
      </c>
      <c r="J30" s="4" t="b">
        <v>0</v>
      </c>
      <c r="L30" s="4"/>
    </row>
    <row r="31">
      <c r="A31" s="4" t="s">
        <v>292</v>
      </c>
      <c r="B31" s="5" t="str">
        <f t="shared" si="1"/>
        <v>https://www.tsip.ai/force/19f1b207-7b14-45e5-bb94-b287575c7ea4</v>
      </c>
      <c r="C31" s="40"/>
      <c r="F31" s="9" t="s">
        <v>249</v>
      </c>
      <c r="G31" s="9" t="s">
        <v>249</v>
      </c>
      <c r="H31" s="9" t="s">
        <v>249</v>
      </c>
      <c r="J31" s="4" t="b">
        <v>0</v>
      </c>
      <c r="L31" s="4"/>
    </row>
    <row r="32">
      <c r="A32" s="4" t="s">
        <v>293</v>
      </c>
      <c r="B32" s="5" t="str">
        <f t="shared" si="1"/>
        <v>https://www.tsip.ai/force/1b70ca3c-db6a-4349-a077-c90e017e8efe</v>
      </c>
      <c r="C32" s="40"/>
      <c r="F32" s="9" t="s">
        <v>249</v>
      </c>
      <c r="G32" s="9" t="s">
        <v>249</v>
      </c>
      <c r="H32" s="9" t="s">
        <v>249</v>
      </c>
      <c r="J32" s="4" t="b">
        <v>0</v>
      </c>
      <c r="L32" s="4"/>
    </row>
    <row r="33">
      <c r="A33" s="4" t="s">
        <v>294</v>
      </c>
      <c r="B33" s="5" t="str">
        <f t="shared" si="1"/>
        <v>https://www.tsip.ai/force/1ba0bd5e-2aaa-4d53-84a2-5a5ddbc22877</v>
      </c>
      <c r="C33" s="40"/>
      <c r="F33" s="9" t="s">
        <v>249</v>
      </c>
      <c r="G33" s="9" t="s">
        <v>249</v>
      </c>
      <c r="H33" s="9" t="s">
        <v>249</v>
      </c>
      <c r="J33" s="4" t="b">
        <v>0</v>
      </c>
      <c r="L33" s="4"/>
    </row>
    <row r="34">
      <c r="A34" s="4" t="s">
        <v>295</v>
      </c>
      <c r="B34" s="5" t="str">
        <f t="shared" si="1"/>
        <v>https://www.tsip.ai/force/1bb0c6bb-2d66-4ca7-9a95-412171a6b54e</v>
      </c>
      <c r="C34" s="40"/>
      <c r="F34" s="9" t="s">
        <v>249</v>
      </c>
      <c r="G34" s="9" t="s">
        <v>249</v>
      </c>
      <c r="H34" s="9" t="s">
        <v>249</v>
      </c>
      <c r="J34" s="4" t="b">
        <v>0</v>
      </c>
      <c r="L34" s="4"/>
    </row>
    <row r="35">
      <c r="A35" s="4" t="s">
        <v>296</v>
      </c>
      <c r="B35" s="5" t="str">
        <f t="shared" si="1"/>
        <v>https://www.tsip.ai/force/21cc4460-e6ea-4b1e-8c23-01341d66ca33</v>
      </c>
      <c r="C35" s="40"/>
      <c r="F35" s="9" t="s">
        <v>249</v>
      </c>
      <c r="G35" s="9" t="s">
        <v>249</v>
      </c>
      <c r="H35" s="9" t="s">
        <v>249</v>
      </c>
      <c r="J35" s="4" t="b">
        <v>0</v>
      </c>
      <c r="L35" s="4"/>
    </row>
    <row r="36">
      <c r="A36" s="4" t="s">
        <v>297</v>
      </c>
      <c r="B36" s="5" t="str">
        <f t="shared" si="1"/>
        <v>https://www.tsip.ai/force/2517884c-fb41-4997-803d-b58f6948a966</v>
      </c>
      <c r="C36" s="40"/>
      <c r="F36" s="9" t="s">
        <v>249</v>
      </c>
      <c r="G36" s="9" t="s">
        <v>249</v>
      </c>
      <c r="H36" s="9" t="s">
        <v>249</v>
      </c>
      <c r="J36" s="4" t="b">
        <v>0</v>
      </c>
      <c r="L36" s="4"/>
    </row>
    <row r="37">
      <c r="A37" s="4" t="s">
        <v>298</v>
      </c>
      <c r="B37" s="5" t="str">
        <f t="shared" si="1"/>
        <v>https://www.tsip.ai/force/2546e176-164b-4eb3-a6ee-b28eb4f5f10f</v>
      </c>
      <c r="C37" s="40"/>
      <c r="F37" s="9" t="s">
        <v>249</v>
      </c>
      <c r="G37" s="9" t="s">
        <v>249</v>
      </c>
      <c r="H37" s="9" t="s">
        <v>249</v>
      </c>
      <c r="J37" s="4" t="b">
        <v>0</v>
      </c>
      <c r="L37" s="4"/>
    </row>
    <row r="38">
      <c r="A38" s="4" t="s">
        <v>299</v>
      </c>
      <c r="B38" s="5" t="str">
        <f t="shared" si="1"/>
        <v>https://www.tsip.ai/force/2fbb9781-71a0-4b18-9c4d-c014ce85ad4a</v>
      </c>
      <c r="C38" s="40"/>
      <c r="F38" s="9" t="s">
        <v>249</v>
      </c>
      <c r="G38" s="9" t="s">
        <v>249</v>
      </c>
      <c r="H38" s="9" t="s">
        <v>249</v>
      </c>
      <c r="J38" s="4" t="b">
        <v>0</v>
      </c>
      <c r="L38" s="4"/>
    </row>
    <row r="39">
      <c r="A39" s="4" t="s">
        <v>300</v>
      </c>
      <c r="B39" s="5" t="str">
        <f t="shared" si="1"/>
        <v>https://www.tsip.ai/force/306466f8-0745-4cc2-a116-f7a2310f1b1c</v>
      </c>
      <c r="C39" s="40"/>
      <c r="F39" s="9" t="s">
        <v>249</v>
      </c>
      <c r="G39" s="9" t="s">
        <v>249</v>
      </c>
      <c r="H39" s="9" t="s">
        <v>249</v>
      </c>
      <c r="J39" s="4" t="b">
        <v>0</v>
      </c>
      <c r="L39" s="4"/>
    </row>
    <row r="40">
      <c r="A40" s="4" t="s">
        <v>301</v>
      </c>
      <c r="B40" s="5" t="str">
        <f t="shared" si="1"/>
        <v>https://www.tsip.ai/force/3230b3b2-daed-4e71-b785-11ab2a8fca5e</v>
      </c>
      <c r="C40" s="40"/>
      <c r="F40" s="9" t="s">
        <v>249</v>
      </c>
      <c r="G40" s="9" t="s">
        <v>249</v>
      </c>
      <c r="H40" s="9" t="s">
        <v>249</v>
      </c>
      <c r="J40" s="4" t="b">
        <v>0</v>
      </c>
      <c r="L40" s="4"/>
    </row>
    <row r="41">
      <c r="A41" s="4" t="s">
        <v>302</v>
      </c>
      <c r="B41" s="5" t="str">
        <f t="shared" si="1"/>
        <v>https://www.tsip.ai/force/37183b05-9883-4062-b7fc-a902e0adbfd0</v>
      </c>
      <c r="C41" s="40"/>
      <c r="F41" s="9" t="s">
        <v>249</v>
      </c>
      <c r="G41" s="9" t="s">
        <v>249</v>
      </c>
      <c r="H41" s="9" t="s">
        <v>249</v>
      </c>
      <c r="J41" s="4" t="b">
        <v>0</v>
      </c>
      <c r="L41" s="4"/>
    </row>
    <row r="42">
      <c r="C42" s="40"/>
    </row>
    <row r="43">
      <c r="C43" s="40"/>
    </row>
    <row r="44">
      <c r="C44" s="40"/>
    </row>
    <row r="45">
      <c r="C45" s="40"/>
    </row>
    <row r="46">
      <c r="C46" s="40"/>
    </row>
    <row r="47">
      <c r="C47" s="40"/>
    </row>
    <row r="48">
      <c r="C48" s="40"/>
    </row>
    <row r="49">
      <c r="C49" s="40"/>
    </row>
    <row r="50">
      <c r="C50" s="40"/>
    </row>
    <row r="51">
      <c r="C51" s="40"/>
    </row>
    <row r="52">
      <c r="C52" s="40"/>
    </row>
    <row r="53">
      <c r="C53" s="40"/>
    </row>
    <row r="54">
      <c r="C54" s="40"/>
    </row>
    <row r="55">
      <c r="C55" s="40"/>
    </row>
    <row r="56">
      <c r="C56" s="40"/>
    </row>
    <row r="57">
      <c r="C57" s="40"/>
    </row>
    <row r="58">
      <c r="C58" s="40"/>
    </row>
    <row r="59">
      <c r="C59" s="40"/>
    </row>
    <row r="60">
      <c r="C60" s="40"/>
    </row>
    <row r="61">
      <c r="C61" s="40"/>
    </row>
    <row r="62">
      <c r="C62" s="40"/>
    </row>
    <row r="63">
      <c r="C63" s="40"/>
    </row>
    <row r="64">
      <c r="C64" s="40"/>
    </row>
    <row r="65">
      <c r="C65" s="40"/>
    </row>
    <row r="66">
      <c r="C66" s="40"/>
    </row>
    <row r="67">
      <c r="C67" s="40"/>
    </row>
    <row r="68">
      <c r="C68" s="40"/>
    </row>
    <row r="69">
      <c r="C69" s="40"/>
    </row>
    <row r="70">
      <c r="C70" s="40"/>
    </row>
    <row r="71">
      <c r="C71" s="40"/>
    </row>
    <row r="72">
      <c r="C72" s="40"/>
    </row>
    <row r="73">
      <c r="C73" s="40"/>
    </row>
    <row r="74">
      <c r="C74" s="40"/>
    </row>
    <row r="75">
      <c r="C75" s="40"/>
    </row>
    <row r="76">
      <c r="C76" s="40"/>
    </row>
    <row r="77">
      <c r="C77" s="40"/>
    </row>
    <row r="78">
      <c r="C78" s="40"/>
    </row>
    <row r="79">
      <c r="C79" s="40"/>
    </row>
    <row r="80">
      <c r="C80" s="40"/>
    </row>
    <row r="81">
      <c r="C81" s="40"/>
    </row>
    <row r="82">
      <c r="C82" s="40"/>
    </row>
    <row r="83">
      <c r="C83" s="40"/>
    </row>
    <row r="84">
      <c r="C84" s="40"/>
    </row>
    <row r="85">
      <c r="C85" s="40"/>
    </row>
    <row r="86">
      <c r="C86" s="40"/>
    </row>
    <row r="87">
      <c r="C87" s="40"/>
    </row>
    <row r="88">
      <c r="C88" s="40"/>
    </row>
    <row r="89">
      <c r="C89" s="40"/>
    </row>
    <row r="90">
      <c r="C90" s="40"/>
    </row>
    <row r="91">
      <c r="C91" s="40"/>
    </row>
    <row r="92">
      <c r="C92" s="40"/>
    </row>
    <row r="93">
      <c r="C93" s="40"/>
    </row>
    <row r="94">
      <c r="C94" s="40"/>
    </row>
    <row r="95">
      <c r="C95" s="40"/>
    </row>
    <row r="96">
      <c r="C96" s="40"/>
    </row>
    <row r="97">
      <c r="C97" s="40"/>
    </row>
    <row r="98">
      <c r="C98" s="40"/>
    </row>
    <row r="99">
      <c r="C99" s="40"/>
    </row>
    <row r="100">
      <c r="C100" s="40"/>
    </row>
    <row r="101">
      <c r="C101" s="40"/>
    </row>
    <row r="102">
      <c r="C102" s="40"/>
    </row>
    <row r="103">
      <c r="C103" s="40"/>
    </row>
    <row r="104">
      <c r="C104" s="40"/>
    </row>
    <row r="105">
      <c r="C105" s="40"/>
    </row>
    <row r="106">
      <c r="C106" s="40"/>
    </row>
    <row r="107">
      <c r="C107" s="40"/>
    </row>
    <row r="108">
      <c r="C108" s="40"/>
    </row>
    <row r="109">
      <c r="C109" s="40"/>
    </row>
    <row r="110">
      <c r="C110" s="40"/>
    </row>
    <row r="111">
      <c r="C111" s="40"/>
    </row>
    <row r="112">
      <c r="C112" s="40"/>
    </row>
    <row r="113">
      <c r="C113" s="40"/>
    </row>
    <row r="114">
      <c r="C114" s="40"/>
    </row>
    <row r="115">
      <c r="C115" s="40"/>
    </row>
    <row r="116">
      <c r="C116" s="40"/>
    </row>
    <row r="117">
      <c r="C117" s="40"/>
    </row>
    <row r="118">
      <c r="C118" s="40"/>
    </row>
    <row r="119">
      <c r="C119" s="40"/>
    </row>
    <row r="120">
      <c r="C120" s="40"/>
    </row>
    <row r="121">
      <c r="C121" s="40"/>
    </row>
    <row r="122">
      <c r="C122" s="40"/>
    </row>
    <row r="123">
      <c r="C123" s="40"/>
    </row>
    <row r="124">
      <c r="C124" s="40"/>
    </row>
    <row r="125">
      <c r="C125" s="40"/>
    </row>
    <row r="126">
      <c r="C126" s="40"/>
    </row>
    <row r="127">
      <c r="C127" s="40"/>
    </row>
    <row r="128">
      <c r="C128" s="40"/>
    </row>
    <row r="129">
      <c r="C129" s="40"/>
    </row>
    <row r="130">
      <c r="C130" s="40"/>
    </row>
    <row r="131">
      <c r="C131" s="40"/>
    </row>
    <row r="132">
      <c r="C132" s="40"/>
    </row>
    <row r="133">
      <c r="C133" s="40"/>
    </row>
    <row r="134">
      <c r="C134" s="40"/>
    </row>
    <row r="135">
      <c r="C135" s="40"/>
    </row>
    <row r="136">
      <c r="C136" s="40"/>
    </row>
    <row r="137">
      <c r="C137" s="40"/>
    </row>
    <row r="138">
      <c r="C138" s="40"/>
    </row>
    <row r="139">
      <c r="C139" s="40"/>
    </row>
    <row r="140">
      <c r="C140" s="40"/>
    </row>
    <row r="141">
      <c r="C141" s="40"/>
    </row>
    <row r="142">
      <c r="C142" s="40"/>
    </row>
    <row r="143">
      <c r="C143" s="40"/>
    </row>
    <row r="144">
      <c r="C144" s="40"/>
    </row>
    <row r="145">
      <c r="C145" s="40"/>
    </row>
    <row r="146">
      <c r="C146" s="40"/>
    </row>
    <row r="147">
      <c r="C147" s="40"/>
    </row>
    <row r="148">
      <c r="C148" s="40"/>
    </row>
    <row r="149">
      <c r="C149" s="40"/>
    </row>
    <row r="150">
      <c r="C150" s="40"/>
    </row>
    <row r="151">
      <c r="C151" s="40"/>
    </row>
    <row r="152">
      <c r="C152" s="40"/>
    </row>
    <row r="153">
      <c r="C153" s="40"/>
    </row>
    <row r="154">
      <c r="C154" s="40"/>
    </row>
    <row r="155">
      <c r="C155" s="40"/>
    </row>
    <row r="156">
      <c r="C156" s="40"/>
    </row>
    <row r="157">
      <c r="C157" s="40"/>
    </row>
    <row r="158">
      <c r="C158" s="40"/>
    </row>
    <row r="159">
      <c r="C159" s="40"/>
    </row>
    <row r="160">
      <c r="C160" s="40"/>
    </row>
    <row r="161">
      <c r="C161" s="40"/>
    </row>
    <row r="162">
      <c r="C162" s="40"/>
    </row>
    <row r="163">
      <c r="C163" s="40"/>
    </row>
    <row r="164">
      <c r="C164" s="40"/>
    </row>
    <row r="165">
      <c r="C165" s="40"/>
    </row>
    <row r="166">
      <c r="C166" s="40"/>
    </row>
    <row r="167">
      <c r="C167" s="40"/>
    </row>
    <row r="168">
      <c r="C168" s="40"/>
    </row>
    <row r="169">
      <c r="C169" s="40"/>
    </row>
    <row r="170">
      <c r="C170" s="40"/>
    </row>
    <row r="171">
      <c r="C171" s="40"/>
    </row>
    <row r="172">
      <c r="C172" s="40"/>
    </row>
    <row r="173">
      <c r="C173" s="40"/>
    </row>
    <row r="174">
      <c r="C174" s="40"/>
    </row>
    <row r="175">
      <c r="C175" s="40"/>
    </row>
    <row r="176">
      <c r="C176" s="40"/>
    </row>
    <row r="177">
      <c r="C177" s="40"/>
    </row>
    <row r="178">
      <c r="C178" s="40"/>
    </row>
    <row r="179">
      <c r="C179" s="40"/>
    </row>
    <row r="180">
      <c r="C180" s="40"/>
    </row>
    <row r="181">
      <c r="C181" s="40"/>
    </row>
    <row r="182">
      <c r="C182" s="40"/>
    </row>
    <row r="183">
      <c r="C183" s="40"/>
    </row>
    <row r="184">
      <c r="C184" s="40"/>
    </row>
    <row r="185">
      <c r="C185" s="40"/>
    </row>
    <row r="186">
      <c r="C186" s="40"/>
    </row>
    <row r="187">
      <c r="C187" s="40"/>
    </row>
    <row r="188">
      <c r="C188" s="40"/>
    </row>
    <row r="189">
      <c r="C189" s="40"/>
    </row>
    <row r="190">
      <c r="C190" s="40"/>
    </row>
    <row r="191">
      <c r="C191" s="40"/>
    </row>
    <row r="192">
      <c r="C192" s="40"/>
    </row>
    <row r="193">
      <c r="C193" s="40"/>
    </row>
    <row r="194">
      <c r="C194" s="40"/>
    </row>
    <row r="195">
      <c r="C195" s="40"/>
    </row>
    <row r="196">
      <c r="C196" s="40"/>
    </row>
    <row r="197">
      <c r="C197" s="40"/>
    </row>
    <row r="198">
      <c r="C198" s="40"/>
    </row>
    <row r="199">
      <c r="C199" s="40"/>
    </row>
    <row r="200">
      <c r="C200" s="40"/>
    </row>
    <row r="201">
      <c r="C201" s="40"/>
    </row>
    <row r="202">
      <c r="C202" s="40"/>
    </row>
    <row r="203">
      <c r="C203" s="40"/>
    </row>
    <row r="204">
      <c r="C204" s="40"/>
    </row>
    <row r="205">
      <c r="C205" s="40"/>
    </row>
    <row r="206">
      <c r="C206" s="40"/>
    </row>
    <row r="207">
      <c r="C207" s="40"/>
    </row>
    <row r="208">
      <c r="C208" s="40"/>
    </row>
    <row r="209">
      <c r="C209" s="40"/>
    </row>
    <row r="210">
      <c r="C210" s="40"/>
    </row>
    <row r="211">
      <c r="C211" s="40"/>
    </row>
    <row r="212">
      <c r="C212" s="40"/>
    </row>
    <row r="213">
      <c r="C213" s="40"/>
    </row>
    <row r="214">
      <c r="C214" s="40"/>
    </row>
    <row r="215">
      <c r="C215" s="40"/>
    </row>
    <row r="216">
      <c r="C216" s="40"/>
    </row>
    <row r="217">
      <c r="C217" s="40"/>
    </row>
    <row r="218">
      <c r="C218" s="40"/>
    </row>
    <row r="219">
      <c r="C219" s="40"/>
    </row>
    <row r="220">
      <c r="C220" s="40"/>
    </row>
    <row r="221">
      <c r="C221" s="40"/>
    </row>
    <row r="222">
      <c r="C222" s="40"/>
    </row>
    <row r="223">
      <c r="C223" s="40"/>
    </row>
    <row r="224">
      <c r="C224" s="40"/>
    </row>
    <row r="225">
      <c r="C225" s="40"/>
    </row>
    <row r="226">
      <c r="C226" s="40"/>
    </row>
    <row r="227">
      <c r="C227" s="40"/>
    </row>
    <row r="228">
      <c r="C228" s="40"/>
    </row>
    <row r="229">
      <c r="C229" s="40"/>
    </row>
    <row r="230">
      <c r="C230" s="40"/>
    </row>
    <row r="231">
      <c r="C231" s="40"/>
    </row>
    <row r="232">
      <c r="C232" s="40"/>
    </row>
    <row r="233">
      <c r="C233" s="40"/>
    </row>
    <row r="234">
      <c r="C234" s="40"/>
    </row>
    <row r="235">
      <c r="C235" s="40"/>
    </row>
    <row r="236">
      <c r="C236" s="40"/>
    </row>
    <row r="237">
      <c r="C237" s="40"/>
    </row>
    <row r="238">
      <c r="C238" s="40"/>
    </row>
    <row r="239">
      <c r="C239" s="40"/>
    </row>
    <row r="240">
      <c r="C240" s="40"/>
    </row>
    <row r="241">
      <c r="C241" s="40"/>
    </row>
    <row r="242">
      <c r="C242" s="40"/>
    </row>
    <row r="243">
      <c r="C243" s="40"/>
    </row>
    <row r="244">
      <c r="C244" s="40"/>
    </row>
    <row r="245">
      <c r="C245" s="40"/>
    </row>
    <row r="246">
      <c r="C246" s="40"/>
    </row>
    <row r="247">
      <c r="C247" s="40"/>
    </row>
    <row r="248">
      <c r="C248" s="40"/>
    </row>
    <row r="249">
      <c r="C249" s="40"/>
    </row>
    <row r="250">
      <c r="C250" s="40"/>
    </row>
    <row r="251">
      <c r="C251" s="40"/>
    </row>
    <row r="252">
      <c r="C252" s="40"/>
    </row>
    <row r="253">
      <c r="C253" s="40"/>
    </row>
    <row r="254">
      <c r="C254" s="40"/>
    </row>
    <row r="255">
      <c r="C255" s="40"/>
    </row>
    <row r="256">
      <c r="C256" s="40"/>
    </row>
    <row r="257">
      <c r="C257" s="40"/>
    </row>
    <row r="258">
      <c r="C258" s="40"/>
    </row>
    <row r="259">
      <c r="C259" s="40"/>
    </row>
    <row r="260">
      <c r="C260" s="40"/>
    </row>
    <row r="261">
      <c r="C261" s="40"/>
    </row>
    <row r="262">
      <c r="C262" s="40"/>
    </row>
    <row r="263">
      <c r="C263" s="40"/>
    </row>
    <row r="264">
      <c r="C264" s="40"/>
    </row>
    <row r="265">
      <c r="C265" s="40"/>
    </row>
    <row r="266">
      <c r="C266" s="40"/>
    </row>
    <row r="267">
      <c r="C267" s="40"/>
    </row>
    <row r="268">
      <c r="C268" s="40"/>
    </row>
    <row r="269">
      <c r="C269" s="40"/>
    </row>
    <row r="270">
      <c r="C270" s="40"/>
    </row>
    <row r="271">
      <c r="C271" s="40"/>
    </row>
    <row r="272">
      <c r="C272" s="40"/>
    </row>
    <row r="273">
      <c r="C273" s="40"/>
    </row>
    <row r="274">
      <c r="C274" s="40"/>
    </row>
    <row r="275">
      <c r="C275" s="40"/>
    </row>
    <row r="276">
      <c r="C276" s="40"/>
    </row>
    <row r="277">
      <c r="C277" s="40"/>
    </row>
    <row r="278">
      <c r="C278" s="40"/>
    </row>
    <row r="279">
      <c r="C279" s="40"/>
    </row>
    <row r="280">
      <c r="C280" s="40"/>
    </row>
    <row r="281">
      <c r="C281" s="40"/>
    </row>
    <row r="282">
      <c r="C282" s="40"/>
    </row>
    <row r="283">
      <c r="C283" s="40"/>
    </row>
    <row r="284">
      <c r="C284" s="40"/>
    </row>
    <row r="285">
      <c r="C285" s="40"/>
    </row>
    <row r="286">
      <c r="C286" s="40"/>
    </row>
    <row r="287">
      <c r="C287" s="40"/>
    </row>
    <row r="288">
      <c r="C288" s="40"/>
    </row>
    <row r="289">
      <c r="C289" s="40"/>
    </row>
    <row r="290">
      <c r="C290" s="40"/>
    </row>
    <row r="291">
      <c r="C291" s="40"/>
    </row>
    <row r="292">
      <c r="C292" s="40"/>
    </row>
    <row r="293">
      <c r="C293" s="40"/>
    </row>
    <row r="294">
      <c r="C294" s="40"/>
    </row>
    <row r="295">
      <c r="C295" s="40"/>
    </row>
    <row r="296">
      <c r="C296" s="40"/>
    </row>
    <row r="297">
      <c r="C297" s="40"/>
    </row>
    <row r="298">
      <c r="C298" s="40"/>
    </row>
    <row r="299">
      <c r="C299" s="40"/>
    </row>
    <row r="300">
      <c r="C300" s="40"/>
    </row>
    <row r="301">
      <c r="C301" s="40"/>
    </row>
    <row r="302">
      <c r="C302" s="40"/>
    </row>
    <row r="303">
      <c r="C303" s="40"/>
    </row>
    <row r="304">
      <c r="C304" s="40"/>
    </row>
    <row r="305">
      <c r="C305" s="40"/>
    </row>
    <row r="306">
      <c r="C306" s="40"/>
    </row>
    <row r="307">
      <c r="C307" s="40"/>
    </row>
    <row r="308">
      <c r="C308" s="40"/>
    </row>
    <row r="309">
      <c r="C309" s="40"/>
    </row>
    <row r="310">
      <c r="C310" s="40"/>
    </row>
    <row r="311">
      <c r="C311" s="40"/>
    </row>
    <row r="312">
      <c r="C312" s="40"/>
    </row>
    <row r="313">
      <c r="C313" s="40"/>
    </row>
    <row r="314">
      <c r="C314" s="40"/>
    </row>
    <row r="315">
      <c r="C315" s="40"/>
    </row>
    <row r="316">
      <c r="C316" s="40"/>
    </row>
    <row r="317">
      <c r="C317" s="40"/>
    </row>
    <row r="318">
      <c r="C318" s="40"/>
    </row>
    <row r="319">
      <c r="C319" s="40"/>
    </row>
    <row r="320">
      <c r="C320" s="40"/>
    </row>
    <row r="321">
      <c r="C321" s="40"/>
    </row>
    <row r="322">
      <c r="C322" s="40"/>
    </row>
    <row r="323">
      <c r="C323" s="40"/>
    </row>
    <row r="324">
      <c r="C324" s="40"/>
    </row>
    <row r="325">
      <c r="C325" s="40"/>
    </row>
    <row r="326">
      <c r="C326" s="40"/>
    </row>
    <row r="327">
      <c r="C327" s="40"/>
    </row>
    <row r="328">
      <c r="C328" s="40"/>
    </row>
    <row r="329">
      <c r="C329" s="40"/>
    </row>
    <row r="330">
      <c r="C330" s="40"/>
    </row>
    <row r="331">
      <c r="C331" s="40"/>
    </row>
    <row r="332">
      <c r="C332" s="40"/>
    </row>
    <row r="333">
      <c r="C333" s="40"/>
    </row>
    <row r="334">
      <c r="C334" s="40"/>
    </row>
    <row r="335">
      <c r="C335" s="40"/>
    </row>
    <row r="336">
      <c r="C336" s="40"/>
    </row>
    <row r="337">
      <c r="C337" s="40"/>
    </row>
    <row r="338">
      <c r="C338" s="40"/>
    </row>
    <row r="339">
      <c r="C339" s="40"/>
    </row>
    <row r="340">
      <c r="C340" s="40"/>
    </row>
    <row r="341">
      <c r="C341" s="40"/>
    </row>
    <row r="342">
      <c r="C342" s="40"/>
    </row>
    <row r="343">
      <c r="C343" s="40"/>
    </row>
    <row r="344">
      <c r="C344" s="40"/>
    </row>
    <row r="345">
      <c r="C345" s="40"/>
    </row>
    <row r="346">
      <c r="C346" s="40"/>
    </row>
    <row r="347">
      <c r="C347" s="40"/>
    </row>
    <row r="348">
      <c r="C348" s="40"/>
    </row>
    <row r="349">
      <c r="C349" s="40"/>
    </row>
    <row r="350">
      <c r="C350" s="40"/>
    </row>
    <row r="351">
      <c r="C351" s="40"/>
    </row>
    <row r="352">
      <c r="C352" s="40"/>
    </row>
    <row r="353">
      <c r="C353" s="40"/>
    </row>
    <row r="354">
      <c r="C354" s="40"/>
    </row>
    <row r="355">
      <c r="C355" s="40"/>
    </row>
    <row r="356">
      <c r="C356" s="40"/>
    </row>
    <row r="357">
      <c r="C357" s="40"/>
    </row>
    <row r="358">
      <c r="C358" s="40"/>
    </row>
    <row r="359">
      <c r="C359" s="40"/>
    </row>
    <row r="360">
      <c r="C360" s="40"/>
    </row>
    <row r="361">
      <c r="C361" s="40"/>
    </row>
    <row r="362">
      <c r="C362" s="40"/>
    </row>
    <row r="363">
      <c r="C363" s="40"/>
    </row>
    <row r="364">
      <c r="C364" s="40"/>
    </row>
    <row r="365">
      <c r="C365" s="40"/>
    </row>
    <row r="366">
      <c r="C366" s="40"/>
    </row>
    <row r="367">
      <c r="C367" s="40"/>
    </row>
    <row r="368">
      <c r="C368" s="40"/>
    </row>
    <row r="369">
      <c r="C369" s="40"/>
    </row>
    <row r="370">
      <c r="C370" s="40"/>
    </row>
    <row r="371">
      <c r="C371" s="40"/>
    </row>
    <row r="372">
      <c r="C372" s="40"/>
    </row>
    <row r="373">
      <c r="C373" s="40"/>
    </row>
    <row r="374">
      <c r="C374" s="40"/>
    </row>
    <row r="375">
      <c r="C375" s="40"/>
    </row>
    <row r="376">
      <c r="C376" s="40"/>
    </row>
    <row r="377">
      <c r="C377" s="40"/>
    </row>
    <row r="378">
      <c r="C378" s="40"/>
    </row>
    <row r="379">
      <c r="C379" s="40"/>
    </row>
    <row r="380">
      <c r="C380" s="40"/>
    </row>
    <row r="381">
      <c r="C381" s="40"/>
    </row>
    <row r="382">
      <c r="C382" s="40"/>
    </row>
    <row r="383">
      <c r="C383" s="40"/>
    </row>
    <row r="384">
      <c r="C384" s="40"/>
    </row>
    <row r="385">
      <c r="C385" s="40"/>
    </row>
    <row r="386">
      <c r="C386" s="40"/>
    </row>
    <row r="387">
      <c r="C387" s="40"/>
    </row>
    <row r="388">
      <c r="C388" s="40"/>
    </row>
    <row r="389">
      <c r="C389" s="40"/>
    </row>
    <row r="390">
      <c r="C390" s="40"/>
    </row>
    <row r="391">
      <c r="C391" s="40"/>
    </row>
    <row r="392">
      <c r="C392" s="40"/>
    </row>
    <row r="393">
      <c r="C393" s="40"/>
    </row>
    <row r="394">
      <c r="C394" s="40"/>
    </row>
    <row r="395">
      <c r="C395" s="40"/>
    </row>
    <row r="396">
      <c r="C396" s="40"/>
    </row>
    <row r="397">
      <c r="C397" s="40"/>
    </row>
    <row r="398">
      <c r="C398" s="40"/>
    </row>
    <row r="399">
      <c r="C399" s="40"/>
    </row>
    <row r="400">
      <c r="C400" s="40"/>
    </row>
    <row r="401">
      <c r="C401" s="40"/>
    </row>
    <row r="402">
      <c r="C402" s="40"/>
    </row>
    <row r="403">
      <c r="C403" s="40"/>
    </row>
    <row r="404">
      <c r="C404" s="40"/>
    </row>
    <row r="405">
      <c r="C405" s="40"/>
    </row>
    <row r="406">
      <c r="C406" s="40"/>
    </row>
    <row r="407">
      <c r="C407" s="40"/>
    </row>
    <row r="408">
      <c r="C408" s="40"/>
    </row>
    <row r="409">
      <c r="C409" s="40"/>
    </row>
    <row r="410">
      <c r="C410" s="40"/>
    </row>
    <row r="411">
      <c r="C411" s="40"/>
    </row>
    <row r="412">
      <c r="C412" s="40"/>
    </row>
    <row r="413">
      <c r="C413" s="40"/>
    </row>
    <row r="414">
      <c r="C414" s="40"/>
    </row>
    <row r="415">
      <c r="C415" s="40"/>
    </row>
    <row r="416">
      <c r="C416" s="40"/>
    </row>
    <row r="417">
      <c r="C417" s="40"/>
    </row>
    <row r="418">
      <c r="C418" s="40"/>
    </row>
    <row r="419">
      <c r="C419" s="40"/>
    </row>
    <row r="420">
      <c r="C420" s="40"/>
    </row>
    <row r="421">
      <c r="C421" s="40"/>
    </row>
    <row r="422">
      <c r="C422" s="40"/>
    </row>
    <row r="423">
      <c r="C423" s="40"/>
    </row>
    <row r="424">
      <c r="C424" s="40"/>
    </row>
    <row r="425">
      <c r="C425" s="40"/>
    </row>
    <row r="426">
      <c r="C426" s="40"/>
    </row>
    <row r="427">
      <c r="C427" s="40"/>
    </row>
    <row r="428">
      <c r="C428" s="40"/>
    </row>
    <row r="429">
      <c r="C429" s="40"/>
    </row>
    <row r="430">
      <c r="C430" s="40"/>
    </row>
    <row r="431">
      <c r="C431" s="40"/>
    </row>
    <row r="432">
      <c r="C432" s="40"/>
    </row>
    <row r="433">
      <c r="C433" s="40"/>
    </row>
    <row r="434">
      <c r="C434" s="40"/>
    </row>
    <row r="435">
      <c r="C435" s="40"/>
    </row>
    <row r="436">
      <c r="C436" s="40"/>
    </row>
    <row r="437">
      <c r="C437" s="40"/>
    </row>
    <row r="438">
      <c r="C438" s="40"/>
    </row>
    <row r="439">
      <c r="C439" s="40"/>
    </row>
    <row r="440">
      <c r="C440" s="40"/>
    </row>
    <row r="441">
      <c r="C441" s="40"/>
    </row>
    <row r="442">
      <c r="C442" s="40"/>
    </row>
    <row r="443">
      <c r="C443" s="40"/>
    </row>
    <row r="444">
      <c r="C444" s="40"/>
    </row>
    <row r="445">
      <c r="C445" s="40"/>
    </row>
    <row r="446">
      <c r="C446" s="40"/>
    </row>
    <row r="447">
      <c r="C447" s="40"/>
    </row>
    <row r="448">
      <c r="C448" s="40"/>
    </row>
    <row r="449">
      <c r="C449" s="40"/>
    </row>
    <row r="450">
      <c r="C450" s="40"/>
    </row>
    <row r="451">
      <c r="C451" s="40"/>
    </row>
    <row r="452">
      <c r="C452" s="40"/>
    </row>
    <row r="453">
      <c r="C453" s="40"/>
    </row>
    <row r="454">
      <c r="C454" s="40"/>
    </row>
    <row r="455">
      <c r="C455" s="40"/>
    </row>
    <row r="456">
      <c r="C456" s="40"/>
    </row>
    <row r="457">
      <c r="C457" s="40"/>
    </row>
    <row r="458">
      <c r="C458" s="40"/>
    </row>
    <row r="459">
      <c r="C459" s="40"/>
    </row>
    <row r="460">
      <c r="C460" s="40"/>
    </row>
    <row r="461">
      <c r="C461" s="40"/>
    </row>
    <row r="462">
      <c r="C462" s="40"/>
    </row>
    <row r="463">
      <c r="C463" s="40"/>
    </row>
    <row r="464">
      <c r="C464" s="40"/>
    </row>
    <row r="465">
      <c r="C465" s="40"/>
    </row>
    <row r="466">
      <c r="C466" s="40"/>
    </row>
    <row r="467">
      <c r="C467" s="40"/>
    </row>
    <row r="468">
      <c r="C468" s="40"/>
    </row>
    <row r="469">
      <c r="C469" s="40"/>
    </row>
    <row r="470">
      <c r="C470" s="40"/>
    </row>
    <row r="471">
      <c r="C471" s="40"/>
    </row>
    <row r="472">
      <c r="C472" s="40"/>
    </row>
    <row r="473">
      <c r="C473" s="40"/>
    </row>
    <row r="474">
      <c r="C474" s="40"/>
    </row>
    <row r="475">
      <c r="C475" s="40"/>
    </row>
    <row r="476">
      <c r="C476" s="40"/>
    </row>
    <row r="477">
      <c r="C477" s="40"/>
    </row>
    <row r="478">
      <c r="C478" s="40"/>
    </row>
    <row r="479">
      <c r="C479" s="40"/>
    </row>
    <row r="480">
      <c r="C480" s="40"/>
    </row>
    <row r="481">
      <c r="C481" s="40"/>
    </row>
    <row r="482">
      <c r="C482" s="40"/>
    </row>
    <row r="483">
      <c r="C483" s="40"/>
    </row>
    <row r="484">
      <c r="C484" s="40"/>
    </row>
    <row r="485">
      <c r="C485" s="40"/>
    </row>
    <row r="486">
      <c r="C486" s="40"/>
    </row>
    <row r="487">
      <c r="C487" s="40"/>
    </row>
    <row r="488">
      <c r="C488" s="40"/>
    </row>
    <row r="489">
      <c r="C489" s="40"/>
    </row>
    <row r="490">
      <c r="C490" s="40"/>
    </row>
    <row r="491">
      <c r="C491" s="40"/>
    </row>
    <row r="492">
      <c r="C492" s="40"/>
    </row>
    <row r="493">
      <c r="C493" s="40"/>
    </row>
    <row r="494">
      <c r="C494" s="40"/>
    </row>
    <row r="495">
      <c r="C495" s="40"/>
    </row>
    <row r="496">
      <c r="C496" s="40"/>
    </row>
    <row r="497">
      <c r="C497" s="40"/>
    </row>
    <row r="498">
      <c r="C498" s="40"/>
    </row>
    <row r="499">
      <c r="C499" s="40"/>
    </row>
    <row r="500">
      <c r="C500" s="40"/>
    </row>
    <row r="501">
      <c r="C501" s="40"/>
    </row>
    <row r="502">
      <c r="C502" s="40"/>
    </row>
    <row r="503">
      <c r="C503" s="40"/>
    </row>
    <row r="504">
      <c r="C504" s="40"/>
    </row>
    <row r="505">
      <c r="C505" s="40"/>
    </row>
    <row r="506">
      <c r="C506" s="40"/>
    </row>
    <row r="507">
      <c r="C507" s="40"/>
    </row>
    <row r="508">
      <c r="C508" s="40"/>
    </row>
    <row r="509">
      <c r="C509" s="40"/>
    </row>
    <row r="510">
      <c r="C510" s="40"/>
    </row>
    <row r="511">
      <c r="C511" s="40"/>
    </row>
    <row r="512">
      <c r="C512" s="40"/>
    </row>
    <row r="513">
      <c r="C513" s="40"/>
    </row>
    <row r="514">
      <c r="C514" s="40"/>
    </row>
    <row r="515">
      <c r="C515" s="40"/>
    </row>
    <row r="516">
      <c r="C516" s="40"/>
    </row>
    <row r="517">
      <c r="C517" s="40"/>
    </row>
    <row r="518">
      <c r="C518" s="40"/>
    </row>
    <row r="519">
      <c r="C519" s="40"/>
    </row>
    <row r="520">
      <c r="C520" s="40"/>
    </row>
    <row r="521">
      <c r="C521" s="40"/>
    </row>
    <row r="522">
      <c r="C522" s="40"/>
    </row>
    <row r="523">
      <c r="C523" s="40"/>
    </row>
    <row r="524">
      <c r="C524" s="40"/>
    </row>
    <row r="525">
      <c r="C525" s="40"/>
    </row>
    <row r="526">
      <c r="C526" s="40"/>
    </row>
    <row r="527">
      <c r="C527" s="40"/>
    </row>
    <row r="528">
      <c r="C528" s="40"/>
    </row>
    <row r="529">
      <c r="C529" s="40"/>
    </row>
    <row r="530">
      <c r="C530" s="40"/>
    </row>
    <row r="531">
      <c r="C531" s="40"/>
    </row>
    <row r="532">
      <c r="C532" s="40"/>
    </row>
    <row r="533">
      <c r="C533" s="40"/>
    </row>
    <row r="534">
      <c r="C534" s="40"/>
    </row>
    <row r="535">
      <c r="C535" s="40"/>
    </row>
    <row r="536">
      <c r="C536" s="40"/>
    </row>
    <row r="537">
      <c r="C537" s="40"/>
    </row>
    <row r="538">
      <c r="C538" s="40"/>
    </row>
    <row r="539">
      <c r="C539" s="40"/>
    </row>
    <row r="540">
      <c r="C540" s="40"/>
    </row>
    <row r="541">
      <c r="C541" s="40"/>
    </row>
    <row r="542">
      <c r="C542" s="40"/>
    </row>
    <row r="543">
      <c r="C543" s="40"/>
    </row>
    <row r="544">
      <c r="C544" s="40"/>
    </row>
    <row r="545">
      <c r="C545" s="40"/>
    </row>
    <row r="546">
      <c r="C546" s="40"/>
    </row>
    <row r="547">
      <c r="C547" s="40"/>
    </row>
    <row r="548">
      <c r="C548" s="40"/>
    </row>
    <row r="549">
      <c r="C549" s="40"/>
    </row>
    <row r="550">
      <c r="C550" s="40"/>
    </row>
    <row r="551">
      <c r="C551" s="40"/>
    </row>
    <row r="552">
      <c r="C552" s="40"/>
    </row>
    <row r="553">
      <c r="C553" s="40"/>
    </row>
    <row r="554">
      <c r="C554" s="40"/>
    </row>
    <row r="555">
      <c r="C555" s="40"/>
    </row>
    <row r="556">
      <c r="C556" s="40"/>
    </row>
    <row r="557">
      <c r="C557" s="40"/>
    </row>
    <row r="558">
      <c r="C558" s="40"/>
    </row>
    <row r="559">
      <c r="C559" s="40"/>
    </row>
    <row r="560">
      <c r="C560" s="40"/>
    </row>
    <row r="561">
      <c r="C561" s="40"/>
    </row>
    <row r="562">
      <c r="C562" s="40"/>
    </row>
    <row r="563">
      <c r="C563" s="40"/>
    </row>
    <row r="564">
      <c r="C564" s="40"/>
    </row>
    <row r="565">
      <c r="C565" s="40"/>
    </row>
    <row r="566">
      <c r="C566" s="40"/>
    </row>
    <row r="567">
      <c r="C567" s="40"/>
    </row>
    <row r="568">
      <c r="C568" s="40"/>
    </row>
    <row r="569">
      <c r="C569" s="40"/>
    </row>
    <row r="570">
      <c r="C570" s="40"/>
    </row>
    <row r="571">
      <c r="C571" s="40"/>
    </row>
    <row r="572">
      <c r="C572" s="40"/>
    </row>
    <row r="573">
      <c r="C573" s="40"/>
    </row>
    <row r="574">
      <c r="C574" s="40"/>
    </row>
    <row r="575">
      <c r="C575" s="40"/>
    </row>
    <row r="576">
      <c r="C576" s="40"/>
    </row>
    <row r="577">
      <c r="C577" s="40"/>
    </row>
    <row r="578">
      <c r="C578" s="40"/>
    </row>
    <row r="579">
      <c r="C579" s="40"/>
    </row>
    <row r="580">
      <c r="C580" s="40"/>
    </row>
    <row r="581">
      <c r="C581" s="40"/>
    </row>
    <row r="582">
      <c r="C582" s="40"/>
    </row>
    <row r="583">
      <c r="C583" s="40"/>
    </row>
    <row r="584">
      <c r="C584" s="40"/>
    </row>
    <row r="585">
      <c r="C585" s="40"/>
    </row>
    <row r="586">
      <c r="C586" s="40"/>
    </row>
    <row r="587">
      <c r="C587" s="40"/>
    </row>
    <row r="588">
      <c r="C588" s="40"/>
    </row>
    <row r="589">
      <c r="C589" s="40"/>
    </row>
    <row r="590">
      <c r="C590" s="40"/>
    </row>
    <row r="591">
      <c r="C591" s="40"/>
    </row>
    <row r="592">
      <c r="C592" s="40"/>
    </row>
    <row r="593">
      <c r="C593" s="40"/>
    </row>
    <row r="594">
      <c r="C594" s="40"/>
    </row>
    <row r="595">
      <c r="C595" s="40"/>
    </row>
    <row r="596">
      <c r="C596" s="40"/>
    </row>
    <row r="597">
      <c r="C597" s="40"/>
    </row>
    <row r="598">
      <c r="C598" s="40"/>
    </row>
    <row r="599">
      <c r="C599" s="40"/>
    </row>
    <row r="600">
      <c r="C600" s="40"/>
    </row>
    <row r="601">
      <c r="C601" s="40"/>
    </row>
    <row r="602">
      <c r="C602" s="40"/>
    </row>
    <row r="603">
      <c r="C603" s="40"/>
    </row>
    <row r="604">
      <c r="C604" s="40"/>
    </row>
    <row r="605">
      <c r="C605" s="40"/>
    </row>
    <row r="606">
      <c r="C606" s="40"/>
    </row>
    <row r="607">
      <c r="C607" s="40"/>
    </row>
    <row r="608">
      <c r="C608" s="40"/>
    </row>
    <row r="609">
      <c r="C609" s="40"/>
    </row>
    <row r="610">
      <c r="C610" s="40"/>
    </row>
    <row r="611">
      <c r="C611" s="40"/>
    </row>
    <row r="612">
      <c r="C612" s="40"/>
    </row>
    <row r="613">
      <c r="C613" s="40"/>
    </row>
    <row r="614">
      <c r="C614" s="40"/>
    </row>
    <row r="615">
      <c r="C615" s="40"/>
    </row>
    <row r="616">
      <c r="C616" s="40"/>
    </row>
    <row r="617">
      <c r="C617" s="40"/>
    </row>
    <row r="618">
      <c r="C618" s="40"/>
    </row>
    <row r="619">
      <c r="C619" s="40"/>
    </row>
    <row r="620">
      <c r="C620" s="40"/>
    </row>
    <row r="621">
      <c r="C621" s="40"/>
    </row>
    <row r="622">
      <c r="C622" s="40"/>
    </row>
    <row r="623">
      <c r="C623" s="40"/>
    </row>
    <row r="624">
      <c r="C624" s="40"/>
    </row>
    <row r="625">
      <c r="C625" s="40"/>
    </row>
    <row r="626">
      <c r="C626" s="40"/>
    </row>
    <row r="627">
      <c r="C627" s="40"/>
    </row>
    <row r="628">
      <c r="C628" s="40"/>
    </row>
    <row r="629">
      <c r="C629" s="40"/>
    </row>
    <row r="630">
      <c r="C630" s="40"/>
    </row>
    <row r="631">
      <c r="C631" s="40"/>
    </row>
    <row r="632">
      <c r="C632" s="40"/>
    </row>
    <row r="633">
      <c r="C633" s="40"/>
    </row>
    <row r="634">
      <c r="C634" s="40"/>
    </row>
    <row r="635">
      <c r="C635" s="40"/>
    </row>
    <row r="636">
      <c r="C636" s="40"/>
    </row>
    <row r="637">
      <c r="C637" s="40"/>
    </row>
    <row r="638">
      <c r="C638" s="40"/>
    </row>
    <row r="639">
      <c r="C639" s="40"/>
    </row>
    <row r="640">
      <c r="C640" s="40"/>
    </row>
    <row r="641">
      <c r="C641" s="40"/>
    </row>
    <row r="642">
      <c r="C642" s="40"/>
    </row>
    <row r="643">
      <c r="C643" s="40"/>
    </row>
    <row r="644">
      <c r="C644" s="40"/>
    </row>
    <row r="645">
      <c r="C645" s="40"/>
    </row>
    <row r="646">
      <c r="C646" s="40"/>
    </row>
    <row r="647">
      <c r="C647" s="40"/>
    </row>
    <row r="648">
      <c r="C648" s="40"/>
    </row>
    <row r="649">
      <c r="C649" s="40"/>
    </row>
    <row r="650">
      <c r="C650" s="40"/>
    </row>
    <row r="651">
      <c r="C651" s="40"/>
    </row>
    <row r="652">
      <c r="C652" s="40"/>
    </row>
    <row r="653">
      <c r="C653" s="40"/>
    </row>
    <row r="654">
      <c r="C654" s="40"/>
    </row>
    <row r="655">
      <c r="C655" s="40"/>
    </row>
    <row r="656">
      <c r="C656" s="40"/>
    </row>
    <row r="657">
      <c r="C657" s="40"/>
    </row>
    <row r="658">
      <c r="C658" s="40"/>
    </row>
    <row r="659">
      <c r="C659" s="40"/>
    </row>
    <row r="660">
      <c r="C660" s="40"/>
    </row>
    <row r="661">
      <c r="C661" s="40"/>
    </row>
    <row r="662">
      <c r="C662" s="40"/>
    </row>
    <row r="663">
      <c r="C663" s="40"/>
    </row>
    <row r="664">
      <c r="C664" s="40"/>
    </row>
    <row r="665">
      <c r="C665" s="40"/>
    </row>
    <row r="666">
      <c r="C666" s="40"/>
    </row>
    <row r="667">
      <c r="C667" s="40"/>
    </row>
    <row r="668">
      <c r="C668" s="40"/>
    </row>
    <row r="669">
      <c r="C669" s="40"/>
    </row>
    <row r="670">
      <c r="C670" s="40"/>
    </row>
    <row r="671">
      <c r="C671" s="40"/>
    </row>
    <row r="672">
      <c r="C672" s="40"/>
    </row>
    <row r="673">
      <c r="C673" s="40"/>
    </row>
    <row r="674">
      <c r="C674" s="40"/>
    </row>
    <row r="675">
      <c r="C675" s="40"/>
    </row>
    <row r="676">
      <c r="C676" s="40"/>
    </row>
    <row r="677">
      <c r="C677" s="40"/>
    </row>
    <row r="678">
      <c r="C678" s="40"/>
    </row>
    <row r="679">
      <c r="C679" s="40"/>
    </row>
    <row r="680">
      <c r="C680" s="40"/>
    </row>
    <row r="681">
      <c r="C681" s="40"/>
    </row>
    <row r="682">
      <c r="C682" s="40"/>
    </row>
    <row r="683">
      <c r="C683" s="40"/>
    </row>
    <row r="684">
      <c r="C684" s="40"/>
    </row>
    <row r="685">
      <c r="C685" s="40"/>
    </row>
    <row r="686">
      <c r="C686" s="40"/>
    </row>
    <row r="687">
      <c r="C687" s="40"/>
    </row>
    <row r="688">
      <c r="C688" s="40"/>
    </row>
    <row r="689">
      <c r="C689" s="40"/>
    </row>
    <row r="690">
      <c r="C690" s="40"/>
    </row>
    <row r="691">
      <c r="C691" s="40"/>
    </row>
    <row r="692">
      <c r="C692" s="40"/>
    </row>
    <row r="693">
      <c r="C693" s="40"/>
    </row>
    <row r="694">
      <c r="C694" s="40"/>
    </row>
    <row r="695">
      <c r="C695" s="40"/>
    </row>
    <row r="696">
      <c r="C696" s="40"/>
    </row>
    <row r="697">
      <c r="C697" s="40"/>
    </row>
    <row r="698">
      <c r="C698" s="40"/>
    </row>
    <row r="699">
      <c r="C699" s="40"/>
    </row>
    <row r="700">
      <c r="C700" s="40"/>
    </row>
    <row r="701">
      <c r="C701" s="40"/>
    </row>
    <row r="702">
      <c r="C702" s="40"/>
    </row>
    <row r="703">
      <c r="C703" s="40"/>
    </row>
    <row r="704">
      <c r="C704" s="40"/>
    </row>
    <row r="705">
      <c r="C705" s="40"/>
    </row>
    <row r="706">
      <c r="C706" s="40"/>
    </row>
    <row r="707">
      <c r="C707" s="40"/>
    </row>
    <row r="708">
      <c r="C708" s="40"/>
    </row>
    <row r="709">
      <c r="C709" s="40"/>
    </row>
    <row r="710">
      <c r="C710" s="40"/>
    </row>
    <row r="711">
      <c r="C711" s="40"/>
    </row>
    <row r="712">
      <c r="C712" s="40"/>
    </row>
    <row r="713">
      <c r="C713" s="40"/>
    </row>
    <row r="714">
      <c r="C714" s="40"/>
    </row>
    <row r="715">
      <c r="C715" s="40"/>
    </row>
    <row r="716">
      <c r="C716" s="40"/>
    </row>
    <row r="717">
      <c r="C717" s="40"/>
    </row>
    <row r="718">
      <c r="C718" s="40"/>
    </row>
    <row r="719">
      <c r="C719" s="40"/>
    </row>
    <row r="720">
      <c r="C720" s="40"/>
    </row>
    <row r="721">
      <c r="C721" s="40"/>
    </row>
    <row r="722">
      <c r="C722" s="40"/>
    </row>
    <row r="723">
      <c r="C723" s="40"/>
    </row>
    <row r="724">
      <c r="C724" s="40"/>
    </row>
    <row r="725">
      <c r="C725" s="40"/>
    </row>
    <row r="726">
      <c r="C726" s="40"/>
    </row>
    <row r="727">
      <c r="C727" s="40"/>
    </row>
    <row r="728">
      <c r="C728" s="40"/>
    </row>
    <row r="729">
      <c r="C729" s="40"/>
    </row>
    <row r="730">
      <c r="C730" s="40"/>
    </row>
    <row r="731">
      <c r="C731" s="40"/>
    </row>
    <row r="732">
      <c r="C732" s="40"/>
    </row>
    <row r="733">
      <c r="C733" s="40"/>
    </row>
    <row r="734">
      <c r="C734" s="40"/>
    </row>
    <row r="735">
      <c r="C735" s="40"/>
    </row>
    <row r="736">
      <c r="C736" s="40"/>
    </row>
    <row r="737">
      <c r="C737" s="40"/>
    </row>
    <row r="738">
      <c r="C738" s="40"/>
    </row>
    <row r="739">
      <c r="C739" s="40"/>
    </row>
    <row r="740">
      <c r="C740" s="40"/>
    </row>
    <row r="741">
      <c r="C741" s="40"/>
    </row>
    <row r="742">
      <c r="C742" s="40"/>
    </row>
    <row r="743">
      <c r="C743" s="40"/>
    </row>
    <row r="744">
      <c r="C744" s="40"/>
    </row>
    <row r="745">
      <c r="C745" s="40"/>
    </row>
    <row r="746">
      <c r="C746" s="40"/>
    </row>
    <row r="747">
      <c r="C747" s="40"/>
    </row>
    <row r="748">
      <c r="C748" s="40"/>
    </row>
    <row r="749">
      <c r="C749" s="40"/>
    </row>
    <row r="750">
      <c r="C750" s="40"/>
    </row>
    <row r="751">
      <c r="C751" s="40"/>
    </row>
    <row r="752">
      <c r="C752" s="40"/>
    </row>
    <row r="753">
      <c r="C753" s="40"/>
    </row>
    <row r="754">
      <c r="C754" s="40"/>
    </row>
    <row r="755">
      <c r="C755" s="40"/>
    </row>
    <row r="756">
      <c r="C756" s="40"/>
    </row>
    <row r="757">
      <c r="C757" s="40"/>
    </row>
    <row r="758">
      <c r="C758" s="40"/>
    </row>
    <row r="759">
      <c r="C759" s="40"/>
    </row>
    <row r="760">
      <c r="C760" s="40"/>
    </row>
    <row r="761">
      <c r="C761" s="40"/>
    </row>
    <row r="762">
      <c r="C762" s="40"/>
    </row>
    <row r="763">
      <c r="C763" s="40"/>
    </row>
    <row r="764">
      <c r="C764" s="40"/>
    </row>
    <row r="765">
      <c r="C765" s="40"/>
    </row>
    <row r="766">
      <c r="C766" s="40"/>
    </row>
    <row r="767">
      <c r="C767" s="40"/>
    </row>
    <row r="768">
      <c r="C768" s="40"/>
    </row>
    <row r="769">
      <c r="C769" s="40"/>
    </row>
    <row r="770">
      <c r="C770" s="40"/>
    </row>
    <row r="771">
      <c r="C771" s="40"/>
    </row>
    <row r="772">
      <c r="C772" s="40"/>
    </row>
    <row r="773">
      <c r="C773" s="40"/>
    </row>
    <row r="774">
      <c r="C774" s="40"/>
    </row>
    <row r="775">
      <c r="C775" s="40"/>
    </row>
    <row r="776">
      <c r="C776" s="40"/>
    </row>
    <row r="777">
      <c r="C777" s="40"/>
    </row>
    <row r="778">
      <c r="C778" s="40"/>
    </row>
    <row r="779">
      <c r="C779" s="40"/>
    </row>
    <row r="780">
      <c r="C780" s="40"/>
    </row>
    <row r="781">
      <c r="C781" s="40"/>
    </row>
    <row r="782">
      <c r="C782" s="40"/>
    </row>
    <row r="783">
      <c r="C783" s="40"/>
    </row>
    <row r="784">
      <c r="C784" s="40"/>
    </row>
    <row r="785">
      <c r="C785" s="40"/>
    </row>
    <row r="786">
      <c r="C786" s="40"/>
    </row>
    <row r="787">
      <c r="C787" s="40"/>
    </row>
    <row r="788">
      <c r="C788" s="40"/>
    </row>
    <row r="789">
      <c r="C789" s="40"/>
    </row>
    <row r="790">
      <c r="C790" s="40"/>
    </row>
    <row r="791">
      <c r="C791" s="40"/>
    </row>
    <row r="792">
      <c r="C792" s="40"/>
    </row>
    <row r="793">
      <c r="C793" s="40"/>
    </row>
    <row r="794">
      <c r="C794" s="40"/>
    </row>
    <row r="795">
      <c r="C795" s="40"/>
    </row>
    <row r="796">
      <c r="C796" s="40"/>
    </row>
    <row r="797">
      <c r="C797" s="40"/>
    </row>
    <row r="798">
      <c r="C798" s="40"/>
    </row>
    <row r="799">
      <c r="C799" s="40"/>
    </row>
    <row r="800">
      <c r="C800" s="40"/>
    </row>
    <row r="801">
      <c r="C801" s="40"/>
    </row>
    <row r="802">
      <c r="C802" s="40"/>
    </row>
    <row r="803">
      <c r="C803" s="40"/>
    </row>
    <row r="804">
      <c r="C804" s="40"/>
    </row>
    <row r="805">
      <c r="C805" s="40"/>
    </row>
    <row r="806">
      <c r="C806" s="40"/>
    </row>
    <row r="807">
      <c r="C807" s="40"/>
    </row>
    <row r="808">
      <c r="C808" s="40"/>
    </row>
    <row r="809">
      <c r="C809" s="40"/>
    </row>
    <row r="810">
      <c r="C810" s="40"/>
    </row>
    <row r="811">
      <c r="C811" s="40"/>
    </row>
    <row r="812">
      <c r="C812" s="40"/>
    </row>
    <row r="813">
      <c r="C813" s="40"/>
    </row>
    <row r="814">
      <c r="C814" s="40"/>
    </row>
    <row r="815">
      <c r="C815" s="40"/>
    </row>
    <row r="816">
      <c r="C816" s="40"/>
    </row>
    <row r="817">
      <c r="C817" s="40"/>
    </row>
    <row r="818">
      <c r="C818" s="40"/>
    </row>
    <row r="819">
      <c r="C819" s="40"/>
    </row>
    <row r="820">
      <c r="C820" s="40"/>
    </row>
    <row r="821">
      <c r="C821" s="40"/>
    </row>
    <row r="822">
      <c r="C822" s="40"/>
    </row>
    <row r="823">
      <c r="C823" s="40"/>
    </row>
    <row r="824">
      <c r="C824" s="40"/>
    </row>
    <row r="825">
      <c r="C825" s="40"/>
    </row>
    <row r="826">
      <c r="C826" s="40"/>
    </row>
    <row r="827">
      <c r="C827" s="40"/>
    </row>
    <row r="828">
      <c r="C828" s="40"/>
    </row>
    <row r="829">
      <c r="C829" s="40"/>
    </row>
    <row r="830">
      <c r="C830" s="40"/>
    </row>
    <row r="831">
      <c r="C831" s="40"/>
    </row>
    <row r="832">
      <c r="C832" s="40"/>
    </row>
    <row r="833">
      <c r="C833" s="40"/>
    </row>
    <row r="834">
      <c r="C834" s="40"/>
    </row>
    <row r="835">
      <c r="C835" s="40"/>
    </row>
    <row r="836">
      <c r="C836" s="40"/>
    </row>
    <row r="837">
      <c r="C837" s="40"/>
    </row>
    <row r="838">
      <c r="C838" s="40"/>
    </row>
    <row r="839">
      <c r="C839" s="40"/>
    </row>
    <row r="840">
      <c r="C840" s="40"/>
    </row>
    <row r="841">
      <c r="C841" s="40"/>
    </row>
    <row r="842">
      <c r="C842" s="40"/>
    </row>
    <row r="843">
      <c r="C843" s="40"/>
    </row>
    <row r="844">
      <c r="C844" s="40"/>
    </row>
    <row r="845">
      <c r="C845" s="40"/>
    </row>
    <row r="846">
      <c r="C846" s="40"/>
    </row>
    <row r="847">
      <c r="C847" s="40"/>
    </row>
    <row r="848">
      <c r="C848" s="40"/>
    </row>
    <row r="849">
      <c r="C849" s="40"/>
    </row>
    <row r="850">
      <c r="C850" s="40"/>
    </row>
    <row r="851">
      <c r="C851" s="40"/>
    </row>
    <row r="852">
      <c r="C852" s="40"/>
    </row>
    <row r="853">
      <c r="C853" s="40"/>
    </row>
    <row r="854">
      <c r="C854" s="40"/>
    </row>
    <row r="855">
      <c r="C855" s="40"/>
    </row>
    <row r="856">
      <c r="C856" s="40"/>
    </row>
    <row r="857">
      <c r="C857" s="40"/>
    </row>
    <row r="858">
      <c r="C858" s="40"/>
    </row>
    <row r="859">
      <c r="C859" s="40"/>
    </row>
    <row r="860">
      <c r="C860" s="40"/>
    </row>
    <row r="861">
      <c r="C861" s="40"/>
    </row>
    <row r="862">
      <c r="C862" s="40"/>
    </row>
    <row r="863">
      <c r="C863" s="40"/>
    </row>
    <row r="864">
      <c r="C864" s="40"/>
    </row>
    <row r="865">
      <c r="C865" s="40"/>
    </row>
    <row r="866">
      <c r="C866" s="40"/>
    </row>
    <row r="867">
      <c r="C867" s="40"/>
    </row>
    <row r="868">
      <c r="C868" s="40"/>
    </row>
    <row r="869">
      <c r="C869" s="40"/>
    </row>
    <row r="870">
      <c r="C870" s="40"/>
    </row>
    <row r="871">
      <c r="C871" s="40"/>
    </row>
    <row r="872">
      <c r="C872" s="40"/>
    </row>
    <row r="873">
      <c r="C873" s="40"/>
    </row>
    <row r="874">
      <c r="C874" s="40"/>
    </row>
    <row r="875">
      <c r="C875" s="40"/>
    </row>
    <row r="876">
      <c r="C876" s="40"/>
    </row>
    <row r="877">
      <c r="C877" s="40"/>
    </row>
    <row r="878">
      <c r="C878" s="40"/>
    </row>
    <row r="879">
      <c r="C879" s="40"/>
    </row>
    <row r="880">
      <c r="C880" s="40"/>
    </row>
    <row r="881">
      <c r="C881" s="40"/>
    </row>
    <row r="882">
      <c r="C882" s="40"/>
    </row>
    <row r="883">
      <c r="C883" s="40"/>
    </row>
    <row r="884">
      <c r="C884" s="40"/>
    </row>
    <row r="885">
      <c r="C885" s="40"/>
    </row>
    <row r="886">
      <c r="C886" s="40"/>
    </row>
    <row r="887">
      <c r="C887" s="40"/>
    </row>
    <row r="888">
      <c r="C888" s="40"/>
    </row>
    <row r="889">
      <c r="C889" s="40"/>
    </row>
    <row r="890">
      <c r="C890" s="40"/>
    </row>
    <row r="891">
      <c r="C891" s="40"/>
    </row>
    <row r="892">
      <c r="C892" s="40"/>
    </row>
    <row r="893">
      <c r="C893" s="40"/>
    </row>
    <row r="894">
      <c r="C894" s="40"/>
    </row>
    <row r="895">
      <c r="C895" s="40"/>
    </row>
    <row r="896">
      <c r="C896" s="40"/>
    </row>
    <row r="897">
      <c r="C897" s="40"/>
    </row>
    <row r="898">
      <c r="C898" s="40"/>
    </row>
    <row r="899">
      <c r="C899" s="40"/>
    </row>
    <row r="900">
      <c r="C900" s="40"/>
    </row>
    <row r="901">
      <c r="C901" s="40"/>
    </row>
    <row r="902">
      <c r="C902" s="40"/>
    </row>
    <row r="903">
      <c r="C903" s="40"/>
    </row>
    <row r="904">
      <c r="C904" s="40"/>
    </row>
    <row r="905">
      <c r="C905" s="40"/>
    </row>
    <row r="906">
      <c r="C906" s="40"/>
    </row>
    <row r="907">
      <c r="C907" s="40"/>
    </row>
    <row r="908">
      <c r="C908" s="40"/>
    </row>
    <row r="909">
      <c r="C909" s="40"/>
    </row>
    <row r="910">
      <c r="C910" s="40"/>
    </row>
    <row r="911">
      <c r="C911" s="40"/>
    </row>
    <row r="912">
      <c r="C912" s="40"/>
    </row>
    <row r="913">
      <c r="C913" s="40"/>
    </row>
    <row r="914">
      <c r="C914" s="40"/>
    </row>
    <row r="915">
      <c r="C915" s="40"/>
    </row>
    <row r="916">
      <c r="C916" s="40"/>
    </row>
    <row r="917">
      <c r="C917" s="40"/>
    </row>
    <row r="918">
      <c r="C918" s="40"/>
    </row>
    <row r="919">
      <c r="C919" s="40"/>
    </row>
    <row r="920">
      <c r="C920" s="40"/>
    </row>
    <row r="921">
      <c r="C921" s="40"/>
    </row>
    <row r="922">
      <c r="C922" s="40"/>
    </row>
    <row r="923">
      <c r="C923" s="40"/>
    </row>
    <row r="924">
      <c r="C924" s="40"/>
    </row>
    <row r="925">
      <c r="C925" s="40"/>
    </row>
    <row r="926">
      <c r="C926" s="40"/>
    </row>
    <row r="927">
      <c r="C927" s="40"/>
    </row>
    <row r="928">
      <c r="C928" s="40"/>
    </row>
    <row r="929">
      <c r="C929" s="40"/>
    </row>
    <row r="930">
      <c r="C930" s="40"/>
    </row>
    <row r="931">
      <c r="C931" s="40"/>
    </row>
    <row r="932">
      <c r="C932" s="40"/>
    </row>
    <row r="933">
      <c r="C933" s="40"/>
    </row>
    <row r="934">
      <c r="C934" s="40"/>
    </row>
    <row r="935">
      <c r="C935" s="40"/>
    </row>
    <row r="936">
      <c r="C936" s="40"/>
    </row>
    <row r="937">
      <c r="C937" s="40"/>
    </row>
    <row r="938">
      <c r="C938" s="40"/>
    </row>
    <row r="939">
      <c r="C939" s="40"/>
    </row>
    <row r="940">
      <c r="C940" s="40"/>
    </row>
    <row r="941">
      <c r="C941" s="40"/>
    </row>
    <row r="942">
      <c r="C942" s="40"/>
    </row>
    <row r="943">
      <c r="C943" s="40"/>
    </row>
    <row r="944">
      <c r="C944" s="40"/>
    </row>
    <row r="945">
      <c r="C945" s="40"/>
    </row>
    <row r="946">
      <c r="C946" s="40"/>
    </row>
    <row r="947">
      <c r="C947" s="40"/>
    </row>
    <row r="948">
      <c r="C948" s="40"/>
    </row>
    <row r="949">
      <c r="C949" s="40"/>
    </row>
    <row r="950">
      <c r="C950" s="40"/>
    </row>
    <row r="951">
      <c r="C951" s="40"/>
    </row>
    <row r="952">
      <c r="C952" s="40"/>
    </row>
    <row r="953">
      <c r="C953" s="40"/>
    </row>
    <row r="954">
      <c r="C954" s="40"/>
    </row>
    <row r="955">
      <c r="C955" s="40"/>
    </row>
    <row r="956">
      <c r="C956" s="40"/>
    </row>
    <row r="957">
      <c r="C957" s="40"/>
    </row>
    <row r="958">
      <c r="C958" s="40"/>
    </row>
    <row r="959">
      <c r="C959" s="40"/>
    </row>
    <row r="960">
      <c r="C960" s="40"/>
    </row>
    <row r="961">
      <c r="C961" s="40"/>
    </row>
    <row r="962">
      <c r="C962" s="40"/>
    </row>
    <row r="963">
      <c r="C963" s="40"/>
    </row>
    <row r="964">
      <c r="C964" s="40"/>
    </row>
    <row r="965">
      <c r="C965" s="40"/>
    </row>
    <row r="966">
      <c r="C966" s="40"/>
    </row>
    <row r="967">
      <c r="C967" s="40"/>
    </row>
    <row r="968">
      <c r="C968" s="40"/>
    </row>
    <row r="969">
      <c r="C969" s="40"/>
    </row>
    <row r="970">
      <c r="C970" s="40"/>
    </row>
    <row r="971">
      <c r="C971" s="40"/>
    </row>
    <row r="972">
      <c r="C972" s="40"/>
    </row>
    <row r="973">
      <c r="C973" s="40"/>
    </row>
    <row r="974">
      <c r="C974" s="40"/>
    </row>
    <row r="975">
      <c r="C975" s="40"/>
    </row>
    <row r="976">
      <c r="C976" s="40"/>
    </row>
    <row r="977">
      <c r="C977" s="40"/>
    </row>
    <row r="978">
      <c r="C978" s="40"/>
    </row>
    <row r="979">
      <c r="C979" s="40"/>
    </row>
    <row r="980">
      <c r="C980" s="40"/>
    </row>
    <row r="981">
      <c r="C981" s="40"/>
    </row>
    <row r="982">
      <c r="C982" s="40"/>
    </row>
    <row r="983">
      <c r="C983" s="40"/>
    </row>
    <row r="984">
      <c r="C984" s="40"/>
    </row>
    <row r="985">
      <c r="C985" s="40"/>
    </row>
    <row r="986">
      <c r="C986" s="40"/>
    </row>
    <row r="987">
      <c r="C987" s="40"/>
    </row>
    <row r="988">
      <c r="C988" s="40"/>
    </row>
    <row r="989">
      <c r="C989" s="40"/>
    </row>
    <row r="990">
      <c r="C990" s="40"/>
    </row>
    <row r="991">
      <c r="C991" s="40"/>
    </row>
    <row r="992">
      <c r="C992" s="40"/>
    </row>
  </sheetData>
  <dataValidations>
    <dataValidation type="list" allowBlank="1" showErrorMessage="1" sqref="L2:L41">
      <formula1>"1,2,3,4,5"</formula1>
    </dataValidation>
  </dataValidations>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B1" s="41" t="s">
        <v>303</v>
      </c>
      <c r="N1" s="41" t="s">
        <v>304</v>
      </c>
    </row>
    <row r="2">
      <c r="B2" s="42" t="s">
        <v>305</v>
      </c>
      <c r="C2" s="43">
        <f t="shared" ref="C2:L2" si="1">sum(C4:C999)</f>
        <v>3</v>
      </c>
      <c r="D2" s="43">
        <f t="shared" si="1"/>
        <v>28</v>
      </c>
      <c r="E2" s="43">
        <f t="shared" si="1"/>
        <v>34</v>
      </c>
      <c r="F2" s="43">
        <f t="shared" si="1"/>
        <v>0</v>
      </c>
      <c r="G2" s="43">
        <f t="shared" si="1"/>
        <v>0</v>
      </c>
      <c r="H2" s="43">
        <f t="shared" si="1"/>
        <v>0</v>
      </c>
      <c r="I2" s="43">
        <f t="shared" si="1"/>
        <v>0</v>
      </c>
      <c r="J2" s="43">
        <f t="shared" si="1"/>
        <v>0</v>
      </c>
      <c r="K2" s="43">
        <f t="shared" si="1"/>
        <v>0</v>
      </c>
      <c r="L2" s="43">
        <f t="shared" si="1"/>
        <v>65</v>
      </c>
      <c r="N2" s="42" t="s">
        <v>305</v>
      </c>
      <c r="O2" s="43">
        <f t="shared" ref="O2:X2" si="2">sum(O4:O999)</f>
        <v>0</v>
      </c>
      <c r="P2" s="43">
        <f t="shared" si="2"/>
        <v>0</v>
      </c>
      <c r="Q2" s="43">
        <f t="shared" si="2"/>
        <v>3</v>
      </c>
      <c r="R2" s="43">
        <f t="shared" si="2"/>
        <v>0</v>
      </c>
      <c r="S2" s="43">
        <f t="shared" si="2"/>
        <v>0</v>
      </c>
      <c r="T2" s="43">
        <f t="shared" si="2"/>
        <v>0</v>
      </c>
      <c r="U2" s="43">
        <f t="shared" si="2"/>
        <v>0</v>
      </c>
      <c r="V2" s="43">
        <f t="shared" si="2"/>
        <v>0</v>
      </c>
      <c r="W2" s="43">
        <f t="shared" si="2"/>
        <v>0</v>
      </c>
      <c r="X2" s="43">
        <f t="shared" si="2"/>
        <v>3</v>
      </c>
      <c r="Y2" s="43"/>
      <c r="Z2" s="43"/>
      <c r="AA2" s="43"/>
      <c r="AB2" s="43"/>
    </row>
    <row r="3">
      <c r="B3" s="44" t="s">
        <v>306</v>
      </c>
      <c r="C3" s="45">
        <v>46159.0</v>
      </c>
      <c r="D3" s="46">
        <f t="shared" ref="D3:K3" si="3">C3+1</f>
        <v>46160</v>
      </c>
      <c r="E3" s="46">
        <f t="shared" si="3"/>
        <v>46161</v>
      </c>
      <c r="F3" s="46">
        <f t="shared" si="3"/>
        <v>46162</v>
      </c>
      <c r="G3" s="46">
        <f t="shared" si="3"/>
        <v>46163</v>
      </c>
      <c r="H3" s="46">
        <f t="shared" si="3"/>
        <v>46164</v>
      </c>
      <c r="I3" s="46">
        <f t="shared" si="3"/>
        <v>46165</v>
      </c>
      <c r="J3" s="46">
        <f t="shared" si="3"/>
        <v>46166</v>
      </c>
      <c r="K3" s="46">
        <f t="shared" si="3"/>
        <v>46167</v>
      </c>
      <c r="L3" s="47" t="s">
        <v>305</v>
      </c>
      <c r="N3" s="44" t="s">
        <v>306</v>
      </c>
      <c r="O3" s="45">
        <v>46159.0</v>
      </c>
      <c r="P3" s="46">
        <f t="shared" ref="P3:W3" si="4">O3+1</f>
        <v>46160</v>
      </c>
      <c r="Q3" s="46">
        <f t="shared" si="4"/>
        <v>46161</v>
      </c>
      <c r="R3" s="46">
        <f t="shared" si="4"/>
        <v>46162</v>
      </c>
      <c r="S3" s="46">
        <f t="shared" si="4"/>
        <v>46163</v>
      </c>
      <c r="T3" s="46">
        <f t="shared" si="4"/>
        <v>46164</v>
      </c>
      <c r="U3" s="46">
        <f t="shared" si="4"/>
        <v>46165</v>
      </c>
      <c r="V3" s="46">
        <f t="shared" si="4"/>
        <v>46166</v>
      </c>
      <c r="W3" s="46">
        <f t="shared" si="4"/>
        <v>46167</v>
      </c>
      <c r="X3" s="47" t="s">
        <v>305</v>
      </c>
      <c r="Y3" s="48"/>
      <c r="Z3" s="48"/>
      <c r="AA3" s="48"/>
      <c r="AB3" s="48"/>
    </row>
    <row r="4">
      <c r="B4" s="29" t="str">
        <f>IFERROR(__xludf.DUMMYFUNCTION("SORT(UNIQUE(FILTER('Claim Sheet'!C2:C999, 'Claim Sheet'!C2:C999&lt;&gt;"""")))"),"Antonio V")</f>
        <v>Antonio V</v>
      </c>
      <c r="C4" s="24">
        <f>IFERROR(__xludf.DUMMYFUNCTION("COUNTUNIQUEIFS('Claim Sheet'!$A:$A,'Claim Sheet'!$C:$C,$B4,'Claim Sheet'!$M:$M,TRUE,'Claim Sheet'!$K:$K,C$3)"),0.0)</f>
        <v>0</v>
      </c>
      <c r="D4" s="24">
        <f>IFERROR(__xludf.DUMMYFUNCTION("COUNTUNIQUEIFS('Claim Sheet'!$A:$A,'Claim Sheet'!$C:$C,$B4,'Claim Sheet'!$M:$M,TRUE,'Claim Sheet'!$K:$K,D$3)"),3.0)</f>
        <v>3</v>
      </c>
      <c r="E4" s="24">
        <f>IFERROR(__xludf.DUMMYFUNCTION("COUNTUNIQUEIFS('Claim Sheet'!$A:$A,'Claim Sheet'!$C:$C,$B4,'Claim Sheet'!$M:$M,TRUE,'Claim Sheet'!$K:$K,E$3)"),2.0)</f>
        <v>2</v>
      </c>
      <c r="F4" s="24">
        <f>IFERROR(__xludf.DUMMYFUNCTION("COUNTUNIQUEIFS('Claim Sheet'!$A:$A,'Claim Sheet'!$C:$C,$B4,'Claim Sheet'!$M:$M,TRUE,'Claim Sheet'!$K:$K,F$3)"),0.0)</f>
        <v>0</v>
      </c>
      <c r="G4" s="24">
        <f>IFERROR(__xludf.DUMMYFUNCTION("COUNTUNIQUEIFS('Claim Sheet'!$A:$A,'Claim Sheet'!$C:$C,$B4,'Claim Sheet'!$M:$M,TRUE,'Claim Sheet'!$K:$K,G$3)"),0.0)</f>
        <v>0</v>
      </c>
      <c r="H4" s="24">
        <f>IFERROR(__xludf.DUMMYFUNCTION("COUNTUNIQUEIFS('Claim Sheet'!$A:$A,'Claim Sheet'!$C:$C,$B4,'Claim Sheet'!$M:$M,TRUE,'Claim Sheet'!$K:$K,H$3)"),0.0)</f>
        <v>0</v>
      </c>
      <c r="I4" s="24">
        <f>IFERROR(__xludf.DUMMYFUNCTION("COUNTUNIQUEIFS('Claim Sheet'!$A:$A,'Claim Sheet'!$C:$C,$B4,'Claim Sheet'!$M:$M,TRUE,'Claim Sheet'!$K:$K,I$3)"),0.0)</f>
        <v>0</v>
      </c>
      <c r="J4" s="24">
        <f>IFERROR(__xludf.DUMMYFUNCTION("COUNTUNIQUEIFS('Claim Sheet'!$A:$A,'Claim Sheet'!$C:$C,$B4,'Claim Sheet'!$M:$M,TRUE,'Claim Sheet'!$K:$K,J$3)"),0.0)</f>
        <v>0</v>
      </c>
      <c r="K4" s="24">
        <f>IFERROR(__xludf.DUMMYFUNCTION("COUNTUNIQUEIFS('Claim Sheet'!$A:$A,'Claim Sheet'!$C:$C,$B4,'Claim Sheet'!$M:$M,TRUE,'Claim Sheet'!$K:$K,K$3)"),0.0)</f>
        <v>0</v>
      </c>
      <c r="L4" s="24">
        <f t="shared" ref="L4:L17" si="5">sum(C4:J4)</f>
        <v>5</v>
      </c>
      <c r="N4" s="29" t="str">
        <f>IFERROR(__xludf.DUMMYFUNCTION("SORT(UNIQUE(FILTER('New Onboards'!C2:C999, 'New Onboards'!C2:C999&lt;&gt;"""")))"),"Callan F")</f>
        <v>Callan F</v>
      </c>
      <c r="O4" s="24">
        <f>IFERROR(__xludf.DUMMYFUNCTION("COUNTUNIQUEIFS('New Onboards'!$A:$A,'New Onboards'!$C:$C,$N4,'New Onboards'!$J:$J,TRUE,'New Onboards'!$I:$I,O$3)"),0.0)</f>
        <v>0</v>
      </c>
      <c r="P4" s="24">
        <f>IFERROR(__xludf.DUMMYFUNCTION("COUNTUNIQUEIFS('New Onboards'!$A:$A,'New Onboards'!$C:$C,$N4,'New Onboards'!$J:$J,TRUE,'New Onboards'!$I:$I,P$3)"),0.0)</f>
        <v>0</v>
      </c>
      <c r="Q4" s="24">
        <f>IFERROR(__xludf.DUMMYFUNCTION("COUNTUNIQUEIFS('New Onboards'!$A:$A,'New Onboards'!$C:$C,$N4,'New Onboards'!$J:$J,TRUE,'New Onboards'!$I:$I,Q$3)"),0.0)</f>
        <v>0</v>
      </c>
      <c r="R4" s="24">
        <f>IFERROR(__xludf.DUMMYFUNCTION("COUNTUNIQUEIFS('New Onboards'!$A:$A,'New Onboards'!$C:$C,$N4,'New Onboards'!$J:$J,TRUE,'New Onboards'!$I:$I,R$3)"),0.0)</f>
        <v>0</v>
      </c>
      <c r="S4" s="24">
        <f>IFERROR(__xludf.DUMMYFUNCTION("COUNTUNIQUEIFS('New Onboards'!$A:$A,'New Onboards'!$C:$C,$N4,'New Onboards'!$J:$J,TRUE,'New Onboards'!$I:$I,S$3)"),0.0)</f>
        <v>0</v>
      </c>
      <c r="T4" s="24">
        <f>IFERROR(__xludf.DUMMYFUNCTION("COUNTUNIQUEIFS('New Onboards'!$A:$A,'New Onboards'!$C:$C,$N4,'New Onboards'!$J:$J,TRUE,'New Onboards'!$I:$I,T$3)"),0.0)</f>
        <v>0</v>
      </c>
      <c r="U4" s="24">
        <f>IFERROR(__xludf.DUMMYFUNCTION("COUNTUNIQUEIFS('New Onboards'!$A:$A,'New Onboards'!$C:$C,$N4,'New Onboards'!$J:$J,TRUE,'New Onboards'!$I:$I,U$3)"),0.0)</f>
        <v>0</v>
      </c>
      <c r="V4" s="24">
        <f>IFERROR(__xludf.DUMMYFUNCTION("COUNTUNIQUEIFS('New Onboards'!$A:$A,'New Onboards'!$C:$C,$N4,'New Onboards'!$J:$J,TRUE,'New Onboards'!$I:$I,V$3)"),0.0)</f>
        <v>0</v>
      </c>
      <c r="W4" s="24">
        <f>IFERROR(__xludf.DUMMYFUNCTION("COUNTUNIQUEIFS('New Onboards'!$A:$A,'New Onboards'!$C:$C,$N4,'New Onboards'!$J:$J,TRUE,'New Onboards'!$I:$I,W$3)"),0.0)</f>
        <v>0</v>
      </c>
      <c r="X4" s="24">
        <f t="shared" ref="X4:X14" si="6">sum(O4:V4)</f>
        <v>0</v>
      </c>
      <c r="Y4" s="24"/>
      <c r="Z4" s="24"/>
      <c r="AA4" s="24"/>
      <c r="AB4" s="24"/>
    </row>
    <row r="5">
      <c r="B5" s="49" t="str">
        <f>IFERROR(__xludf.DUMMYFUNCTION("""COMPUTED_VALUE"""),"Ariya S")</f>
        <v>Ariya S</v>
      </c>
      <c r="C5" s="24">
        <f>IFERROR(__xludf.DUMMYFUNCTION("COUNTUNIQUEIFS('Claim Sheet'!$A:$A,'Claim Sheet'!$C:$C,$B5,'Claim Sheet'!$M:$M,TRUE,'Claim Sheet'!$K:$K,C$3)"),0.0)</f>
        <v>0</v>
      </c>
      <c r="D5" s="24">
        <f>IFERROR(__xludf.DUMMYFUNCTION("COUNTUNIQUEIFS('Claim Sheet'!$A:$A,'Claim Sheet'!$C:$C,$B5,'Claim Sheet'!$M:$M,TRUE,'Claim Sheet'!$K:$K,D$3)"),6.0)</f>
        <v>6</v>
      </c>
      <c r="E5" s="24">
        <f>IFERROR(__xludf.DUMMYFUNCTION("COUNTUNIQUEIFS('Claim Sheet'!$A:$A,'Claim Sheet'!$C:$C,$B5,'Claim Sheet'!$M:$M,TRUE,'Claim Sheet'!$K:$K,E$3)"),0.0)</f>
        <v>0</v>
      </c>
      <c r="F5" s="24">
        <f>IFERROR(__xludf.DUMMYFUNCTION("COUNTUNIQUEIFS('Claim Sheet'!$A:$A,'Claim Sheet'!$C:$C,$B5,'Claim Sheet'!$M:$M,TRUE,'Claim Sheet'!$K:$K,F$3)"),0.0)</f>
        <v>0</v>
      </c>
      <c r="G5" s="24">
        <f>IFERROR(__xludf.DUMMYFUNCTION("COUNTUNIQUEIFS('Claim Sheet'!$A:$A,'Claim Sheet'!$C:$C,$B5,'Claim Sheet'!$M:$M,TRUE,'Claim Sheet'!$K:$K,G$3)"),0.0)</f>
        <v>0</v>
      </c>
      <c r="H5" s="24">
        <f>IFERROR(__xludf.DUMMYFUNCTION("COUNTUNIQUEIFS('Claim Sheet'!$A:$A,'Claim Sheet'!$C:$C,$B5,'Claim Sheet'!$M:$M,TRUE,'Claim Sheet'!$K:$K,H$3)"),0.0)</f>
        <v>0</v>
      </c>
      <c r="I5" s="24">
        <f>IFERROR(__xludf.DUMMYFUNCTION("COUNTUNIQUEIFS('Claim Sheet'!$A:$A,'Claim Sheet'!$C:$C,$B5,'Claim Sheet'!$M:$M,TRUE,'Claim Sheet'!$K:$K,I$3)"),0.0)</f>
        <v>0</v>
      </c>
      <c r="J5" s="24">
        <f>IFERROR(__xludf.DUMMYFUNCTION("COUNTUNIQUEIFS('Claim Sheet'!$A:$A,'Claim Sheet'!$C:$C,$B5,'Claim Sheet'!$M:$M,TRUE,'Claim Sheet'!$K:$K,J$3)"),0.0)</f>
        <v>0</v>
      </c>
      <c r="K5" s="24">
        <f>IFERROR(__xludf.DUMMYFUNCTION("COUNTUNIQUEIFS('Claim Sheet'!$A:$A,'Claim Sheet'!$C:$C,$B5,'Claim Sheet'!$M:$M,TRUE,'Claim Sheet'!$K:$K,K$3)"),0.0)</f>
        <v>0</v>
      </c>
      <c r="L5" s="24">
        <f t="shared" si="5"/>
        <v>6</v>
      </c>
      <c r="N5" s="49" t="str">
        <f>IFERROR(__xludf.DUMMYFUNCTION("""COMPUTED_VALUE"""),"Gabriel T")</f>
        <v>Gabriel T</v>
      </c>
      <c r="O5" s="24">
        <f>IFERROR(__xludf.DUMMYFUNCTION("COUNTUNIQUEIFS('New Onboards'!$A:$A,'New Onboards'!$C:$C,$N5,'New Onboards'!$J:$J,TRUE,'New Onboards'!$I:$I,O$3)"),0.0)</f>
        <v>0</v>
      </c>
      <c r="P5" s="24">
        <f>IFERROR(__xludf.DUMMYFUNCTION("COUNTUNIQUEIFS('New Onboards'!$A:$A,'New Onboards'!$C:$C,$N5,'New Onboards'!$J:$J,TRUE,'New Onboards'!$I:$I,P$3)"),0.0)</f>
        <v>0</v>
      </c>
      <c r="Q5" s="24">
        <f>IFERROR(__xludf.DUMMYFUNCTION("COUNTUNIQUEIFS('New Onboards'!$A:$A,'New Onboards'!$C:$C,$N5,'New Onboards'!$J:$J,TRUE,'New Onboards'!$I:$I,Q$3)"),0.0)</f>
        <v>0</v>
      </c>
      <c r="R5" s="24">
        <f>IFERROR(__xludf.DUMMYFUNCTION("COUNTUNIQUEIFS('New Onboards'!$A:$A,'New Onboards'!$C:$C,$N5,'New Onboards'!$J:$J,TRUE,'New Onboards'!$I:$I,R$3)"),0.0)</f>
        <v>0</v>
      </c>
      <c r="S5" s="24">
        <f>IFERROR(__xludf.DUMMYFUNCTION("COUNTUNIQUEIFS('New Onboards'!$A:$A,'New Onboards'!$C:$C,$N5,'New Onboards'!$J:$J,TRUE,'New Onboards'!$I:$I,S$3)"),0.0)</f>
        <v>0</v>
      </c>
      <c r="T5" s="24">
        <f>IFERROR(__xludf.DUMMYFUNCTION("COUNTUNIQUEIFS('New Onboards'!$A:$A,'New Onboards'!$C:$C,$N5,'New Onboards'!$J:$J,TRUE,'New Onboards'!$I:$I,T$3)"),0.0)</f>
        <v>0</v>
      </c>
      <c r="U5" s="24">
        <f>IFERROR(__xludf.DUMMYFUNCTION("COUNTUNIQUEIFS('New Onboards'!$A:$A,'New Onboards'!$C:$C,$N5,'New Onboards'!$J:$J,TRUE,'New Onboards'!$I:$I,U$3)"),0.0)</f>
        <v>0</v>
      </c>
      <c r="V5" s="24">
        <f>IFERROR(__xludf.DUMMYFUNCTION("COUNTUNIQUEIFS('New Onboards'!$A:$A,'New Onboards'!$C:$C,$N5,'New Onboards'!$J:$J,TRUE,'New Onboards'!$I:$I,V$3)"),0.0)</f>
        <v>0</v>
      </c>
      <c r="W5" s="24">
        <f>IFERROR(__xludf.DUMMYFUNCTION("COUNTUNIQUEIFS('New Onboards'!$A:$A,'New Onboards'!$C:$C,$N5,'New Onboards'!$J:$J,TRUE,'New Onboards'!$I:$I,W$3)"),0.0)</f>
        <v>0</v>
      </c>
      <c r="X5" s="24">
        <f t="shared" si="6"/>
        <v>0</v>
      </c>
      <c r="Y5" s="24"/>
      <c r="Z5" s="24"/>
      <c r="AA5" s="24"/>
      <c r="AB5" s="24"/>
    </row>
    <row r="6">
      <c r="B6" s="49" t="str">
        <f>IFERROR(__xludf.DUMMYFUNCTION("""COMPUTED_VALUE"""),"Ava Z")</f>
        <v>Ava Z</v>
      </c>
      <c r="C6" s="24">
        <f>IFERROR(__xludf.DUMMYFUNCTION("COUNTUNIQUEIFS('Claim Sheet'!$A:$A,'Claim Sheet'!$C:$C,$B6,'Claim Sheet'!$M:$M,TRUE,'Claim Sheet'!$K:$K,C$3)"),0.0)</f>
        <v>0</v>
      </c>
      <c r="D6" s="24">
        <f>IFERROR(__xludf.DUMMYFUNCTION("COUNTUNIQUEIFS('Claim Sheet'!$A:$A,'Claim Sheet'!$C:$C,$B6,'Claim Sheet'!$M:$M,TRUE,'Claim Sheet'!$K:$K,D$3)"),0.0)</f>
        <v>0</v>
      </c>
      <c r="E6" s="24">
        <f>IFERROR(__xludf.DUMMYFUNCTION("COUNTUNIQUEIFS('Claim Sheet'!$A:$A,'Claim Sheet'!$C:$C,$B6,'Claim Sheet'!$M:$M,TRUE,'Claim Sheet'!$K:$K,E$3)"),1.0)</f>
        <v>1</v>
      </c>
      <c r="F6" s="24">
        <f>IFERROR(__xludf.DUMMYFUNCTION("COUNTUNIQUEIFS('Claim Sheet'!$A:$A,'Claim Sheet'!$C:$C,$B6,'Claim Sheet'!$M:$M,TRUE,'Claim Sheet'!$K:$K,F$3)"),0.0)</f>
        <v>0</v>
      </c>
      <c r="G6" s="24">
        <f>IFERROR(__xludf.DUMMYFUNCTION("COUNTUNIQUEIFS('Claim Sheet'!$A:$A,'Claim Sheet'!$C:$C,$B6,'Claim Sheet'!$M:$M,TRUE,'Claim Sheet'!$K:$K,G$3)"),0.0)</f>
        <v>0</v>
      </c>
      <c r="H6" s="24">
        <f>IFERROR(__xludf.DUMMYFUNCTION("COUNTUNIQUEIFS('Claim Sheet'!$A:$A,'Claim Sheet'!$C:$C,$B6,'Claim Sheet'!$M:$M,TRUE,'Claim Sheet'!$K:$K,H$3)"),0.0)</f>
        <v>0</v>
      </c>
      <c r="I6" s="24">
        <f>IFERROR(__xludf.DUMMYFUNCTION("COUNTUNIQUEIFS('Claim Sheet'!$A:$A,'Claim Sheet'!$C:$C,$B6,'Claim Sheet'!$M:$M,TRUE,'Claim Sheet'!$K:$K,I$3)"),0.0)</f>
        <v>0</v>
      </c>
      <c r="J6" s="24">
        <f>IFERROR(__xludf.DUMMYFUNCTION("COUNTUNIQUEIFS('Claim Sheet'!$A:$A,'Claim Sheet'!$C:$C,$B6,'Claim Sheet'!$M:$M,TRUE,'Claim Sheet'!$K:$K,J$3)"),0.0)</f>
        <v>0</v>
      </c>
      <c r="K6" s="24">
        <f>IFERROR(__xludf.DUMMYFUNCTION("COUNTUNIQUEIFS('Claim Sheet'!$A:$A,'Claim Sheet'!$C:$C,$B6,'Claim Sheet'!$M:$M,TRUE,'Claim Sheet'!$K:$K,K$3)"),0.0)</f>
        <v>0</v>
      </c>
      <c r="L6" s="24">
        <f t="shared" si="5"/>
        <v>1</v>
      </c>
      <c r="N6" s="49" t="str">
        <f>IFERROR(__xludf.DUMMYFUNCTION("""COMPUTED_VALUE"""),"Hinda D")</f>
        <v>Hinda D</v>
      </c>
      <c r="O6" s="24">
        <f>IFERROR(__xludf.DUMMYFUNCTION("COUNTUNIQUEIFS('New Onboards'!$A:$A,'New Onboards'!$C:$C,$N6,'New Onboards'!$J:$J,TRUE,'New Onboards'!$I:$I,O$3)"),0.0)</f>
        <v>0</v>
      </c>
      <c r="P6" s="24">
        <f>IFERROR(__xludf.DUMMYFUNCTION("COUNTUNIQUEIFS('New Onboards'!$A:$A,'New Onboards'!$C:$C,$N6,'New Onboards'!$J:$J,TRUE,'New Onboards'!$I:$I,P$3)"),0.0)</f>
        <v>0</v>
      </c>
      <c r="Q6" s="24">
        <f>IFERROR(__xludf.DUMMYFUNCTION("COUNTUNIQUEIFS('New Onboards'!$A:$A,'New Onboards'!$C:$C,$N6,'New Onboards'!$J:$J,TRUE,'New Onboards'!$I:$I,Q$3)"),1.0)</f>
        <v>1</v>
      </c>
      <c r="R6" s="24">
        <f>IFERROR(__xludf.DUMMYFUNCTION("COUNTUNIQUEIFS('New Onboards'!$A:$A,'New Onboards'!$C:$C,$N6,'New Onboards'!$J:$J,TRUE,'New Onboards'!$I:$I,R$3)"),0.0)</f>
        <v>0</v>
      </c>
      <c r="S6" s="24">
        <f>IFERROR(__xludf.DUMMYFUNCTION("COUNTUNIQUEIFS('New Onboards'!$A:$A,'New Onboards'!$C:$C,$N6,'New Onboards'!$J:$J,TRUE,'New Onboards'!$I:$I,S$3)"),0.0)</f>
        <v>0</v>
      </c>
      <c r="T6" s="24">
        <f>IFERROR(__xludf.DUMMYFUNCTION("COUNTUNIQUEIFS('New Onboards'!$A:$A,'New Onboards'!$C:$C,$N6,'New Onboards'!$J:$J,TRUE,'New Onboards'!$I:$I,T$3)"),0.0)</f>
        <v>0</v>
      </c>
      <c r="U6" s="24">
        <f>IFERROR(__xludf.DUMMYFUNCTION("COUNTUNIQUEIFS('New Onboards'!$A:$A,'New Onboards'!$C:$C,$N6,'New Onboards'!$J:$J,TRUE,'New Onboards'!$I:$I,U$3)"),0.0)</f>
        <v>0</v>
      </c>
      <c r="V6" s="24">
        <f>IFERROR(__xludf.DUMMYFUNCTION("COUNTUNIQUEIFS('New Onboards'!$A:$A,'New Onboards'!$C:$C,$N6,'New Onboards'!$J:$J,TRUE,'New Onboards'!$I:$I,V$3)"),0.0)</f>
        <v>0</v>
      </c>
      <c r="W6" s="24">
        <f>IFERROR(__xludf.DUMMYFUNCTION("COUNTUNIQUEIFS('New Onboards'!$A:$A,'New Onboards'!$C:$C,$N6,'New Onboards'!$J:$J,TRUE,'New Onboards'!$I:$I,W$3)"),0.0)</f>
        <v>0</v>
      </c>
      <c r="X6" s="24">
        <f t="shared" si="6"/>
        <v>1</v>
      </c>
      <c r="Y6" s="24"/>
      <c r="Z6" s="24"/>
      <c r="AA6" s="24"/>
      <c r="AB6" s="24"/>
    </row>
    <row r="7">
      <c r="B7" s="49" t="str">
        <f>IFERROR(__xludf.DUMMYFUNCTION("""COMPUTED_VALUE"""),"Diego P")</f>
        <v>Diego P</v>
      </c>
      <c r="C7" s="24">
        <f>IFERROR(__xludf.DUMMYFUNCTION("COUNTUNIQUEIFS('Claim Sheet'!$A:$A,'Claim Sheet'!$C:$C,$B7,'Claim Sheet'!$M:$M,TRUE,'Claim Sheet'!$K:$K,C$3)"),0.0)</f>
        <v>0</v>
      </c>
      <c r="D7" s="24">
        <f>IFERROR(__xludf.DUMMYFUNCTION("COUNTUNIQUEIFS('Claim Sheet'!$A:$A,'Claim Sheet'!$C:$C,$B7,'Claim Sheet'!$M:$M,TRUE,'Claim Sheet'!$K:$K,D$3)"),1.0)</f>
        <v>1</v>
      </c>
      <c r="E7" s="24">
        <f>IFERROR(__xludf.DUMMYFUNCTION("COUNTUNIQUEIFS('Claim Sheet'!$A:$A,'Claim Sheet'!$C:$C,$B7,'Claim Sheet'!$M:$M,TRUE,'Claim Sheet'!$K:$K,E$3)"),3.0)</f>
        <v>3</v>
      </c>
      <c r="F7" s="24">
        <f>IFERROR(__xludf.DUMMYFUNCTION("COUNTUNIQUEIFS('Claim Sheet'!$A:$A,'Claim Sheet'!$C:$C,$B7,'Claim Sheet'!$M:$M,TRUE,'Claim Sheet'!$K:$K,F$3)"),0.0)</f>
        <v>0</v>
      </c>
      <c r="G7" s="24">
        <f>IFERROR(__xludf.DUMMYFUNCTION("COUNTUNIQUEIFS('Claim Sheet'!$A:$A,'Claim Sheet'!$C:$C,$B7,'Claim Sheet'!$M:$M,TRUE,'Claim Sheet'!$K:$K,G$3)"),0.0)</f>
        <v>0</v>
      </c>
      <c r="H7" s="24">
        <f>IFERROR(__xludf.DUMMYFUNCTION("COUNTUNIQUEIFS('Claim Sheet'!$A:$A,'Claim Sheet'!$C:$C,$B7,'Claim Sheet'!$M:$M,TRUE,'Claim Sheet'!$K:$K,H$3)"),0.0)</f>
        <v>0</v>
      </c>
      <c r="I7" s="24">
        <f>IFERROR(__xludf.DUMMYFUNCTION("COUNTUNIQUEIFS('Claim Sheet'!$A:$A,'Claim Sheet'!$C:$C,$B7,'Claim Sheet'!$M:$M,TRUE,'Claim Sheet'!$K:$K,I$3)"),0.0)</f>
        <v>0</v>
      </c>
      <c r="J7" s="24">
        <f>IFERROR(__xludf.DUMMYFUNCTION("COUNTUNIQUEIFS('Claim Sheet'!$A:$A,'Claim Sheet'!$C:$C,$B7,'Claim Sheet'!$M:$M,TRUE,'Claim Sheet'!$K:$K,J$3)"),0.0)</f>
        <v>0</v>
      </c>
      <c r="K7" s="24">
        <f>IFERROR(__xludf.DUMMYFUNCTION("COUNTUNIQUEIFS('Claim Sheet'!$A:$A,'Claim Sheet'!$C:$C,$B7,'Claim Sheet'!$M:$M,TRUE,'Claim Sheet'!$K:$K,K$3)"),0.0)</f>
        <v>0</v>
      </c>
      <c r="L7" s="24">
        <f t="shared" si="5"/>
        <v>4</v>
      </c>
      <c r="N7" s="49" t="str">
        <f>IFERROR(__xludf.DUMMYFUNCTION("""COMPUTED_VALUE"""),"Jacob C")</f>
        <v>Jacob C</v>
      </c>
      <c r="O7" s="24">
        <f>IFERROR(__xludf.DUMMYFUNCTION("COUNTUNIQUEIFS('New Onboards'!$A:$A,'New Onboards'!$C:$C,$N7,'New Onboards'!$J:$J,TRUE,'New Onboards'!$I:$I,O$3)"),0.0)</f>
        <v>0</v>
      </c>
      <c r="P7" s="24">
        <f>IFERROR(__xludf.DUMMYFUNCTION("COUNTUNIQUEIFS('New Onboards'!$A:$A,'New Onboards'!$C:$C,$N7,'New Onboards'!$J:$J,TRUE,'New Onboards'!$I:$I,P$3)"),0.0)</f>
        <v>0</v>
      </c>
      <c r="Q7" s="24">
        <f>IFERROR(__xludf.DUMMYFUNCTION("COUNTUNIQUEIFS('New Onboards'!$A:$A,'New Onboards'!$C:$C,$N7,'New Onboards'!$J:$J,TRUE,'New Onboards'!$I:$I,Q$3)"),0.0)</f>
        <v>0</v>
      </c>
      <c r="R7" s="24">
        <f>IFERROR(__xludf.DUMMYFUNCTION("COUNTUNIQUEIFS('New Onboards'!$A:$A,'New Onboards'!$C:$C,$N7,'New Onboards'!$J:$J,TRUE,'New Onboards'!$I:$I,R$3)"),0.0)</f>
        <v>0</v>
      </c>
      <c r="S7" s="24">
        <f>IFERROR(__xludf.DUMMYFUNCTION("COUNTUNIQUEIFS('New Onboards'!$A:$A,'New Onboards'!$C:$C,$N7,'New Onboards'!$J:$J,TRUE,'New Onboards'!$I:$I,S$3)"),0.0)</f>
        <v>0</v>
      </c>
      <c r="T7" s="24">
        <f>IFERROR(__xludf.DUMMYFUNCTION("COUNTUNIQUEIFS('New Onboards'!$A:$A,'New Onboards'!$C:$C,$N7,'New Onboards'!$J:$J,TRUE,'New Onboards'!$I:$I,T$3)"),0.0)</f>
        <v>0</v>
      </c>
      <c r="U7" s="24">
        <f>IFERROR(__xludf.DUMMYFUNCTION("COUNTUNIQUEIFS('New Onboards'!$A:$A,'New Onboards'!$C:$C,$N7,'New Onboards'!$J:$J,TRUE,'New Onboards'!$I:$I,U$3)"),0.0)</f>
        <v>0</v>
      </c>
      <c r="V7" s="24">
        <f>IFERROR(__xludf.DUMMYFUNCTION("COUNTUNIQUEIFS('New Onboards'!$A:$A,'New Onboards'!$C:$C,$N7,'New Onboards'!$J:$J,TRUE,'New Onboards'!$I:$I,V$3)"),0.0)</f>
        <v>0</v>
      </c>
      <c r="W7" s="24">
        <f>IFERROR(__xludf.DUMMYFUNCTION("COUNTUNIQUEIFS('New Onboards'!$A:$A,'New Onboards'!$C:$C,$N7,'New Onboards'!$J:$J,TRUE,'New Onboards'!$I:$I,W$3)"),0.0)</f>
        <v>0</v>
      </c>
      <c r="X7" s="24">
        <f t="shared" si="6"/>
        <v>0</v>
      </c>
      <c r="Y7" s="24"/>
      <c r="Z7" s="24"/>
      <c r="AA7" s="24"/>
      <c r="AB7" s="24"/>
    </row>
    <row r="8">
      <c r="B8" s="49" t="str">
        <f>IFERROR(__xludf.DUMMYFUNCTION("""COMPUTED_VALUE"""),"Diogo P")</f>
        <v>Diogo P</v>
      </c>
      <c r="C8" s="24">
        <f>IFERROR(__xludf.DUMMYFUNCTION("COUNTUNIQUEIFS('Claim Sheet'!$A:$A,'Claim Sheet'!$C:$C,$B8,'Claim Sheet'!$M:$M,TRUE,'Claim Sheet'!$K:$K,C$3)"),0.0)</f>
        <v>0</v>
      </c>
      <c r="D8" s="24">
        <f>IFERROR(__xludf.DUMMYFUNCTION("COUNTUNIQUEIFS('Claim Sheet'!$A:$A,'Claim Sheet'!$C:$C,$B8,'Claim Sheet'!$M:$M,TRUE,'Claim Sheet'!$K:$K,D$3)"),1.0)</f>
        <v>1</v>
      </c>
      <c r="E8" s="24">
        <f>IFERROR(__xludf.DUMMYFUNCTION("COUNTUNIQUEIFS('Claim Sheet'!$A:$A,'Claim Sheet'!$C:$C,$B8,'Claim Sheet'!$M:$M,TRUE,'Claim Sheet'!$K:$K,E$3)"),2.0)</f>
        <v>2</v>
      </c>
      <c r="F8" s="24">
        <f>IFERROR(__xludf.DUMMYFUNCTION("COUNTUNIQUEIFS('Claim Sheet'!$A:$A,'Claim Sheet'!$C:$C,$B8,'Claim Sheet'!$M:$M,TRUE,'Claim Sheet'!$K:$K,F$3)"),0.0)</f>
        <v>0</v>
      </c>
      <c r="G8" s="24">
        <f>IFERROR(__xludf.DUMMYFUNCTION("COUNTUNIQUEIFS('Claim Sheet'!$A:$A,'Claim Sheet'!$C:$C,$B8,'Claim Sheet'!$M:$M,TRUE,'Claim Sheet'!$K:$K,G$3)"),0.0)</f>
        <v>0</v>
      </c>
      <c r="H8" s="24">
        <f>IFERROR(__xludf.DUMMYFUNCTION("COUNTUNIQUEIFS('Claim Sheet'!$A:$A,'Claim Sheet'!$C:$C,$B8,'Claim Sheet'!$M:$M,TRUE,'Claim Sheet'!$K:$K,H$3)"),0.0)</f>
        <v>0</v>
      </c>
      <c r="I8" s="24">
        <f>IFERROR(__xludf.DUMMYFUNCTION("COUNTUNIQUEIFS('Claim Sheet'!$A:$A,'Claim Sheet'!$C:$C,$B8,'Claim Sheet'!$M:$M,TRUE,'Claim Sheet'!$K:$K,I$3)"),0.0)</f>
        <v>0</v>
      </c>
      <c r="J8" s="24">
        <f>IFERROR(__xludf.DUMMYFUNCTION("COUNTUNIQUEIFS('Claim Sheet'!$A:$A,'Claim Sheet'!$C:$C,$B8,'Claim Sheet'!$M:$M,TRUE,'Claim Sheet'!$K:$K,J$3)"),0.0)</f>
        <v>0</v>
      </c>
      <c r="K8" s="24">
        <f>IFERROR(__xludf.DUMMYFUNCTION("COUNTUNIQUEIFS('Claim Sheet'!$A:$A,'Claim Sheet'!$C:$C,$B8,'Claim Sheet'!$M:$M,TRUE,'Claim Sheet'!$K:$K,K$3)"),0.0)</f>
        <v>0</v>
      </c>
      <c r="L8" s="24">
        <f t="shared" si="5"/>
        <v>3</v>
      </c>
      <c r="N8" s="49" t="str">
        <f>IFERROR(__xludf.DUMMYFUNCTION("""COMPUTED_VALUE"""),"Johanne B")</f>
        <v>Johanne B</v>
      </c>
      <c r="O8" s="24">
        <f>IFERROR(__xludf.DUMMYFUNCTION("COUNTUNIQUEIFS('New Onboards'!$A:$A,'New Onboards'!$C:$C,$N8,'New Onboards'!$J:$J,TRUE,'New Onboards'!$I:$I,O$3)"),0.0)</f>
        <v>0</v>
      </c>
      <c r="P8" s="24">
        <f>IFERROR(__xludf.DUMMYFUNCTION("COUNTUNIQUEIFS('New Onboards'!$A:$A,'New Onboards'!$C:$C,$N8,'New Onboards'!$J:$J,TRUE,'New Onboards'!$I:$I,P$3)"),0.0)</f>
        <v>0</v>
      </c>
      <c r="Q8" s="24">
        <f>IFERROR(__xludf.DUMMYFUNCTION("COUNTUNIQUEIFS('New Onboards'!$A:$A,'New Onboards'!$C:$C,$N8,'New Onboards'!$J:$J,TRUE,'New Onboards'!$I:$I,Q$3)"),0.0)</f>
        <v>0</v>
      </c>
      <c r="R8" s="24">
        <f>IFERROR(__xludf.DUMMYFUNCTION("COUNTUNIQUEIFS('New Onboards'!$A:$A,'New Onboards'!$C:$C,$N8,'New Onboards'!$J:$J,TRUE,'New Onboards'!$I:$I,R$3)"),0.0)</f>
        <v>0</v>
      </c>
      <c r="S8" s="24">
        <f>IFERROR(__xludf.DUMMYFUNCTION("COUNTUNIQUEIFS('New Onboards'!$A:$A,'New Onboards'!$C:$C,$N8,'New Onboards'!$J:$J,TRUE,'New Onboards'!$I:$I,S$3)"),0.0)</f>
        <v>0</v>
      </c>
      <c r="T8" s="24">
        <f>IFERROR(__xludf.DUMMYFUNCTION("COUNTUNIQUEIFS('New Onboards'!$A:$A,'New Onboards'!$C:$C,$N8,'New Onboards'!$J:$J,TRUE,'New Onboards'!$I:$I,T$3)"),0.0)</f>
        <v>0</v>
      </c>
      <c r="U8" s="24">
        <f>IFERROR(__xludf.DUMMYFUNCTION("COUNTUNIQUEIFS('New Onboards'!$A:$A,'New Onboards'!$C:$C,$N8,'New Onboards'!$J:$J,TRUE,'New Onboards'!$I:$I,U$3)"),0.0)</f>
        <v>0</v>
      </c>
      <c r="V8" s="24">
        <f>IFERROR(__xludf.DUMMYFUNCTION("COUNTUNIQUEIFS('New Onboards'!$A:$A,'New Onboards'!$C:$C,$N8,'New Onboards'!$J:$J,TRUE,'New Onboards'!$I:$I,V$3)"),0.0)</f>
        <v>0</v>
      </c>
      <c r="W8" s="24">
        <f>IFERROR(__xludf.DUMMYFUNCTION("COUNTUNIQUEIFS('New Onboards'!$A:$A,'New Onboards'!$C:$C,$N8,'New Onboards'!$J:$J,TRUE,'New Onboards'!$I:$I,W$3)"),0.0)</f>
        <v>0</v>
      </c>
      <c r="X8" s="24">
        <f t="shared" si="6"/>
        <v>0</v>
      </c>
      <c r="Y8" s="24"/>
      <c r="Z8" s="24"/>
      <c r="AA8" s="24"/>
      <c r="AB8" s="24"/>
    </row>
    <row r="9">
      <c r="B9" s="49" t="str">
        <f>IFERROR(__xludf.DUMMYFUNCTION("""COMPUTED_VALUE"""),"Elliot S")</f>
        <v>Elliot S</v>
      </c>
      <c r="C9" s="24">
        <f>IFERROR(__xludf.DUMMYFUNCTION("COUNTUNIQUEIFS('Claim Sheet'!$A:$A,'Claim Sheet'!$C:$C,$B9,'Claim Sheet'!$M:$M,TRUE,'Claim Sheet'!$K:$K,C$3)"),0.0)</f>
        <v>0</v>
      </c>
      <c r="D9" s="24">
        <f>IFERROR(__xludf.DUMMYFUNCTION("COUNTUNIQUEIFS('Claim Sheet'!$A:$A,'Claim Sheet'!$C:$C,$B9,'Claim Sheet'!$M:$M,TRUE,'Claim Sheet'!$K:$K,D$3)"),5.0)</f>
        <v>5</v>
      </c>
      <c r="E9" s="24">
        <f>IFERROR(__xludf.DUMMYFUNCTION("COUNTUNIQUEIFS('Claim Sheet'!$A:$A,'Claim Sheet'!$C:$C,$B9,'Claim Sheet'!$M:$M,TRUE,'Claim Sheet'!$K:$K,E$3)"),6.0)</f>
        <v>6</v>
      </c>
      <c r="F9" s="24">
        <f>IFERROR(__xludf.DUMMYFUNCTION("COUNTUNIQUEIFS('Claim Sheet'!$A:$A,'Claim Sheet'!$C:$C,$B9,'Claim Sheet'!$M:$M,TRUE,'Claim Sheet'!$K:$K,F$3)"),0.0)</f>
        <v>0</v>
      </c>
      <c r="G9" s="24">
        <f>IFERROR(__xludf.DUMMYFUNCTION("COUNTUNIQUEIFS('Claim Sheet'!$A:$A,'Claim Sheet'!$C:$C,$B9,'Claim Sheet'!$M:$M,TRUE,'Claim Sheet'!$K:$K,G$3)"),0.0)</f>
        <v>0</v>
      </c>
      <c r="H9" s="24">
        <f>IFERROR(__xludf.DUMMYFUNCTION("COUNTUNIQUEIFS('Claim Sheet'!$A:$A,'Claim Sheet'!$C:$C,$B9,'Claim Sheet'!$M:$M,TRUE,'Claim Sheet'!$K:$K,H$3)"),0.0)</f>
        <v>0</v>
      </c>
      <c r="I9" s="24">
        <f>IFERROR(__xludf.DUMMYFUNCTION("COUNTUNIQUEIFS('Claim Sheet'!$A:$A,'Claim Sheet'!$C:$C,$B9,'Claim Sheet'!$M:$M,TRUE,'Claim Sheet'!$K:$K,I$3)"),0.0)</f>
        <v>0</v>
      </c>
      <c r="J9" s="24">
        <f>IFERROR(__xludf.DUMMYFUNCTION("COUNTUNIQUEIFS('Claim Sheet'!$A:$A,'Claim Sheet'!$C:$C,$B9,'Claim Sheet'!$M:$M,TRUE,'Claim Sheet'!$K:$K,J$3)"),0.0)</f>
        <v>0</v>
      </c>
      <c r="K9" s="24">
        <f>IFERROR(__xludf.DUMMYFUNCTION("COUNTUNIQUEIFS('Claim Sheet'!$A:$A,'Claim Sheet'!$C:$C,$B9,'Claim Sheet'!$M:$M,TRUE,'Claim Sheet'!$K:$K,K$3)"),0.0)</f>
        <v>0</v>
      </c>
      <c r="L9" s="24">
        <f t="shared" si="5"/>
        <v>11</v>
      </c>
      <c r="N9" s="49" t="str">
        <f>IFERROR(__xludf.DUMMYFUNCTION("""COMPUTED_VALUE"""),"Manan B")</f>
        <v>Manan B</v>
      </c>
      <c r="O9" s="24">
        <f>IFERROR(__xludf.DUMMYFUNCTION("COUNTUNIQUEIFS('New Onboards'!$A:$A,'New Onboards'!$C:$C,$N9,'New Onboards'!$J:$J,TRUE,'New Onboards'!$I:$I,O$3)"),0.0)</f>
        <v>0</v>
      </c>
      <c r="P9" s="24">
        <f>IFERROR(__xludf.DUMMYFUNCTION("COUNTUNIQUEIFS('New Onboards'!$A:$A,'New Onboards'!$C:$C,$N9,'New Onboards'!$J:$J,TRUE,'New Onboards'!$I:$I,P$3)"),0.0)</f>
        <v>0</v>
      </c>
      <c r="Q9" s="24">
        <f>IFERROR(__xludf.DUMMYFUNCTION("COUNTUNIQUEIFS('New Onboards'!$A:$A,'New Onboards'!$C:$C,$N9,'New Onboards'!$J:$J,TRUE,'New Onboards'!$I:$I,Q$3)"),0.0)</f>
        <v>0</v>
      </c>
      <c r="R9" s="24">
        <f>IFERROR(__xludf.DUMMYFUNCTION("COUNTUNIQUEIFS('New Onboards'!$A:$A,'New Onboards'!$C:$C,$N9,'New Onboards'!$J:$J,TRUE,'New Onboards'!$I:$I,R$3)"),0.0)</f>
        <v>0</v>
      </c>
      <c r="S9" s="24">
        <f>IFERROR(__xludf.DUMMYFUNCTION("COUNTUNIQUEIFS('New Onboards'!$A:$A,'New Onboards'!$C:$C,$N9,'New Onboards'!$J:$J,TRUE,'New Onboards'!$I:$I,S$3)"),0.0)</f>
        <v>0</v>
      </c>
      <c r="T9" s="24">
        <f>IFERROR(__xludf.DUMMYFUNCTION("COUNTUNIQUEIFS('New Onboards'!$A:$A,'New Onboards'!$C:$C,$N9,'New Onboards'!$J:$J,TRUE,'New Onboards'!$I:$I,T$3)"),0.0)</f>
        <v>0</v>
      </c>
      <c r="U9" s="24">
        <f>IFERROR(__xludf.DUMMYFUNCTION("COUNTUNIQUEIFS('New Onboards'!$A:$A,'New Onboards'!$C:$C,$N9,'New Onboards'!$J:$J,TRUE,'New Onboards'!$I:$I,U$3)"),0.0)</f>
        <v>0</v>
      </c>
      <c r="V9" s="24">
        <f>IFERROR(__xludf.DUMMYFUNCTION("COUNTUNIQUEIFS('New Onboards'!$A:$A,'New Onboards'!$C:$C,$N9,'New Onboards'!$J:$J,TRUE,'New Onboards'!$I:$I,V$3)"),0.0)</f>
        <v>0</v>
      </c>
      <c r="W9" s="24">
        <f>IFERROR(__xludf.DUMMYFUNCTION("COUNTUNIQUEIFS('New Onboards'!$A:$A,'New Onboards'!$C:$C,$N9,'New Onboards'!$J:$J,TRUE,'New Onboards'!$I:$I,W$3)"),0.0)</f>
        <v>0</v>
      </c>
      <c r="X9" s="24">
        <f t="shared" si="6"/>
        <v>0</v>
      </c>
      <c r="Y9" s="24"/>
      <c r="Z9" s="24"/>
      <c r="AA9" s="24"/>
      <c r="AB9" s="24"/>
    </row>
    <row r="10">
      <c r="B10" s="49" t="str">
        <f>IFERROR(__xludf.DUMMYFUNCTION("""COMPUTED_VALUE"""),"Francisco C")</f>
        <v>Francisco C</v>
      </c>
      <c r="C10" s="24">
        <f>IFERROR(__xludf.DUMMYFUNCTION("COUNTUNIQUEIFS('Claim Sheet'!$A:$A,'Claim Sheet'!$C:$C,$B10,'Claim Sheet'!$M:$M,TRUE,'Claim Sheet'!$K:$K,C$3)"),1.0)</f>
        <v>1</v>
      </c>
      <c r="D10" s="24">
        <f>IFERROR(__xludf.DUMMYFUNCTION("COUNTUNIQUEIFS('Claim Sheet'!$A:$A,'Claim Sheet'!$C:$C,$B10,'Claim Sheet'!$M:$M,TRUE,'Claim Sheet'!$K:$K,D$3)"),3.0)</f>
        <v>3</v>
      </c>
      <c r="E10" s="24">
        <f>IFERROR(__xludf.DUMMYFUNCTION("COUNTUNIQUEIFS('Claim Sheet'!$A:$A,'Claim Sheet'!$C:$C,$B10,'Claim Sheet'!$M:$M,TRUE,'Claim Sheet'!$K:$K,E$3)"),2.0)</f>
        <v>2</v>
      </c>
      <c r="F10" s="24">
        <f>IFERROR(__xludf.DUMMYFUNCTION("COUNTUNIQUEIFS('Claim Sheet'!$A:$A,'Claim Sheet'!$C:$C,$B10,'Claim Sheet'!$M:$M,TRUE,'Claim Sheet'!$K:$K,F$3)"),0.0)</f>
        <v>0</v>
      </c>
      <c r="G10" s="24">
        <f>IFERROR(__xludf.DUMMYFUNCTION("COUNTUNIQUEIFS('Claim Sheet'!$A:$A,'Claim Sheet'!$C:$C,$B10,'Claim Sheet'!$M:$M,TRUE,'Claim Sheet'!$K:$K,G$3)"),0.0)</f>
        <v>0</v>
      </c>
      <c r="H10" s="24">
        <f>IFERROR(__xludf.DUMMYFUNCTION("COUNTUNIQUEIFS('Claim Sheet'!$A:$A,'Claim Sheet'!$C:$C,$B10,'Claim Sheet'!$M:$M,TRUE,'Claim Sheet'!$K:$K,H$3)"),0.0)</f>
        <v>0</v>
      </c>
      <c r="I10" s="24">
        <f>IFERROR(__xludf.DUMMYFUNCTION("COUNTUNIQUEIFS('Claim Sheet'!$A:$A,'Claim Sheet'!$C:$C,$B10,'Claim Sheet'!$M:$M,TRUE,'Claim Sheet'!$K:$K,I$3)"),0.0)</f>
        <v>0</v>
      </c>
      <c r="J10" s="24">
        <f>IFERROR(__xludf.DUMMYFUNCTION("COUNTUNIQUEIFS('Claim Sheet'!$A:$A,'Claim Sheet'!$C:$C,$B10,'Claim Sheet'!$M:$M,TRUE,'Claim Sheet'!$K:$K,J$3)"),0.0)</f>
        <v>0</v>
      </c>
      <c r="K10" s="24">
        <f>IFERROR(__xludf.DUMMYFUNCTION("COUNTUNIQUEIFS('Claim Sheet'!$A:$A,'Claim Sheet'!$C:$C,$B10,'Claim Sheet'!$M:$M,TRUE,'Claim Sheet'!$K:$K,K$3)"),0.0)</f>
        <v>0</v>
      </c>
      <c r="L10" s="24">
        <f t="shared" si="5"/>
        <v>6</v>
      </c>
      <c r="N10" s="49" t="str">
        <f>IFERROR(__xludf.DUMMYFUNCTION("""COMPUTED_VALUE"""),"Melvin J")</f>
        <v>Melvin J</v>
      </c>
      <c r="O10" s="24">
        <f>IFERROR(__xludf.DUMMYFUNCTION("COUNTUNIQUEIFS('New Onboards'!$A:$A,'New Onboards'!$C:$C,$N10,'New Onboards'!$J:$J,TRUE,'New Onboards'!$I:$I,O$3)"),0.0)</f>
        <v>0</v>
      </c>
      <c r="P10" s="24">
        <f>IFERROR(__xludf.DUMMYFUNCTION("COUNTUNIQUEIFS('New Onboards'!$A:$A,'New Onboards'!$C:$C,$N10,'New Onboards'!$J:$J,TRUE,'New Onboards'!$I:$I,P$3)"),0.0)</f>
        <v>0</v>
      </c>
      <c r="Q10" s="24">
        <f>IFERROR(__xludf.DUMMYFUNCTION("COUNTUNIQUEIFS('New Onboards'!$A:$A,'New Onboards'!$C:$C,$N10,'New Onboards'!$J:$J,TRUE,'New Onboards'!$I:$I,Q$3)"),0.0)</f>
        <v>0</v>
      </c>
      <c r="R10" s="24">
        <f>IFERROR(__xludf.DUMMYFUNCTION("COUNTUNIQUEIFS('New Onboards'!$A:$A,'New Onboards'!$C:$C,$N10,'New Onboards'!$J:$J,TRUE,'New Onboards'!$I:$I,R$3)"),0.0)</f>
        <v>0</v>
      </c>
      <c r="S10" s="24">
        <f>IFERROR(__xludf.DUMMYFUNCTION("COUNTUNIQUEIFS('New Onboards'!$A:$A,'New Onboards'!$C:$C,$N10,'New Onboards'!$J:$J,TRUE,'New Onboards'!$I:$I,S$3)"),0.0)</f>
        <v>0</v>
      </c>
      <c r="T10" s="24">
        <f>IFERROR(__xludf.DUMMYFUNCTION("COUNTUNIQUEIFS('New Onboards'!$A:$A,'New Onboards'!$C:$C,$N10,'New Onboards'!$J:$J,TRUE,'New Onboards'!$I:$I,T$3)"),0.0)</f>
        <v>0</v>
      </c>
      <c r="U10" s="24">
        <f>IFERROR(__xludf.DUMMYFUNCTION("COUNTUNIQUEIFS('New Onboards'!$A:$A,'New Onboards'!$C:$C,$N10,'New Onboards'!$J:$J,TRUE,'New Onboards'!$I:$I,U$3)"),0.0)</f>
        <v>0</v>
      </c>
      <c r="V10" s="24">
        <f>IFERROR(__xludf.DUMMYFUNCTION("COUNTUNIQUEIFS('New Onboards'!$A:$A,'New Onboards'!$C:$C,$N10,'New Onboards'!$J:$J,TRUE,'New Onboards'!$I:$I,V$3)"),0.0)</f>
        <v>0</v>
      </c>
      <c r="W10" s="24">
        <f>IFERROR(__xludf.DUMMYFUNCTION("COUNTUNIQUEIFS('New Onboards'!$A:$A,'New Onboards'!$C:$C,$N10,'New Onboards'!$J:$J,TRUE,'New Onboards'!$I:$I,W$3)"),0.0)</f>
        <v>0</v>
      </c>
      <c r="X10" s="24">
        <f t="shared" si="6"/>
        <v>0</v>
      </c>
      <c r="Y10" s="24"/>
      <c r="Z10" s="24"/>
      <c r="AA10" s="24"/>
      <c r="AB10" s="24"/>
    </row>
    <row r="11">
      <c r="B11" s="49" t="str">
        <f>IFERROR(__xludf.DUMMYFUNCTION("""COMPUTED_VALUE"""),"Jalaj G")</f>
        <v>Jalaj G</v>
      </c>
      <c r="C11" s="24">
        <f>IFERROR(__xludf.DUMMYFUNCTION("COUNTUNIQUEIFS('Claim Sheet'!$A:$A,'Claim Sheet'!$C:$C,$B11,'Claim Sheet'!$M:$M,TRUE,'Claim Sheet'!$K:$K,C$3)"),0.0)</f>
        <v>0</v>
      </c>
      <c r="D11" s="24">
        <f>IFERROR(__xludf.DUMMYFUNCTION("COUNTUNIQUEIFS('Claim Sheet'!$A:$A,'Claim Sheet'!$C:$C,$B11,'Claim Sheet'!$M:$M,TRUE,'Claim Sheet'!$K:$K,D$3)"),4.0)</f>
        <v>4</v>
      </c>
      <c r="E11" s="24">
        <f>IFERROR(__xludf.DUMMYFUNCTION("COUNTUNIQUEIFS('Claim Sheet'!$A:$A,'Claim Sheet'!$C:$C,$B11,'Claim Sheet'!$M:$M,TRUE,'Claim Sheet'!$K:$K,E$3)"),7.0)</f>
        <v>7</v>
      </c>
      <c r="F11" s="24">
        <f>IFERROR(__xludf.DUMMYFUNCTION("COUNTUNIQUEIFS('Claim Sheet'!$A:$A,'Claim Sheet'!$C:$C,$B11,'Claim Sheet'!$M:$M,TRUE,'Claim Sheet'!$K:$K,F$3)"),0.0)</f>
        <v>0</v>
      </c>
      <c r="G11" s="24">
        <f>IFERROR(__xludf.DUMMYFUNCTION("COUNTUNIQUEIFS('Claim Sheet'!$A:$A,'Claim Sheet'!$C:$C,$B11,'Claim Sheet'!$M:$M,TRUE,'Claim Sheet'!$K:$K,G$3)"),0.0)</f>
        <v>0</v>
      </c>
      <c r="H11" s="24">
        <f>IFERROR(__xludf.DUMMYFUNCTION("COUNTUNIQUEIFS('Claim Sheet'!$A:$A,'Claim Sheet'!$C:$C,$B11,'Claim Sheet'!$M:$M,TRUE,'Claim Sheet'!$K:$K,H$3)"),0.0)</f>
        <v>0</v>
      </c>
      <c r="I11" s="24">
        <f>IFERROR(__xludf.DUMMYFUNCTION("COUNTUNIQUEIFS('Claim Sheet'!$A:$A,'Claim Sheet'!$C:$C,$B11,'Claim Sheet'!$M:$M,TRUE,'Claim Sheet'!$K:$K,I$3)"),0.0)</f>
        <v>0</v>
      </c>
      <c r="J11" s="24">
        <f>IFERROR(__xludf.DUMMYFUNCTION("COUNTUNIQUEIFS('Claim Sheet'!$A:$A,'Claim Sheet'!$C:$C,$B11,'Claim Sheet'!$M:$M,TRUE,'Claim Sheet'!$K:$K,J$3)"),0.0)</f>
        <v>0</v>
      </c>
      <c r="K11" s="24">
        <f>IFERROR(__xludf.DUMMYFUNCTION("COUNTUNIQUEIFS('Claim Sheet'!$A:$A,'Claim Sheet'!$C:$C,$B11,'Claim Sheet'!$M:$M,TRUE,'Claim Sheet'!$K:$K,K$3)"),0.0)</f>
        <v>0</v>
      </c>
      <c r="L11" s="24">
        <f t="shared" si="5"/>
        <v>11</v>
      </c>
      <c r="N11" s="49" t="str">
        <f>IFERROR(__xludf.DUMMYFUNCTION("""COMPUTED_VALUE"""),"Mitch K")</f>
        <v>Mitch K</v>
      </c>
      <c r="O11" s="24">
        <f>IFERROR(__xludf.DUMMYFUNCTION("COUNTUNIQUEIFS('New Onboards'!$A:$A,'New Onboards'!$C:$C,$N11,'New Onboards'!$J:$J,TRUE,'New Onboards'!$I:$I,O$3)"),0.0)</f>
        <v>0</v>
      </c>
      <c r="P11" s="24">
        <f>IFERROR(__xludf.DUMMYFUNCTION("COUNTUNIQUEIFS('New Onboards'!$A:$A,'New Onboards'!$C:$C,$N11,'New Onboards'!$J:$J,TRUE,'New Onboards'!$I:$I,P$3)"),0.0)</f>
        <v>0</v>
      </c>
      <c r="Q11" s="24">
        <f>IFERROR(__xludf.DUMMYFUNCTION("COUNTUNIQUEIFS('New Onboards'!$A:$A,'New Onboards'!$C:$C,$N11,'New Onboards'!$J:$J,TRUE,'New Onboards'!$I:$I,Q$3)"),0.0)</f>
        <v>0</v>
      </c>
      <c r="R11" s="24">
        <f>IFERROR(__xludf.DUMMYFUNCTION("COUNTUNIQUEIFS('New Onboards'!$A:$A,'New Onboards'!$C:$C,$N11,'New Onboards'!$J:$J,TRUE,'New Onboards'!$I:$I,R$3)"),0.0)</f>
        <v>0</v>
      </c>
      <c r="S11" s="24">
        <f>IFERROR(__xludf.DUMMYFUNCTION("COUNTUNIQUEIFS('New Onboards'!$A:$A,'New Onboards'!$C:$C,$N11,'New Onboards'!$J:$J,TRUE,'New Onboards'!$I:$I,S$3)"),0.0)</f>
        <v>0</v>
      </c>
      <c r="T11" s="24">
        <f>IFERROR(__xludf.DUMMYFUNCTION("COUNTUNIQUEIFS('New Onboards'!$A:$A,'New Onboards'!$C:$C,$N11,'New Onboards'!$J:$J,TRUE,'New Onboards'!$I:$I,T$3)"),0.0)</f>
        <v>0</v>
      </c>
      <c r="U11" s="24">
        <f>IFERROR(__xludf.DUMMYFUNCTION("COUNTUNIQUEIFS('New Onboards'!$A:$A,'New Onboards'!$C:$C,$N11,'New Onboards'!$J:$J,TRUE,'New Onboards'!$I:$I,U$3)"),0.0)</f>
        <v>0</v>
      </c>
      <c r="V11" s="24">
        <f>IFERROR(__xludf.DUMMYFUNCTION("COUNTUNIQUEIFS('New Onboards'!$A:$A,'New Onboards'!$C:$C,$N11,'New Onboards'!$J:$J,TRUE,'New Onboards'!$I:$I,V$3)"),0.0)</f>
        <v>0</v>
      </c>
      <c r="W11" s="24">
        <f>IFERROR(__xludf.DUMMYFUNCTION("COUNTUNIQUEIFS('New Onboards'!$A:$A,'New Onboards'!$C:$C,$N11,'New Onboards'!$J:$J,TRUE,'New Onboards'!$I:$I,W$3)"),0.0)</f>
        <v>0</v>
      </c>
      <c r="X11" s="24">
        <f t="shared" si="6"/>
        <v>0</v>
      </c>
      <c r="Y11" s="24"/>
      <c r="Z11" s="24"/>
      <c r="AA11" s="24"/>
      <c r="AB11" s="24"/>
    </row>
    <row r="12">
      <c r="B12" s="49" t="str">
        <f>IFERROR(__xludf.DUMMYFUNCTION("""COMPUTED_VALUE"""),"Jared M")</f>
        <v>Jared M</v>
      </c>
      <c r="C12" s="24">
        <f>IFERROR(__xludf.DUMMYFUNCTION("COUNTUNIQUEIFS('Claim Sheet'!$A:$A,'Claim Sheet'!$C:$C,$B12,'Claim Sheet'!$M:$M,TRUE,'Claim Sheet'!$K:$K,C$3)"),0.0)</f>
        <v>0</v>
      </c>
      <c r="D12" s="24">
        <f>IFERROR(__xludf.DUMMYFUNCTION("COUNTUNIQUEIFS('Claim Sheet'!$A:$A,'Claim Sheet'!$C:$C,$B12,'Claim Sheet'!$M:$M,TRUE,'Claim Sheet'!$K:$K,D$3)"),0.0)</f>
        <v>0</v>
      </c>
      <c r="E12" s="24">
        <f>IFERROR(__xludf.DUMMYFUNCTION("COUNTUNIQUEIFS('Claim Sheet'!$A:$A,'Claim Sheet'!$C:$C,$B12,'Claim Sheet'!$M:$M,TRUE,'Claim Sheet'!$K:$K,E$3)"),2.0)</f>
        <v>2</v>
      </c>
      <c r="F12" s="24">
        <f>IFERROR(__xludf.DUMMYFUNCTION("COUNTUNIQUEIFS('Claim Sheet'!$A:$A,'Claim Sheet'!$C:$C,$B12,'Claim Sheet'!$M:$M,TRUE,'Claim Sheet'!$K:$K,F$3)"),0.0)</f>
        <v>0</v>
      </c>
      <c r="G12" s="24">
        <f>IFERROR(__xludf.DUMMYFUNCTION("COUNTUNIQUEIFS('Claim Sheet'!$A:$A,'Claim Sheet'!$C:$C,$B12,'Claim Sheet'!$M:$M,TRUE,'Claim Sheet'!$K:$K,G$3)"),0.0)</f>
        <v>0</v>
      </c>
      <c r="H12" s="24">
        <f>IFERROR(__xludf.DUMMYFUNCTION("COUNTUNIQUEIFS('Claim Sheet'!$A:$A,'Claim Sheet'!$C:$C,$B12,'Claim Sheet'!$M:$M,TRUE,'Claim Sheet'!$K:$K,H$3)"),0.0)</f>
        <v>0</v>
      </c>
      <c r="I12" s="24">
        <f>IFERROR(__xludf.DUMMYFUNCTION("COUNTUNIQUEIFS('Claim Sheet'!$A:$A,'Claim Sheet'!$C:$C,$B12,'Claim Sheet'!$M:$M,TRUE,'Claim Sheet'!$K:$K,I$3)"),0.0)</f>
        <v>0</v>
      </c>
      <c r="J12" s="24">
        <f>IFERROR(__xludf.DUMMYFUNCTION("COUNTUNIQUEIFS('Claim Sheet'!$A:$A,'Claim Sheet'!$C:$C,$B12,'Claim Sheet'!$M:$M,TRUE,'Claim Sheet'!$K:$K,J$3)"),0.0)</f>
        <v>0</v>
      </c>
      <c r="K12" s="24">
        <f>IFERROR(__xludf.DUMMYFUNCTION("COUNTUNIQUEIFS('Claim Sheet'!$A:$A,'Claim Sheet'!$C:$C,$B12,'Claim Sheet'!$M:$M,TRUE,'Claim Sheet'!$K:$K,K$3)"),0.0)</f>
        <v>0</v>
      </c>
      <c r="L12" s="24">
        <f t="shared" si="5"/>
        <v>2</v>
      </c>
      <c r="N12" s="49" t="str">
        <f>IFERROR(__xludf.DUMMYFUNCTION("""COMPUTED_VALUE"""),"Nimisha M")</f>
        <v>Nimisha M</v>
      </c>
      <c r="O12" s="24">
        <f>IFERROR(__xludf.DUMMYFUNCTION("COUNTUNIQUEIFS('New Onboards'!$A:$A,'New Onboards'!$C:$C,$N12,'New Onboards'!$J:$J,TRUE,'New Onboards'!$I:$I,O$3)"),0.0)</f>
        <v>0</v>
      </c>
      <c r="P12" s="24">
        <f>IFERROR(__xludf.DUMMYFUNCTION("COUNTUNIQUEIFS('New Onboards'!$A:$A,'New Onboards'!$C:$C,$N12,'New Onboards'!$J:$J,TRUE,'New Onboards'!$I:$I,P$3)"),0.0)</f>
        <v>0</v>
      </c>
      <c r="Q12" s="24">
        <f>IFERROR(__xludf.DUMMYFUNCTION("COUNTUNIQUEIFS('New Onboards'!$A:$A,'New Onboards'!$C:$C,$N12,'New Onboards'!$J:$J,TRUE,'New Onboards'!$I:$I,Q$3)"),0.0)</f>
        <v>0</v>
      </c>
      <c r="R12" s="24">
        <f>IFERROR(__xludf.DUMMYFUNCTION("COUNTUNIQUEIFS('New Onboards'!$A:$A,'New Onboards'!$C:$C,$N12,'New Onboards'!$J:$J,TRUE,'New Onboards'!$I:$I,R$3)"),0.0)</f>
        <v>0</v>
      </c>
      <c r="S12" s="24">
        <f>IFERROR(__xludf.DUMMYFUNCTION("COUNTUNIQUEIFS('New Onboards'!$A:$A,'New Onboards'!$C:$C,$N12,'New Onboards'!$J:$J,TRUE,'New Onboards'!$I:$I,S$3)"),0.0)</f>
        <v>0</v>
      </c>
      <c r="T12" s="24">
        <f>IFERROR(__xludf.DUMMYFUNCTION("COUNTUNIQUEIFS('New Onboards'!$A:$A,'New Onboards'!$C:$C,$N12,'New Onboards'!$J:$J,TRUE,'New Onboards'!$I:$I,T$3)"),0.0)</f>
        <v>0</v>
      </c>
      <c r="U12" s="24">
        <f>IFERROR(__xludf.DUMMYFUNCTION("COUNTUNIQUEIFS('New Onboards'!$A:$A,'New Onboards'!$C:$C,$N12,'New Onboards'!$J:$J,TRUE,'New Onboards'!$I:$I,U$3)"),0.0)</f>
        <v>0</v>
      </c>
      <c r="V12" s="24">
        <f>IFERROR(__xludf.DUMMYFUNCTION("COUNTUNIQUEIFS('New Onboards'!$A:$A,'New Onboards'!$C:$C,$N12,'New Onboards'!$J:$J,TRUE,'New Onboards'!$I:$I,V$3)"),0.0)</f>
        <v>0</v>
      </c>
      <c r="W12" s="24">
        <f>IFERROR(__xludf.DUMMYFUNCTION("COUNTUNIQUEIFS('New Onboards'!$A:$A,'New Onboards'!$C:$C,$N12,'New Onboards'!$J:$J,TRUE,'New Onboards'!$I:$I,W$3)"),0.0)</f>
        <v>0</v>
      </c>
      <c r="X12" s="24">
        <f t="shared" si="6"/>
        <v>0</v>
      </c>
      <c r="Y12" s="24"/>
      <c r="Z12" s="24"/>
      <c r="AA12" s="24"/>
      <c r="AB12" s="24"/>
    </row>
    <row r="13">
      <c r="B13" s="49" t="str">
        <f>IFERROR(__xludf.DUMMYFUNCTION("""COMPUTED_VALUE"""),"John W")</f>
        <v>John W</v>
      </c>
      <c r="C13" s="24">
        <f>IFERROR(__xludf.DUMMYFUNCTION("COUNTUNIQUEIFS('Claim Sheet'!$A:$A,'Claim Sheet'!$C:$C,$B13,'Claim Sheet'!$M:$M,TRUE,'Claim Sheet'!$K:$K,C$3)"),0.0)</f>
        <v>0</v>
      </c>
      <c r="D13" s="24">
        <f>IFERROR(__xludf.DUMMYFUNCTION("COUNTUNIQUEIFS('Claim Sheet'!$A:$A,'Claim Sheet'!$C:$C,$B13,'Claim Sheet'!$M:$M,TRUE,'Claim Sheet'!$K:$K,D$3)"),4.0)</f>
        <v>4</v>
      </c>
      <c r="E13" s="24">
        <f>IFERROR(__xludf.DUMMYFUNCTION("COUNTUNIQUEIFS('Claim Sheet'!$A:$A,'Claim Sheet'!$C:$C,$B13,'Claim Sheet'!$M:$M,TRUE,'Claim Sheet'!$K:$K,E$3)"),0.0)</f>
        <v>0</v>
      </c>
      <c r="F13" s="24">
        <f>IFERROR(__xludf.DUMMYFUNCTION("COUNTUNIQUEIFS('Claim Sheet'!$A:$A,'Claim Sheet'!$C:$C,$B13,'Claim Sheet'!$M:$M,TRUE,'Claim Sheet'!$K:$K,F$3)"),0.0)</f>
        <v>0</v>
      </c>
      <c r="G13" s="24">
        <f>IFERROR(__xludf.DUMMYFUNCTION("COUNTUNIQUEIFS('Claim Sheet'!$A:$A,'Claim Sheet'!$C:$C,$B13,'Claim Sheet'!$M:$M,TRUE,'Claim Sheet'!$K:$K,G$3)"),0.0)</f>
        <v>0</v>
      </c>
      <c r="H13" s="24">
        <f>IFERROR(__xludf.DUMMYFUNCTION("COUNTUNIQUEIFS('Claim Sheet'!$A:$A,'Claim Sheet'!$C:$C,$B13,'Claim Sheet'!$M:$M,TRUE,'Claim Sheet'!$K:$K,H$3)"),0.0)</f>
        <v>0</v>
      </c>
      <c r="I13" s="24">
        <f>IFERROR(__xludf.DUMMYFUNCTION("COUNTUNIQUEIFS('Claim Sheet'!$A:$A,'Claim Sheet'!$C:$C,$B13,'Claim Sheet'!$M:$M,TRUE,'Claim Sheet'!$K:$K,I$3)"),0.0)</f>
        <v>0</v>
      </c>
      <c r="J13" s="24">
        <f>IFERROR(__xludf.DUMMYFUNCTION("COUNTUNIQUEIFS('Claim Sheet'!$A:$A,'Claim Sheet'!$C:$C,$B13,'Claim Sheet'!$M:$M,TRUE,'Claim Sheet'!$K:$K,J$3)"),0.0)</f>
        <v>0</v>
      </c>
      <c r="K13" s="24">
        <f>IFERROR(__xludf.DUMMYFUNCTION("COUNTUNIQUEIFS('Claim Sheet'!$A:$A,'Claim Sheet'!$C:$C,$B13,'Claim Sheet'!$M:$M,TRUE,'Claim Sheet'!$K:$K,K$3)"),0.0)</f>
        <v>0</v>
      </c>
      <c r="L13" s="24">
        <f t="shared" si="5"/>
        <v>4</v>
      </c>
      <c r="N13" s="49" t="str">
        <f>IFERROR(__xludf.DUMMYFUNCTION("""COMPUTED_VALUE"""),"Richards C")</f>
        <v>Richards C</v>
      </c>
      <c r="O13" s="24">
        <f>IFERROR(__xludf.DUMMYFUNCTION("COUNTUNIQUEIFS('New Onboards'!$A:$A,'New Onboards'!$C:$C,$N13,'New Onboards'!$J:$J,TRUE,'New Onboards'!$I:$I,O$3)"),0.0)</f>
        <v>0</v>
      </c>
      <c r="P13" s="24">
        <f>IFERROR(__xludf.DUMMYFUNCTION("COUNTUNIQUEIFS('New Onboards'!$A:$A,'New Onboards'!$C:$C,$N13,'New Onboards'!$J:$J,TRUE,'New Onboards'!$I:$I,P$3)"),0.0)</f>
        <v>0</v>
      </c>
      <c r="Q13" s="24">
        <f>IFERROR(__xludf.DUMMYFUNCTION("COUNTUNIQUEIFS('New Onboards'!$A:$A,'New Onboards'!$C:$C,$N13,'New Onboards'!$J:$J,TRUE,'New Onboards'!$I:$I,Q$3)"),2.0)</f>
        <v>2</v>
      </c>
      <c r="R13" s="24">
        <f>IFERROR(__xludf.DUMMYFUNCTION("COUNTUNIQUEIFS('New Onboards'!$A:$A,'New Onboards'!$C:$C,$N13,'New Onboards'!$J:$J,TRUE,'New Onboards'!$I:$I,R$3)"),0.0)</f>
        <v>0</v>
      </c>
      <c r="S13" s="24">
        <f>IFERROR(__xludf.DUMMYFUNCTION("COUNTUNIQUEIFS('New Onboards'!$A:$A,'New Onboards'!$C:$C,$N13,'New Onboards'!$J:$J,TRUE,'New Onboards'!$I:$I,S$3)"),0.0)</f>
        <v>0</v>
      </c>
      <c r="T13" s="24">
        <f>IFERROR(__xludf.DUMMYFUNCTION("COUNTUNIQUEIFS('New Onboards'!$A:$A,'New Onboards'!$C:$C,$N13,'New Onboards'!$J:$J,TRUE,'New Onboards'!$I:$I,T$3)"),0.0)</f>
        <v>0</v>
      </c>
      <c r="U13" s="24">
        <f>IFERROR(__xludf.DUMMYFUNCTION("COUNTUNIQUEIFS('New Onboards'!$A:$A,'New Onboards'!$C:$C,$N13,'New Onboards'!$J:$J,TRUE,'New Onboards'!$I:$I,U$3)"),0.0)</f>
        <v>0</v>
      </c>
      <c r="V13" s="24">
        <f>IFERROR(__xludf.DUMMYFUNCTION("COUNTUNIQUEIFS('New Onboards'!$A:$A,'New Onboards'!$C:$C,$N13,'New Onboards'!$J:$J,TRUE,'New Onboards'!$I:$I,V$3)"),0.0)</f>
        <v>0</v>
      </c>
      <c r="W13" s="24">
        <f>IFERROR(__xludf.DUMMYFUNCTION("COUNTUNIQUEIFS('New Onboards'!$A:$A,'New Onboards'!$C:$C,$N13,'New Onboards'!$J:$J,TRUE,'New Onboards'!$I:$I,W$3)"),0.0)</f>
        <v>0</v>
      </c>
      <c r="X13" s="24">
        <f t="shared" si="6"/>
        <v>2</v>
      </c>
      <c r="Y13" s="24"/>
      <c r="Z13" s="24"/>
      <c r="AA13" s="24"/>
      <c r="AB13" s="24"/>
    </row>
    <row r="14">
      <c r="B14" s="49" t="str">
        <f>IFERROR(__xludf.DUMMYFUNCTION("""COMPUTED_VALUE"""),"Megan S")</f>
        <v>Megan S</v>
      </c>
      <c r="C14" s="24">
        <f>IFERROR(__xludf.DUMMYFUNCTION("COUNTUNIQUEIFS('Claim Sheet'!$A:$A,'Claim Sheet'!$C:$C,$B14,'Claim Sheet'!$M:$M,TRUE,'Claim Sheet'!$K:$K,C$3)"),0.0)</f>
        <v>0</v>
      </c>
      <c r="D14" s="24">
        <f>IFERROR(__xludf.DUMMYFUNCTION("COUNTUNIQUEIFS('Claim Sheet'!$A:$A,'Claim Sheet'!$C:$C,$B14,'Claim Sheet'!$M:$M,TRUE,'Claim Sheet'!$K:$K,D$3)"),1.0)</f>
        <v>1</v>
      </c>
      <c r="E14" s="24">
        <f>IFERROR(__xludf.DUMMYFUNCTION("COUNTUNIQUEIFS('Claim Sheet'!$A:$A,'Claim Sheet'!$C:$C,$B14,'Claim Sheet'!$M:$M,TRUE,'Claim Sheet'!$K:$K,E$3)"),0.0)</f>
        <v>0</v>
      </c>
      <c r="F14" s="24">
        <f>IFERROR(__xludf.DUMMYFUNCTION("COUNTUNIQUEIFS('Claim Sheet'!$A:$A,'Claim Sheet'!$C:$C,$B14,'Claim Sheet'!$M:$M,TRUE,'Claim Sheet'!$K:$K,F$3)"),0.0)</f>
        <v>0</v>
      </c>
      <c r="G14" s="24">
        <f>IFERROR(__xludf.DUMMYFUNCTION("COUNTUNIQUEIFS('Claim Sheet'!$A:$A,'Claim Sheet'!$C:$C,$B14,'Claim Sheet'!$M:$M,TRUE,'Claim Sheet'!$K:$K,G$3)"),0.0)</f>
        <v>0</v>
      </c>
      <c r="H14" s="24">
        <f>IFERROR(__xludf.DUMMYFUNCTION("COUNTUNIQUEIFS('Claim Sheet'!$A:$A,'Claim Sheet'!$C:$C,$B14,'Claim Sheet'!$M:$M,TRUE,'Claim Sheet'!$K:$K,H$3)"),0.0)</f>
        <v>0</v>
      </c>
      <c r="I14" s="24">
        <f>IFERROR(__xludf.DUMMYFUNCTION("COUNTUNIQUEIFS('Claim Sheet'!$A:$A,'Claim Sheet'!$C:$C,$B14,'Claim Sheet'!$M:$M,TRUE,'Claim Sheet'!$K:$K,I$3)"),0.0)</f>
        <v>0</v>
      </c>
      <c r="J14" s="24">
        <f>IFERROR(__xludf.DUMMYFUNCTION("COUNTUNIQUEIFS('Claim Sheet'!$A:$A,'Claim Sheet'!$C:$C,$B14,'Claim Sheet'!$M:$M,TRUE,'Claim Sheet'!$K:$K,J$3)"),0.0)</f>
        <v>0</v>
      </c>
      <c r="K14" s="24">
        <f>IFERROR(__xludf.DUMMYFUNCTION("COUNTUNIQUEIFS('Claim Sheet'!$A:$A,'Claim Sheet'!$C:$C,$B14,'Claim Sheet'!$M:$M,TRUE,'Claim Sheet'!$K:$K,K$3)"),0.0)</f>
        <v>0</v>
      </c>
      <c r="L14" s="24">
        <f t="shared" si="5"/>
        <v>1</v>
      </c>
      <c r="N14" s="49" t="str">
        <f>IFERROR(__xludf.DUMMYFUNCTION("""COMPUTED_VALUE"""),"Varun B")</f>
        <v>Varun B</v>
      </c>
      <c r="O14" s="24">
        <f>IFERROR(__xludf.DUMMYFUNCTION("COUNTUNIQUEIFS('New Onboards'!$A:$A,'New Onboards'!$C:$C,$N14,'New Onboards'!$J:$J,TRUE,'New Onboards'!$I:$I,O$3)"),0.0)</f>
        <v>0</v>
      </c>
      <c r="P14" s="24">
        <f>IFERROR(__xludf.DUMMYFUNCTION("COUNTUNIQUEIFS('New Onboards'!$A:$A,'New Onboards'!$C:$C,$N14,'New Onboards'!$J:$J,TRUE,'New Onboards'!$I:$I,P$3)"),0.0)</f>
        <v>0</v>
      </c>
      <c r="Q14" s="24">
        <f>IFERROR(__xludf.DUMMYFUNCTION("COUNTUNIQUEIFS('New Onboards'!$A:$A,'New Onboards'!$C:$C,$N14,'New Onboards'!$J:$J,TRUE,'New Onboards'!$I:$I,Q$3)"),0.0)</f>
        <v>0</v>
      </c>
      <c r="R14" s="24">
        <f>IFERROR(__xludf.DUMMYFUNCTION("COUNTUNIQUEIFS('New Onboards'!$A:$A,'New Onboards'!$C:$C,$N14,'New Onboards'!$J:$J,TRUE,'New Onboards'!$I:$I,R$3)"),0.0)</f>
        <v>0</v>
      </c>
      <c r="S14" s="24">
        <f>IFERROR(__xludf.DUMMYFUNCTION("COUNTUNIQUEIFS('New Onboards'!$A:$A,'New Onboards'!$C:$C,$N14,'New Onboards'!$J:$J,TRUE,'New Onboards'!$I:$I,S$3)"),0.0)</f>
        <v>0</v>
      </c>
      <c r="T14" s="24">
        <f>IFERROR(__xludf.DUMMYFUNCTION("COUNTUNIQUEIFS('New Onboards'!$A:$A,'New Onboards'!$C:$C,$N14,'New Onboards'!$J:$J,TRUE,'New Onboards'!$I:$I,T$3)"),0.0)</f>
        <v>0</v>
      </c>
      <c r="U14" s="24">
        <f>IFERROR(__xludf.DUMMYFUNCTION("COUNTUNIQUEIFS('New Onboards'!$A:$A,'New Onboards'!$C:$C,$N14,'New Onboards'!$J:$J,TRUE,'New Onboards'!$I:$I,U$3)"),0.0)</f>
        <v>0</v>
      </c>
      <c r="V14" s="24">
        <f>IFERROR(__xludf.DUMMYFUNCTION("COUNTUNIQUEIFS('New Onboards'!$A:$A,'New Onboards'!$C:$C,$N14,'New Onboards'!$J:$J,TRUE,'New Onboards'!$I:$I,V$3)"),0.0)</f>
        <v>0</v>
      </c>
      <c r="W14" s="24">
        <f>IFERROR(__xludf.DUMMYFUNCTION("COUNTUNIQUEIFS('New Onboards'!$A:$A,'New Onboards'!$C:$C,$N14,'New Onboards'!$J:$J,TRUE,'New Onboards'!$I:$I,W$3)"),0.0)</f>
        <v>0</v>
      </c>
      <c r="X14" s="24">
        <f t="shared" si="6"/>
        <v>0</v>
      </c>
    </row>
    <row r="15">
      <c r="B15" s="49" t="str">
        <f>IFERROR(__xludf.DUMMYFUNCTION("""COMPUTED_VALUE"""),"Nadine M")</f>
        <v>Nadine M</v>
      </c>
      <c r="C15" s="24">
        <f>IFERROR(__xludf.DUMMYFUNCTION("COUNTUNIQUEIFS('Claim Sheet'!$A:$A,'Claim Sheet'!$C:$C,$B15,'Claim Sheet'!$M:$M,TRUE,'Claim Sheet'!$K:$K,C$3)"),0.0)</f>
        <v>0</v>
      </c>
      <c r="D15" s="24">
        <f>IFERROR(__xludf.DUMMYFUNCTION("COUNTUNIQUEIFS('Claim Sheet'!$A:$A,'Claim Sheet'!$C:$C,$B15,'Claim Sheet'!$M:$M,TRUE,'Claim Sheet'!$K:$K,D$3)"),0.0)</f>
        <v>0</v>
      </c>
      <c r="E15" s="24">
        <f>IFERROR(__xludf.DUMMYFUNCTION("COUNTUNIQUEIFS('Claim Sheet'!$A:$A,'Claim Sheet'!$C:$C,$B15,'Claim Sheet'!$M:$M,TRUE,'Claim Sheet'!$K:$K,E$3)"),1.0)</f>
        <v>1</v>
      </c>
      <c r="F15" s="24">
        <f>IFERROR(__xludf.DUMMYFUNCTION("COUNTUNIQUEIFS('Claim Sheet'!$A:$A,'Claim Sheet'!$C:$C,$B15,'Claim Sheet'!$M:$M,TRUE,'Claim Sheet'!$K:$K,F$3)"),0.0)</f>
        <v>0</v>
      </c>
      <c r="G15" s="24">
        <f>IFERROR(__xludf.DUMMYFUNCTION("COUNTUNIQUEIFS('Claim Sheet'!$A:$A,'Claim Sheet'!$C:$C,$B15,'Claim Sheet'!$M:$M,TRUE,'Claim Sheet'!$K:$K,G$3)"),0.0)</f>
        <v>0</v>
      </c>
      <c r="H15" s="24">
        <f>IFERROR(__xludf.DUMMYFUNCTION("COUNTUNIQUEIFS('Claim Sheet'!$A:$A,'Claim Sheet'!$C:$C,$B15,'Claim Sheet'!$M:$M,TRUE,'Claim Sheet'!$K:$K,H$3)"),0.0)</f>
        <v>0</v>
      </c>
      <c r="I15" s="24">
        <f>IFERROR(__xludf.DUMMYFUNCTION("COUNTUNIQUEIFS('Claim Sheet'!$A:$A,'Claim Sheet'!$C:$C,$B15,'Claim Sheet'!$M:$M,TRUE,'Claim Sheet'!$K:$K,I$3)"),0.0)</f>
        <v>0</v>
      </c>
      <c r="J15" s="24">
        <f>IFERROR(__xludf.DUMMYFUNCTION("COUNTUNIQUEIFS('Claim Sheet'!$A:$A,'Claim Sheet'!$C:$C,$B15,'Claim Sheet'!$M:$M,TRUE,'Claim Sheet'!$K:$K,J$3)"),0.0)</f>
        <v>0</v>
      </c>
      <c r="K15" s="24">
        <f>IFERROR(__xludf.DUMMYFUNCTION("COUNTUNIQUEIFS('Claim Sheet'!$A:$A,'Claim Sheet'!$C:$C,$B15,'Claim Sheet'!$M:$M,TRUE,'Claim Sheet'!$K:$K,K$3)"),0.0)</f>
        <v>0</v>
      </c>
      <c r="L15" s="24">
        <f t="shared" si="5"/>
        <v>1</v>
      </c>
    </row>
    <row r="16">
      <c r="B16" s="49" t="str">
        <f>IFERROR(__xludf.DUMMYFUNCTION("""COMPUTED_VALUE"""),"Pragyat A")</f>
        <v>Pragyat A</v>
      </c>
      <c r="C16" s="24">
        <f>IFERROR(__xludf.DUMMYFUNCTION("COUNTUNIQUEIFS('Claim Sheet'!$A:$A,'Claim Sheet'!$C:$C,$B16,'Claim Sheet'!$M:$M,TRUE,'Claim Sheet'!$K:$K,C$3)"),2.0)</f>
        <v>2</v>
      </c>
      <c r="D16" s="24">
        <f>IFERROR(__xludf.DUMMYFUNCTION("COUNTUNIQUEIFS('Claim Sheet'!$A:$A,'Claim Sheet'!$C:$C,$B16,'Claim Sheet'!$M:$M,TRUE,'Claim Sheet'!$K:$K,D$3)"),0.0)</f>
        <v>0</v>
      </c>
      <c r="E16" s="24">
        <f>IFERROR(__xludf.DUMMYFUNCTION("COUNTUNIQUEIFS('Claim Sheet'!$A:$A,'Claim Sheet'!$C:$C,$B16,'Claim Sheet'!$M:$M,TRUE,'Claim Sheet'!$K:$K,E$3)"),0.0)</f>
        <v>0</v>
      </c>
      <c r="F16" s="24">
        <f>IFERROR(__xludf.DUMMYFUNCTION("COUNTUNIQUEIFS('Claim Sheet'!$A:$A,'Claim Sheet'!$C:$C,$B16,'Claim Sheet'!$M:$M,TRUE,'Claim Sheet'!$K:$K,F$3)"),0.0)</f>
        <v>0</v>
      </c>
      <c r="G16" s="24">
        <f>IFERROR(__xludf.DUMMYFUNCTION("COUNTUNIQUEIFS('Claim Sheet'!$A:$A,'Claim Sheet'!$C:$C,$B16,'Claim Sheet'!$M:$M,TRUE,'Claim Sheet'!$K:$K,G$3)"),0.0)</f>
        <v>0</v>
      </c>
      <c r="H16" s="24">
        <f>IFERROR(__xludf.DUMMYFUNCTION("COUNTUNIQUEIFS('Claim Sheet'!$A:$A,'Claim Sheet'!$C:$C,$B16,'Claim Sheet'!$M:$M,TRUE,'Claim Sheet'!$K:$K,H$3)"),0.0)</f>
        <v>0</v>
      </c>
      <c r="I16" s="24">
        <f>IFERROR(__xludf.DUMMYFUNCTION("COUNTUNIQUEIFS('Claim Sheet'!$A:$A,'Claim Sheet'!$C:$C,$B16,'Claim Sheet'!$M:$M,TRUE,'Claim Sheet'!$K:$K,I$3)"),0.0)</f>
        <v>0</v>
      </c>
      <c r="J16" s="24">
        <f>IFERROR(__xludf.DUMMYFUNCTION("COUNTUNIQUEIFS('Claim Sheet'!$A:$A,'Claim Sheet'!$C:$C,$B16,'Claim Sheet'!$M:$M,TRUE,'Claim Sheet'!$K:$K,J$3)"),0.0)</f>
        <v>0</v>
      </c>
      <c r="K16" s="24">
        <f>IFERROR(__xludf.DUMMYFUNCTION("COUNTUNIQUEIFS('Claim Sheet'!$A:$A,'Claim Sheet'!$C:$C,$B16,'Claim Sheet'!$M:$M,TRUE,'Claim Sheet'!$K:$K,K$3)"),0.0)</f>
        <v>0</v>
      </c>
      <c r="L16" s="24">
        <f t="shared" si="5"/>
        <v>2</v>
      </c>
    </row>
    <row r="17">
      <c r="B17" s="49" t="str">
        <f>IFERROR(__xludf.DUMMYFUNCTION("""COMPUTED_VALUE"""),"Spencer H")</f>
        <v>Spencer H</v>
      </c>
      <c r="C17" s="24">
        <f>IFERROR(__xludf.DUMMYFUNCTION("COUNTUNIQUEIFS('Claim Sheet'!$A:$A,'Claim Sheet'!$C:$C,$B17,'Claim Sheet'!$M:$M,TRUE,'Claim Sheet'!$K:$K,C$3)"),0.0)</f>
        <v>0</v>
      </c>
      <c r="D17" s="24">
        <f>IFERROR(__xludf.DUMMYFUNCTION("COUNTUNIQUEIFS('Claim Sheet'!$A:$A,'Claim Sheet'!$C:$C,$B17,'Claim Sheet'!$M:$M,TRUE,'Claim Sheet'!$K:$K,D$3)"),0.0)</f>
        <v>0</v>
      </c>
      <c r="E17" s="24">
        <f>IFERROR(__xludf.DUMMYFUNCTION("COUNTUNIQUEIFS('Claim Sheet'!$A:$A,'Claim Sheet'!$C:$C,$B17,'Claim Sheet'!$M:$M,TRUE,'Claim Sheet'!$K:$K,E$3)"),8.0)</f>
        <v>8</v>
      </c>
      <c r="F17" s="24">
        <f>IFERROR(__xludf.DUMMYFUNCTION("COUNTUNIQUEIFS('Claim Sheet'!$A:$A,'Claim Sheet'!$C:$C,$B17,'Claim Sheet'!$M:$M,TRUE,'Claim Sheet'!$K:$K,F$3)"),0.0)</f>
        <v>0</v>
      </c>
      <c r="G17" s="24">
        <f>IFERROR(__xludf.DUMMYFUNCTION("COUNTUNIQUEIFS('Claim Sheet'!$A:$A,'Claim Sheet'!$C:$C,$B17,'Claim Sheet'!$M:$M,TRUE,'Claim Sheet'!$K:$K,G$3)"),0.0)</f>
        <v>0</v>
      </c>
      <c r="H17" s="24">
        <f>IFERROR(__xludf.DUMMYFUNCTION("COUNTUNIQUEIFS('Claim Sheet'!$A:$A,'Claim Sheet'!$C:$C,$B17,'Claim Sheet'!$M:$M,TRUE,'Claim Sheet'!$K:$K,H$3)"),0.0)</f>
        <v>0</v>
      </c>
      <c r="I17" s="24">
        <f>IFERROR(__xludf.DUMMYFUNCTION("COUNTUNIQUEIFS('Claim Sheet'!$A:$A,'Claim Sheet'!$C:$C,$B17,'Claim Sheet'!$M:$M,TRUE,'Claim Sheet'!$K:$K,I$3)"),0.0)</f>
        <v>0</v>
      </c>
      <c r="J17" s="24">
        <f>IFERROR(__xludf.DUMMYFUNCTION("COUNTUNIQUEIFS('Claim Sheet'!$A:$A,'Claim Sheet'!$C:$C,$B17,'Claim Sheet'!$M:$M,TRUE,'Claim Sheet'!$K:$K,J$3)"),0.0)</f>
        <v>0</v>
      </c>
      <c r="K17" s="24">
        <f>IFERROR(__xludf.DUMMYFUNCTION("COUNTUNIQUEIFS('Claim Sheet'!$A:$A,'Claim Sheet'!$C:$C,$B17,'Claim Sheet'!$M:$M,TRUE,'Claim Sheet'!$K:$K,K$3)"),0.0)</f>
        <v>0</v>
      </c>
      <c r="L17" s="24">
        <f t="shared" si="5"/>
        <v>8</v>
      </c>
    </row>
  </sheetData>
  <conditionalFormatting sqref="C4:K999 O4:W14">
    <cfRule type="cellIs" dxfId="0" priority="1" operator="equal">
      <formula>0</formula>
    </cfRule>
  </conditionalFormatting>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0"/>
    <col customWidth="1" min="2" max="2" width="16.0"/>
    <col customWidth="1" min="3" max="3" width="20.0"/>
    <col customWidth="1" min="4" max="4" width="18.88"/>
    <col customWidth="1" min="5" max="5" width="9.88"/>
    <col customWidth="1" min="6" max="6" width="14.0"/>
    <col customWidth="1" min="7" max="7" width="14.75"/>
    <col customWidth="1" min="8" max="9" width="13.75"/>
    <col customWidth="1" min="10" max="10" width="13.63"/>
    <col customWidth="1" min="11" max="11" width="13.75"/>
    <col customWidth="1" min="12" max="12" width="21.38"/>
    <col customWidth="1" min="13" max="13" width="21.25"/>
    <col customWidth="1" min="14" max="14" width="15.88"/>
    <col customWidth="1" min="15" max="15" width="20.63"/>
    <col customWidth="1" min="16" max="16" width="34.88"/>
  </cols>
  <sheetData>
    <row r="1">
      <c r="A1" s="35" t="s">
        <v>0</v>
      </c>
      <c r="B1" s="35" t="s">
        <v>1</v>
      </c>
      <c r="C1" s="35" t="s">
        <v>242</v>
      </c>
      <c r="D1" s="35" t="s">
        <v>3</v>
      </c>
      <c r="E1" s="35" t="s">
        <v>4</v>
      </c>
      <c r="F1" s="35" t="s">
        <v>5</v>
      </c>
      <c r="G1" s="50" t="s">
        <v>5</v>
      </c>
      <c r="H1" s="35" t="s">
        <v>7</v>
      </c>
      <c r="I1" s="36" t="s">
        <v>8</v>
      </c>
      <c r="J1" s="35" t="s">
        <v>9</v>
      </c>
      <c r="K1" s="35" t="s">
        <v>11</v>
      </c>
      <c r="L1" s="35" t="s">
        <v>307</v>
      </c>
      <c r="M1" s="35" t="s">
        <v>308</v>
      </c>
      <c r="N1" s="37" t="s">
        <v>243</v>
      </c>
      <c r="O1" s="37" t="s">
        <v>244</v>
      </c>
      <c r="P1" s="38" t="s">
        <v>245</v>
      </c>
      <c r="Q1" s="51"/>
      <c r="R1" s="51"/>
      <c r="S1" s="51"/>
      <c r="T1" s="51"/>
      <c r="U1" s="51"/>
      <c r="V1" s="51"/>
      <c r="W1" s="51"/>
    </row>
    <row r="2">
      <c r="A2" s="4" t="s">
        <v>177</v>
      </c>
      <c r="B2" s="5" t="str">
        <f t="shared" ref="B2:B20" si="1">concat("https://www.tsip.ai/force/",A2)</f>
        <v>https://www.tsip.ai/force/455a84b6-0dec-4e36-9f0c-a49a25261eda</v>
      </c>
      <c r="C2" s="6"/>
      <c r="D2" s="4"/>
      <c r="E2" s="4"/>
      <c r="F2" s="9"/>
      <c r="G2" s="9"/>
      <c r="H2" s="9"/>
      <c r="I2" s="9"/>
      <c r="J2" s="4"/>
      <c r="K2" s="4" t="b">
        <v>0</v>
      </c>
      <c r="M2" s="4" t="b">
        <v>0</v>
      </c>
      <c r="O2" s="4"/>
    </row>
    <row r="3">
      <c r="A3" s="4" t="s">
        <v>179</v>
      </c>
      <c r="B3" s="5" t="str">
        <f t="shared" si="1"/>
        <v>https://www.tsip.ai/force/e3c878e1-31cc-44a5-9d12-3045a0475fdd</v>
      </c>
      <c r="C3" s="6"/>
      <c r="D3" s="4"/>
      <c r="E3" s="4"/>
      <c r="F3" s="9"/>
      <c r="G3" s="9"/>
      <c r="H3" s="9"/>
      <c r="I3" s="9"/>
      <c r="J3" s="4"/>
      <c r="K3" s="4" t="b">
        <v>0</v>
      </c>
      <c r="M3" s="4" t="b">
        <v>0</v>
      </c>
      <c r="O3" s="4"/>
    </row>
    <row r="4">
      <c r="A4" s="4" t="s">
        <v>180</v>
      </c>
      <c r="B4" s="5" t="str">
        <f t="shared" si="1"/>
        <v>https://www.tsip.ai/force/36ab5d58-e3a7-40e2-9388-e1d156a775f7</v>
      </c>
      <c r="D4" s="4"/>
      <c r="E4" s="4"/>
      <c r="F4" s="9"/>
      <c r="G4" s="9"/>
      <c r="H4" s="9"/>
      <c r="I4" s="9"/>
      <c r="J4" s="4"/>
      <c r="K4" s="4" t="b">
        <v>0</v>
      </c>
      <c r="M4" s="4" t="b">
        <v>0</v>
      </c>
      <c r="O4" s="4"/>
    </row>
    <row r="5">
      <c r="A5" s="4" t="s">
        <v>172</v>
      </c>
      <c r="B5" s="5" t="str">
        <f t="shared" si="1"/>
        <v>https://www.tsip.ai/force/bcdd0085-aeb2-483b-937b-3eca8c90a71a</v>
      </c>
      <c r="C5" s="7" t="s">
        <v>309</v>
      </c>
      <c r="D5" s="4"/>
      <c r="E5" s="4"/>
      <c r="F5" s="9"/>
      <c r="G5" s="9"/>
      <c r="H5" s="9"/>
      <c r="I5" s="9"/>
      <c r="J5" s="4"/>
      <c r="K5" s="4" t="b">
        <v>0</v>
      </c>
      <c r="M5" s="4" t="b">
        <v>0</v>
      </c>
      <c r="O5" s="4"/>
    </row>
    <row r="6">
      <c r="A6" s="4" t="s">
        <v>310</v>
      </c>
      <c r="B6" s="5" t="str">
        <f t="shared" si="1"/>
        <v>https://www.tsip.ai/force/1c85bdc2-97c0-46f9-bdc1-09c3c8216c0e</v>
      </c>
      <c r="C6" s="7" t="s">
        <v>309</v>
      </c>
      <c r="D6" s="4"/>
      <c r="E6" s="4"/>
      <c r="F6" s="9"/>
      <c r="G6" s="9"/>
      <c r="H6" s="9"/>
      <c r="I6" s="9"/>
      <c r="J6" s="4"/>
      <c r="K6" s="4" t="b">
        <v>0</v>
      </c>
      <c r="M6" s="4" t="b">
        <v>0</v>
      </c>
      <c r="O6" s="4"/>
    </row>
    <row r="7">
      <c r="A7" s="4" t="s">
        <v>12</v>
      </c>
      <c r="B7" s="5" t="str">
        <f t="shared" si="1"/>
        <v>https://www.tsip.ai/force/7a807980-2578-4689-9a0a-784ea3d33e86</v>
      </c>
      <c r="F7" s="9"/>
      <c r="G7" s="9"/>
      <c r="H7" s="9"/>
      <c r="I7" s="9"/>
      <c r="K7" s="4" t="b">
        <v>0</v>
      </c>
      <c r="M7" s="4" t="b">
        <v>0</v>
      </c>
      <c r="O7" s="4"/>
    </row>
    <row r="8">
      <c r="A8" s="4" t="s">
        <v>16</v>
      </c>
      <c r="B8" s="5" t="str">
        <f t="shared" si="1"/>
        <v>https://www.tsip.ai/force/44ac67cb-1bb6-4667-8756-b22d439ca759</v>
      </c>
      <c r="F8" s="9"/>
      <c r="G8" s="9"/>
      <c r="H8" s="9"/>
      <c r="I8" s="9"/>
      <c r="K8" s="4" t="b">
        <v>0</v>
      </c>
      <c r="M8" s="4" t="b">
        <v>0</v>
      </c>
      <c r="O8" s="4"/>
    </row>
    <row r="9">
      <c r="A9" s="4" t="s">
        <v>19</v>
      </c>
      <c r="B9" s="5" t="str">
        <f t="shared" si="1"/>
        <v>https://www.tsip.ai/force/65be1d3a-83f6-4e28-9f85-b3a419a84fd6</v>
      </c>
      <c r="F9" s="9"/>
      <c r="G9" s="9"/>
      <c r="H9" s="9"/>
      <c r="I9" s="9"/>
      <c r="K9" s="4" t="b">
        <v>0</v>
      </c>
      <c r="M9" s="4" t="b">
        <v>0</v>
      </c>
      <c r="O9" s="4"/>
    </row>
    <row r="10">
      <c r="A10" s="4" t="s">
        <v>22</v>
      </c>
      <c r="B10" s="5" t="str">
        <f t="shared" si="1"/>
        <v>https://www.tsip.ai/force/2f1fdba6-a805-483f-810e-035773eb691d</v>
      </c>
      <c r="F10" s="9"/>
      <c r="G10" s="9"/>
      <c r="H10" s="9"/>
      <c r="I10" s="9"/>
      <c r="K10" s="4" t="b">
        <v>0</v>
      </c>
      <c r="M10" s="4" t="b">
        <v>0</v>
      </c>
      <c r="O10" s="4"/>
    </row>
    <row r="11">
      <c r="A11" s="4" t="s">
        <v>46</v>
      </c>
      <c r="B11" s="5" t="str">
        <f t="shared" si="1"/>
        <v>https://www.tsip.ai/force/e66fa748-66f4-4f25-b521-834f0ba81ff4</v>
      </c>
      <c r="D11" s="4" t="s">
        <v>311</v>
      </c>
      <c r="E11" s="24"/>
      <c r="F11" s="24"/>
      <c r="G11" s="29"/>
      <c r="H11" s="52"/>
      <c r="I11" s="5"/>
      <c r="J11" s="19">
        <v>46154.0</v>
      </c>
      <c r="K11" s="52" t="b">
        <v>1</v>
      </c>
      <c r="L11" s="13"/>
      <c r="M11" s="4" t="b">
        <v>0</v>
      </c>
      <c r="N11" s="4" t="s">
        <v>312</v>
      </c>
      <c r="O11" s="24">
        <v>2.0</v>
      </c>
      <c r="P11" s="53" t="s">
        <v>313</v>
      </c>
    </row>
    <row r="12">
      <c r="A12" s="4" t="s">
        <v>49</v>
      </c>
      <c r="B12" s="5" t="str">
        <f t="shared" si="1"/>
        <v>https://www.tsip.ai/force/90bbed8a-b185-4f3d-96d0-b1527582ae9b</v>
      </c>
      <c r="D12" s="4" t="s">
        <v>314</v>
      </c>
      <c r="E12" s="24"/>
      <c r="F12" s="24"/>
      <c r="G12" s="29"/>
      <c r="H12" s="52"/>
      <c r="I12" s="5"/>
      <c r="J12" s="19">
        <v>46154.0</v>
      </c>
      <c r="K12" s="52" t="b">
        <v>1</v>
      </c>
      <c r="L12" s="13"/>
      <c r="M12" s="4" t="b">
        <v>0</v>
      </c>
      <c r="N12" s="4" t="s">
        <v>315</v>
      </c>
      <c r="O12" s="4"/>
      <c r="P12" s="4"/>
    </row>
    <row r="13">
      <c r="A13" s="4" t="s">
        <v>60</v>
      </c>
      <c r="B13" s="5" t="str">
        <f t="shared" si="1"/>
        <v>https://www.tsip.ai/force/a2cea33d-12d0-44ca-a889-a81ace87c570</v>
      </c>
      <c r="D13" s="4" t="s">
        <v>316</v>
      </c>
      <c r="E13" s="24"/>
      <c r="F13" s="24"/>
      <c r="G13" s="29"/>
      <c r="H13" s="52"/>
      <c r="I13" s="5"/>
      <c r="J13" s="19">
        <v>46155.0</v>
      </c>
      <c r="K13" s="52" t="b">
        <v>1</v>
      </c>
      <c r="L13" s="13"/>
      <c r="M13" s="4" t="b">
        <v>0</v>
      </c>
      <c r="N13" s="8" t="s">
        <v>317</v>
      </c>
      <c r="O13" s="4"/>
      <c r="P13" s="4"/>
    </row>
    <row r="14">
      <c r="A14" s="4" t="s">
        <v>112</v>
      </c>
      <c r="B14" s="5" t="str">
        <f t="shared" si="1"/>
        <v>https://www.tsip.ai/force/8d6779ec-df84-4fcb-8d42-17100bec979c</v>
      </c>
      <c r="D14" s="4" t="s">
        <v>318</v>
      </c>
      <c r="E14" s="24"/>
      <c r="F14" s="24"/>
      <c r="G14" s="29"/>
      <c r="H14" s="52"/>
      <c r="I14" s="5"/>
      <c r="J14" s="19">
        <v>46155.0</v>
      </c>
      <c r="K14" s="52" t="b">
        <v>1</v>
      </c>
      <c r="L14" s="13"/>
      <c r="M14" s="8" t="b">
        <v>1</v>
      </c>
      <c r="N14" s="4" t="s">
        <v>312</v>
      </c>
      <c r="O14" s="24">
        <v>2.0</v>
      </c>
      <c r="P14" s="53" t="s">
        <v>319</v>
      </c>
    </row>
    <row r="15">
      <c r="A15" s="4" t="s">
        <v>116</v>
      </c>
      <c r="B15" s="5" t="str">
        <f t="shared" si="1"/>
        <v>https://www.tsip.ai/force/6be2cad2-d839-433a-837f-ead416902d88</v>
      </c>
      <c r="D15" s="4" t="s">
        <v>320</v>
      </c>
      <c r="E15" s="24"/>
      <c r="F15" s="24"/>
      <c r="G15" s="29"/>
      <c r="H15" s="52"/>
      <c r="I15" s="5"/>
      <c r="J15" s="19">
        <v>46156.0</v>
      </c>
      <c r="K15" s="52" t="b">
        <v>1</v>
      </c>
      <c r="L15" s="13"/>
      <c r="M15" s="4" t="b">
        <v>0</v>
      </c>
      <c r="N15" s="4" t="s">
        <v>312</v>
      </c>
      <c r="O15" s="4"/>
      <c r="P15" s="53" t="s">
        <v>321</v>
      </c>
    </row>
    <row r="16">
      <c r="A16" s="4" t="s">
        <v>22</v>
      </c>
      <c r="B16" s="5" t="str">
        <f t="shared" si="1"/>
        <v>https://www.tsip.ai/force/2f1fdba6-a805-483f-810e-035773eb691d</v>
      </c>
      <c r="D16" s="4"/>
      <c r="E16" s="4"/>
      <c r="F16" s="24"/>
      <c r="G16" s="29"/>
      <c r="H16" s="52"/>
      <c r="I16" s="5"/>
      <c r="J16" s="4"/>
      <c r="K16" s="52" t="b">
        <v>0</v>
      </c>
      <c r="L16" s="13"/>
      <c r="M16" s="4" t="b">
        <v>0</v>
      </c>
      <c r="N16" s="4"/>
      <c r="O16" s="4"/>
      <c r="P16" s="4"/>
    </row>
    <row r="17">
      <c r="A17" s="4" t="s">
        <v>33</v>
      </c>
      <c r="B17" s="5" t="str">
        <f t="shared" si="1"/>
        <v>https://www.tsip.ai/force/bc059c29-6c77-45f1-8172-fdbe6d1c4d42</v>
      </c>
      <c r="D17" s="4"/>
      <c r="E17" s="4"/>
      <c r="F17" s="24"/>
      <c r="G17" s="29"/>
      <c r="H17" s="52"/>
      <c r="I17" s="5"/>
      <c r="J17" s="4"/>
      <c r="K17" s="52" t="b">
        <v>0</v>
      </c>
      <c r="L17" s="13"/>
      <c r="M17" s="4" t="b">
        <v>0</v>
      </c>
      <c r="N17" s="4"/>
      <c r="O17" s="4"/>
      <c r="P17" s="4"/>
    </row>
    <row r="18">
      <c r="A18" s="4" t="s">
        <v>172</v>
      </c>
      <c r="B18" s="5" t="str">
        <f t="shared" si="1"/>
        <v>https://www.tsip.ai/force/bcdd0085-aeb2-483b-937b-3eca8c90a71a</v>
      </c>
      <c r="D18" s="4" t="s">
        <v>322</v>
      </c>
      <c r="E18" s="24"/>
      <c r="F18" s="24"/>
      <c r="G18" s="29"/>
      <c r="H18" s="52"/>
      <c r="I18" s="5"/>
      <c r="J18" s="19">
        <v>46155.0</v>
      </c>
      <c r="K18" s="52" t="b">
        <v>1</v>
      </c>
      <c r="L18" s="13"/>
      <c r="M18" s="4" t="b">
        <v>0</v>
      </c>
      <c r="N18" s="4" t="s">
        <v>312</v>
      </c>
      <c r="O18" s="24">
        <v>2.0</v>
      </c>
      <c r="P18" s="53" t="s">
        <v>323</v>
      </c>
    </row>
    <row r="19">
      <c r="A19" s="4" t="s">
        <v>45</v>
      </c>
      <c r="B19" s="5" t="str">
        <f t="shared" si="1"/>
        <v>https://www.tsip.ai/force/cf573523-a0a1-40fb-ad40-b6b41b27ae3d</v>
      </c>
      <c r="D19" s="4"/>
      <c r="E19" s="4"/>
      <c r="F19" s="24"/>
      <c r="G19" s="29"/>
      <c r="H19" s="52"/>
      <c r="I19" s="5"/>
      <c r="J19" s="4"/>
      <c r="K19" s="52" t="b">
        <v>0</v>
      </c>
      <c r="L19" s="13"/>
      <c r="M19" s="4" t="b">
        <v>0</v>
      </c>
      <c r="N19" s="4"/>
      <c r="O19" s="4"/>
      <c r="P19" s="4"/>
    </row>
    <row r="20">
      <c r="A20" s="4" t="s">
        <v>174</v>
      </c>
      <c r="B20" s="5" t="str">
        <f t="shared" si="1"/>
        <v>https://www.tsip.ai/force/ecea9d6b-d4fa-4ceb-9612-428e69c57930</v>
      </c>
      <c r="D20" s="4" t="s">
        <v>324</v>
      </c>
      <c r="E20" s="24"/>
      <c r="F20" s="24"/>
      <c r="G20" s="29"/>
      <c r="H20" s="52"/>
      <c r="I20" s="5"/>
      <c r="J20" s="19">
        <v>46160.0</v>
      </c>
      <c r="K20" s="52" t="b">
        <v>1</v>
      </c>
      <c r="L20" s="13"/>
      <c r="M20" s="4" t="b">
        <v>0</v>
      </c>
      <c r="N20" s="8" t="s">
        <v>312</v>
      </c>
      <c r="O20" s="8">
        <v>4.0</v>
      </c>
      <c r="P20" s="4"/>
    </row>
  </sheetData>
  <dataValidations>
    <dataValidation type="list" allowBlank="1" showErrorMessage="1" sqref="O2:O20">
      <formula1>"1,2,3,4,5"</formula1>
    </dataValidation>
  </dataValidations>
  <hyperlinks>
    <hyperlink r:id="rId1" ref="P11"/>
    <hyperlink r:id="rId2" ref="P14"/>
    <hyperlink r:id="rId3" ref="P15"/>
    <hyperlink r:id="rId4" ref="P18"/>
  </hyperlinks>
  <drawing r:id="rId5"/>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54"/>
      <c r="B1" s="55" t="s">
        <v>325</v>
      </c>
      <c r="C1" s="55" t="s">
        <v>2</v>
      </c>
      <c r="D1" s="55" t="s">
        <v>1</v>
      </c>
      <c r="E1" s="55" t="s">
        <v>326</v>
      </c>
      <c r="F1" s="55" t="s">
        <v>327</v>
      </c>
      <c r="G1" s="55" t="s">
        <v>328</v>
      </c>
      <c r="H1" s="55" t="s">
        <v>329</v>
      </c>
      <c r="I1" s="55" t="s">
        <v>330</v>
      </c>
      <c r="J1" s="55" t="s">
        <v>331</v>
      </c>
      <c r="K1" s="56" t="s">
        <v>332</v>
      </c>
      <c r="L1" s="56" t="s">
        <v>333</v>
      </c>
      <c r="M1" s="56" t="s">
        <v>334</v>
      </c>
      <c r="N1" s="57" t="s">
        <v>335</v>
      </c>
      <c r="O1" s="57" t="s">
        <v>334</v>
      </c>
    </row>
    <row r="2">
      <c r="A2" s="4" t="s">
        <v>336</v>
      </c>
      <c r="B2" s="4" t="s">
        <v>337</v>
      </c>
      <c r="C2" s="58" t="s">
        <v>62</v>
      </c>
      <c r="D2" s="59" t="str">
        <f t="shared" ref="D2:D31" si="1">concat("https://www.tsip.ai/force/",A2)</f>
        <v>https://www.tsip.ai/force/89eae8f1-dc6f-4145-a072-f056af902c05</v>
      </c>
      <c r="E2" s="52" t="b">
        <v>1</v>
      </c>
      <c r="F2" s="19">
        <v>46161.0</v>
      </c>
      <c r="G2" s="24">
        <v>50.0</v>
      </c>
      <c r="H2" s="52" t="b">
        <v>0</v>
      </c>
      <c r="I2" s="60"/>
      <c r="J2" s="4"/>
      <c r="K2" s="59" t="str">
        <f t="shared" ref="K2:K31" si="2">"https://admin.tsip.ai/tasks/"&amp;A2</f>
        <v>https://admin.tsip.ai/tasks/89eae8f1-dc6f-4145-a072-f056af902c05</v>
      </c>
      <c r="L2" s="52" t="b">
        <v>0</v>
      </c>
      <c r="M2" s="4"/>
      <c r="N2" s="61"/>
      <c r="O2" s="4"/>
    </row>
    <row r="3">
      <c r="A3" s="4" t="s">
        <v>338</v>
      </c>
      <c r="B3" s="4" t="s">
        <v>339</v>
      </c>
      <c r="C3" s="58" t="s">
        <v>62</v>
      </c>
      <c r="D3" s="59" t="str">
        <f t="shared" si="1"/>
        <v>https://www.tsip.ai/force/2130b610-dc4c-4605-9163-a8b2224abd06</v>
      </c>
      <c r="E3" s="52" t="b">
        <v>0</v>
      </c>
      <c r="F3" s="60"/>
      <c r="G3" s="4"/>
      <c r="H3" s="52" t="b">
        <v>0</v>
      </c>
      <c r="I3" s="60"/>
      <c r="J3" s="4"/>
      <c r="K3" s="59" t="str">
        <f t="shared" si="2"/>
        <v>https://admin.tsip.ai/tasks/2130b610-dc4c-4605-9163-a8b2224abd06</v>
      </c>
      <c r="L3" s="52" t="b">
        <v>0</v>
      </c>
      <c r="M3" s="4"/>
      <c r="N3" s="61"/>
      <c r="O3" s="4"/>
    </row>
    <row r="4">
      <c r="A4" s="4" t="s">
        <v>340</v>
      </c>
      <c r="B4" s="4" t="s">
        <v>341</v>
      </c>
      <c r="C4" s="58" t="s">
        <v>62</v>
      </c>
      <c r="D4" s="59" t="str">
        <f t="shared" si="1"/>
        <v>https://www.tsip.ai/force/6520d1cb-ef7f-4e18-8e27-901c61b13a4b</v>
      </c>
      <c r="E4" s="52" t="b">
        <v>1</v>
      </c>
      <c r="F4" s="19">
        <v>46161.0</v>
      </c>
      <c r="G4" s="24">
        <v>65.0</v>
      </c>
      <c r="H4" s="52" t="b">
        <v>0</v>
      </c>
      <c r="I4" s="60"/>
      <c r="J4" s="4"/>
      <c r="K4" s="59" t="str">
        <f t="shared" si="2"/>
        <v>https://admin.tsip.ai/tasks/6520d1cb-ef7f-4e18-8e27-901c61b13a4b</v>
      </c>
      <c r="L4" s="52" t="b">
        <v>0</v>
      </c>
      <c r="M4" s="4"/>
      <c r="N4" s="61"/>
      <c r="O4" s="4"/>
    </row>
    <row r="5">
      <c r="A5" s="4" t="s">
        <v>342</v>
      </c>
      <c r="B5" s="4" t="s">
        <v>341</v>
      </c>
      <c r="C5" s="58" t="s">
        <v>62</v>
      </c>
      <c r="D5" s="59" t="str">
        <f t="shared" si="1"/>
        <v>https://www.tsip.ai/force/f0ec3331-b842-4f0f-bc7a-b3aa14727aa1</v>
      </c>
      <c r="E5" s="52" t="b">
        <v>1</v>
      </c>
      <c r="F5" s="19">
        <v>46161.0</v>
      </c>
      <c r="G5" s="24">
        <v>65.0</v>
      </c>
      <c r="H5" s="52" t="b">
        <v>0</v>
      </c>
      <c r="I5" s="60"/>
      <c r="J5" s="4"/>
      <c r="K5" s="59" t="str">
        <f t="shared" si="2"/>
        <v>https://admin.tsip.ai/tasks/f0ec3331-b842-4f0f-bc7a-b3aa14727aa1</v>
      </c>
      <c r="L5" s="52" t="b">
        <v>0</v>
      </c>
      <c r="M5" s="4"/>
      <c r="N5" s="61"/>
      <c r="O5" s="4"/>
    </row>
    <row r="6">
      <c r="A6" s="4" t="s">
        <v>343</v>
      </c>
      <c r="B6" s="4" t="s">
        <v>344</v>
      </c>
      <c r="C6" s="58" t="s">
        <v>62</v>
      </c>
      <c r="D6" s="59" t="str">
        <f t="shared" si="1"/>
        <v>https://www.tsip.ai/force/cb5b1a21-8bce-42c1-807f-d08dcf9df983</v>
      </c>
      <c r="E6" s="52" t="b">
        <v>1</v>
      </c>
      <c r="F6" s="19">
        <v>46161.0</v>
      </c>
      <c r="G6" s="24">
        <v>55.0</v>
      </c>
      <c r="H6" s="52" t="b">
        <v>0</v>
      </c>
      <c r="I6" s="60"/>
      <c r="J6" s="4"/>
      <c r="K6" s="59" t="str">
        <f t="shared" si="2"/>
        <v>https://admin.tsip.ai/tasks/cb5b1a21-8bce-42c1-807f-d08dcf9df983</v>
      </c>
      <c r="L6" s="52" t="b">
        <v>0</v>
      </c>
      <c r="M6" s="4"/>
      <c r="N6" s="61"/>
      <c r="O6" s="4"/>
    </row>
    <row r="7">
      <c r="A7" s="4" t="s">
        <v>345</v>
      </c>
      <c r="B7" s="4" t="s">
        <v>344</v>
      </c>
      <c r="C7" s="58" t="s">
        <v>62</v>
      </c>
      <c r="D7" s="59" t="str">
        <f t="shared" si="1"/>
        <v>https://www.tsip.ai/force/4ebd8dfe-d037-41fa-914c-0a150d04cb87</v>
      </c>
      <c r="E7" s="52" t="b">
        <v>1</v>
      </c>
      <c r="F7" s="19">
        <v>46161.0</v>
      </c>
      <c r="G7" s="24">
        <v>65.0</v>
      </c>
      <c r="H7" s="52" t="b">
        <v>0</v>
      </c>
      <c r="I7" s="60"/>
      <c r="J7" s="4"/>
      <c r="K7" s="59" t="str">
        <f t="shared" si="2"/>
        <v>https://admin.tsip.ai/tasks/4ebd8dfe-d037-41fa-914c-0a150d04cb87</v>
      </c>
      <c r="L7" s="52" t="b">
        <v>0</v>
      </c>
      <c r="M7" s="4"/>
      <c r="N7" s="61"/>
      <c r="O7" s="4"/>
    </row>
    <row r="8">
      <c r="A8" s="4" t="s">
        <v>346</v>
      </c>
      <c r="B8" s="4" t="s">
        <v>347</v>
      </c>
      <c r="C8" s="58" t="s">
        <v>124</v>
      </c>
      <c r="D8" s="59" t="str">
        <f t="shared" si="1"/>
        <v>https://www.tsip.ai/force/212df67f-c687-4e67-afe9-50edeaab2592</v>
      </c>
      <c r="E8" s="52" t="b">
        <v>1</v>
      </c>
      <c r="F8" s="19">
        <v>46161.0</v>
      </c>
      <c r="G8" s="24">
        <v>90.0</v>
      </c>
      <c r="H8" s="52" t="b">
        <v>0</v>
      </c>
      <c r="I8" s="60"/>
      <c r="J8" s="4"/>
      <c r="K8" s="59" t="str">
        <f t="shared" si="2"/>
        <v>https://admin.tsip.ai/tasks/212df67f-c687-4e67-afe9-50edeaab2592</v>
      </c>
      <c r="L8" s="52" t="b">
        <v>0</v>
      </c>
      <c r="M8" s="4"/>
      <c r="N8" s="61"/>
      <c r="O8" s="4"/>
    </row>
    <row r="9">
      <c r="A9" s="4" t="s">
        <v>348</v>
      </c>
      <c r="B9" s="4" t="s">
        <v>347</v>
      </c>
      <c r="C9" s="58" t="s">
        <v>57</v>
      </c>
      <c r="D9" s="59" t="str">
        <f t="shared" si="1"/>
        <v>https://www.tsip.ai/force/53f5ed76-f45f-4c3d-986c-2aa0015a4bc0</v>
      </c>
      <c r="E9" s="52" t="b">
        <v>0</v>
      </c>
      <c r="F9" s="60"/>
      <c r="G9" s="4"/>
      <c r="H9" s="52" t="b">
        <v>0</v>
      </c>
      <c r="I9" s="60"/>
      <c r="J9" s="4"/>
      <c r="K9" s="59" t="str">
        <f t="shared" si="2"/>
        <v>https://admin.tsip.ai/tasks/53f5ed76-f45f-4c3d-986c-2aa0015a4bc0</v>
      </c>
      <c r="L9" s="52" t="b">
        <v>0</v>
      </c>
      <c r="M9" s="4"/>
      <c r="N9" s="61"/>
      <c r="O9" s="4"/>
    </row>
    <row r="10">
      <c r="A10" s="4" t="s">
        <v>349</v>
      </c>
      <c r="B10" s="4" t="s">
        <v>347</v>
      </c>
      <c r="C10" s="58"/>
      <c r="D10" s="59" t="str">
        <f t="shared" si="1"/>
        <v>https://www.tsip.ai/force/0cf86c7d-efd2-449c-ba36-fd3f8ef9d235</v>
      </c>
      <c r="E10" s="52" t="b">
        <v>0</v>
      </c>
      <c r="F10" s="60"/>
      <c r="G10" s="4"/>
      <c r="H10" s="52" t="b">
        <v>0</v>
      </c>
      <c r="I10" s="60"/>
      <c r="J10" s="4"/>
      <c r="K10" s="59" t="str">
        <f t="shared" si="2"/>
        <v>https://admin.tsip.ai/tasks/0cf86c7d-efd2-449c-ba36-fd3f8ef9d235</v>
      </c>
      <c r="L10" s="52" t="b">
        <v>0</v>
      </c>
      <c r="M10" s="4"/>
      <c r="N10" s="61"/>
      <c r="O10" s="4"/>
    </row>
    <row r="11">
      <c r="A11" s="4" t="s">
        <v>350</v>
      </c>
      <c r="B11" s="4" t="s">
        <v>347</v>
      </c>
      <c r="C11" s="58"/>
      <c r="D11" s="59" t="str">
        <f t="shared" si="1"/>
        <v>https://www.tsip.ai/force/9e7084f5-eb7b-4985-8ff5-e110682dca32</v>
      </c>
      <c r="E11" s="52" t="b">
        <v>0</v>
      </c>
      <c r="F11" s="60"/>
      <c r="G11" s="4"/>
      <c r="H11" s="52" t="b">
        <v>0</v>
      </c>
      <c r="I11" s="60"/>
      <c r="J11" s="4"/>
      <c r="K11" s="59" t="str">
        <f t="shared" si="2"/>
        <v>https://admin.tsip.ai/tasks/9e7084f5-eb7b-4985-8ff5-e110682dca32</v>
      </c>
      <c r="L11" s="52" t="b">
        <v>0</v>
      </c>
      <c r="M11" s="4"/>
      <c r="N11" s="61"/>
      <c r="O11" s="4"/>
    </row>
    <row r="12">
      <c r="A12" s="4" t="s">
        <v>351</v>
      </c>
      <c r="B12" s="4" t="s">
        <v>347</v>
      </c>
      <c r="C12" s="58"/>
      <c r="D12" s="59" t="str">
        <f t="shared" si="1"/>
        <v>https://www.tsip.ai/force/5772657d-c020-44b6-94e5-9d663dce40a6</v>
      </c>
      <c r="E12" s="52" t="b">
        <v>0</v>
      </c>
      <c r="F12" s="60"/>
      <c r="G12" s="4"/>
      <c r="H12" s="52" t="b">
        <v>0</v>
      </c>
      <c r="I12" s="60"/>
      <c r="J12" s="4"/>
      <c r="K12" s="59" t="str">
        <f t="shared" si="2"/>
        <v>https://admin.tsip.ai/tasks/5772657d-c020-44b6-94e5-9d663dce40a6</v>
      </c>
      <c r="L12" s="52" t="b">
        <v>0</v>
      </c>
      <c r="M12" s="4"/>
      <c r="N12" s="61"/>
      <c r="O12" s="4"/>
    </row>
    <row r="13">
      <c r="A13" s="4" t="s">
        <v>352</v>
      </c>
      <c r="B13" s="4" t="s">
        <v>347</v>
      </c>
      <c r="C13" s="58"/>
      <c r="D13" s="59" t="str">
        <f t="shared" si="1"/>
        <v>https://www.tsip.ai/force/ba300a65-ea63-4c81-b690-60c9a9a42c30</v>
      </c>
      <c r="E13" s="52" t="b">
        <v>0</v>
      </c>
      <c r="F13" s="60"/>
      <c r="G13" s="4"/>
      <c r="H13" s="52" t="b">
        <v>0</v>
      </c>
      <c r="I13" s="60"/>
      <c r="J13" s="4"/>
      <c r="K13" s="59" t="str">
        <f t="shared" si="2"/>
        <v>https://admin.tsip.ai/tasks/ba300a65-ea63-4c81-b690-60c9a9a42c30</v>
      </c>
      <c r="L13" s="52" t="b">
        <v>0</v>
      </c>
      <c r="M13" s="4"/>
      <c r="N13" s="61"/>
      <c r="O13" s="4"/>
    </row>
    <row r="14">
      <c r="A14" s="4" t="s">
        <v>353</v>
      </c>
      <c r="B14" s="4" t="s">
        <v>347</v>
      </c>
      <c r="C14" s="58"/>
      <c r="D14" s="59" t="str">
        <f t="shared" si="1"/>
        <v>https://www.tsip.ai/force/ee4eea58-d556-41cf-beea-19d9036fb126</v>
      </c>
      <c r="E14" s="52" t="b">
        <v>0</v>
      </c>
      <c r="F14" s="60"/>
      <c r="G14" s="4"/>
      <c r="H14" s="52" t="b">
        <v>0</v>
      </c>
      <c r="I14" s="60"/>
      <c r="J14" s="4"/>
      <c r="K14" s="59" t="str">
        <f t="shared" si="2"/>
        <v>https://admin.tsip.ai/tasks/ee4eea58-d556-41cf-beea-19d9036fb126</v>
      </c>
      <c r="L14" s="52" t="b">
        <v>0</v>
      </c>
      <c r="M14" s="4"/>
      <c r="N14" s="61"/>
      <c r="O14" s="4"/>
    </row>
    <row r="15">
      <c r="A15" s="4" t="s">
        <v>354</v>
      </c>
      <c r="B15" s="4" t="s">
        <v>355</v>
      </c>
      <c r="C15" s="58"/>
      <c r="D15" s="59" t="str">
        <f t="shared" si="1"/>
        <v>https://www.tsip.ai/force/4cd85cb8-ca9a-42b6-a531-2a9066090578</v>
      </c>
      <c r="E15" s="52" t="b">
        <v>0</v>
      </c>
      <c r="F15" s="4"/>
      <c r="G15" s="4"/>
      <c r="H15" s="52" t="b">
        <v>0</v>
      </c>
      <c r="I15" s="4"/>
      <c r="J15" s="4"/>
      <c r="K15" s="59" t="str">
        <f t="shared" si="2"/>
        <v>https://admin.tsip.ai/tasks/4cd85cb8-ca9a-42b6-a531-2a9066090578</v>
      </c>
      <c r="L15" s="52" t="b">
        <v>0</v>
      </c>
      <c r="M15" s="4"/>
      <c r="N15" s="4"/>
      <c r="O15" s="4"/>
    </row>
    <row r="16">
      <c r="A16" s="4" t="s">
        <v>356</v>
      </c>
      <c r="B16" s="4" t="s">
        <v>355</v>
      </c>
      <c r="C16" s="58"/>
      <c r="D16" s="59" t="str">
        <f t="shared" si="1"/>
        <v>https://www.tsip.ai/force/c27d425f-d821-4e33-aa94-c3578e6381b1</v>
      </c>
      <c r="E16" s="52" t="b">
        <v>0</v>
      </c>
      <c r="F16" s="4"/>
      <c r="G16" s="4"/>
      <c r="H16" s="52" t="b">
        <v>0</v>
      </c>
      <c r="I16" s="4"/>
      <c r="J16" s="4"/>
      <c r="K16" s="59" t="str">
        <f t="shared" si="2"/>
        <v>https://admin.tsip.ai/tasks/c27d425f-d821-4e33-aa94-c3578e6381b1</v>
      </c>
      <c r="L16" s="52" t="b">
        <v>0</v>
      </c>
      <c r="M16" s="4"/>
      <c r="N16" s="4"/>
      <c r="O16" s="4"/>
    </row>
    <row r="17">
      <c r="A17" s="4" t="s">
        <v>357</v>
      </c>
      <c r="B17" s="4" t="s">
        <v>355</v>
      </c>
      <c r="C17" s="58"/>
      <c r="D17" s="59" t="str">
        <f t="shared" si="1"/>
        <v>https://www.tsip.ai/force/9f73b336-d815-4df1-9696-cec256055a58</v>
      </c>
      <c r="E17" s="52" t="b">
        <v>0</v>
      </c>
      <c r="F17" s="4"/>
      <c r="G17" s="4"/>
      <c r="H17" s="52" t="b">
        <v>0</v>
      </c>
      <c r="I17" s="4"/>
      <c r="J17" s="4"/>
      <c r="K17" s="59" t="str">
        <f t="shared" si="2"/>
        <v>https://admin.tsip.ai/tasks/9f73b336-d815-4df1-9696-cec256055a58</v>
      </c>
      <c r="L17" s="52" t="b">
        <v>0</v>
      </c>
      <c r="M17" s="4"/>
      <c r="N17" s="4"/>
      <c r="O17" s="4"/>
    </row>
    <row r="18">
      <c r="A18" s="4" t="s">
        <v>358</v>
      </c>
      <c r="B18" s="4" t="s">
        <v>359</v>
      </c>
      <c r="C18" s="58"/>
      <c r="D18" s="59" t="str">
        <f t="shared" si="1"/>
        <v>https://www.tsip.ai/force/9e4e5488-5a4a-4061-879d-466ca0755ccf</v>
      </c>
      <c r="E18" s="52" t="b">
        <v>0</v>
      </c>
      <c r="F18" s="4"/>
      <c r="G18" s="4"/>
      <c r="H18" s="52" t="b">
        <v>0</v>
      </c>
      <c r="I18" s="4"/>
      <c r="J18" s="4"/>
      <c r="K18" s="59" t="str">
        <f t="shared" si="2"/>
        <v>https://admin.tsip.ai/tasks/9e4e5488-5a4a-4061-879d-466ca0755ccf</v>
      </c>
      <c r="L18" s="52" t="b">
        <v>0</v>
      </c>
      <c r="M18" s="4"/>
      <c r="N18" s="4"/>
      <c r="O18" s="4"/>
    </row>
    <row r="19">
      <c r="A19" s="4" t="s">
        <v>360</v>
      </c>
      <c r="B19" s="4" t="s">
        <v>359</v>
      </c>
      <c r="C19" s="58"/>
      <c r="D19" s="59" t="str">
        <f t="shared" si="1"/>
        <v>https://www.tsip.ai/force/7bdb5914-3b20-4748-9e7a-314750f41e79</v>
      </c>
      <c r="E19" s="52" t="b">
        <v>0</v>
      </c>
      <c r="F19" s="4"/>
      <c r="G19" s="4"/>
      <c r="H19" s="52" t="b">
        <v>0</v>
      </c>
      <c r="I19" s="4"/>
      <c r="J19" s="4"/>
      <c r="K19" s="59" t="str">
        <f t="shared" si="2"/>
        <v>https://admin.tsip.ai/tasks/7bdb5914-3b20-4748-9e7a-314750f41e79</v>
      </c>
      <c r="L19" s="52" t="b">
        <v>0</v>
      </c>
      <c r="M19" s="4"/>
      <c r="N19" s="4"/>
      <c r="O19" s="4"/>
    </row>
    <row r="20">
      <c r="A20" s="4" t="s">
        <v>361</v>
      </c>
      <c r="B20" s="4" t="s">
        <v>359</v>
      </c>
      <c r="C20" s="58" t="s">
        <v>57</v>
      </c>
      <c r="D20" s="59" t="str">
        <f t="shared" si="1"/>
        <v>https://www.tsip.ai/force/320b10a2-7b9c-443d-bc9f-47dd6469ccc2</v>
      </c>
      <c r="E20" s="52" t="b">
        <v>0</v>
      </c>
      <c r="F20" s="4"/>
      <c r="G20" s="4"/>
      <c r="H20" s="52" t="b">
        <v>0</v>
      </c>
      <c r="I20" s="4"/>
      <c r="J20" s="4"/>
      <c r="K20" s="59" t="str">
        <f t="shared" si="2"/>
        <v>https://admin.tsip.ai/tasks/320b10a2-7b9c-443d-bc9f-47dd6469ccc2</v>
      </c>
      <c r="L20" s="52" t="b">
        <v>0</v>
      </c>
      <c r="M20" s="4"/>
      <c r="N20" s="4"/>
      <c r="O20" s="4"/>
    </row>
    <row r="21">
      <c r="A21" s="4" t="s">
        <v>362</v>
      </c>
      <c r="B21" s="4" t="s">
        <v>359</v>
      </c>
      <c r="C21" s="58"/>
      <c r="D21" s="59" t="str">
        <f t="shared" si="1"/>
        <v>https://www.tsip.ai/force/3ee14907-f96b-4884-9150-b5e6a8366bdc</v>
      </c>
      <c r="E21" s="52" t="b">
        <v>0</v>
      </c>
      <c r="F21" s="4"/>
      <c r="G21" s="4"/>
      <c r="H21" s="52" t="b">
        <v>0</v>
      </c>
      <c r="I21" s="4"/>
      <c r="J21" s="4"/>
      <c r="K21" s="59" t="str">
        <f t="shared" si="2"/>
        <v>https://admin.tsip.ai/tasks/3ee14907-f96b-4884-9150-b5e6a8366bdc</v>
      </c>
      <c r="L21" s="52" t="b">
        <v>0</v>
      </c>
      <c r="M21" s="4"/>
      <c r="N21" s="4"/>
      <c r="O21" s="4"/>
    </row>
    <row r="22">
      <c r="A22" s="4" t="s">
        <v>363</v>
      </c>
      <c r="B22" s="4" t="s">
        <v>359</v>
      </c>
      <c r="C22" s="58"/>
      <c r="D22" s="59" t="str">
        <f t="shared" si="1"/>
        <v>https://www.tsip.ai/force/d4097001-c960-449f-883c-5ae8ef80cc38</v>
      </c>
      <c r="E22" s="52" t="b">
        <v>0</v>
      </c>
      <c r="F22" s="4"/>
      <c r="G22" s="4"/>
      <c r="H22" s="52" t="b">
        <v>0</v>
      </c>
      <c r="I22" s="4"/>
      <c r="J22" s="4"/>
      <c r="K22" s="59" t="str">
        <f t="shared" si="2"/>
        <v>https://admin.tsip.ai/tasks/d4097001-c960-449f-883c-5ae8ef80cc38</v>
      </c>
      <c r="L22" s="52" t="b">
        <v>0</v>
      </c>
      <c r="M22" s="4"/>
      <c r="N22" s="4"/>
      <c r="O22" s="4"/>
    </row>
    <row r="23">
      <c r="A23" s="4" t="s">
        <v>364</v>
      </c>
      <c r="B23" s="4" t="s">
        <v>359</v>
      </c>
      <c r="C23" s="58"/>
      <c r="D23" s="59" t="str">
        <f t="shared" si="1"/>
        <v>https://www.tsip.ai/force/9f0c3d4c-7729-40f4-a945-12de83eb9c7d</v>
      </c>
      <c r="E23" s="52" t="b">
        <v>0</v>
      </c>
      <c r="F23" s="4"/>
      <c r="G23" s="4"/>
      <c r="H23" s="52" t="b">
        <v>0</v>
      </c>
      <c r="I23" s="4"/>
      <c r="J23" s="4"/>
      <c r="K23" s="59" t="str">
        <f t="shared" si="2"/>
        <v>https://admin.tsip.ai/tasks/9f0c3d4c-7729-40f4-a945-12de83eb9c7d</v>
      </c>
      <c r="L23" s="52" t="b">
        <v>0</v>
      </c>
      <c r="M23" s="4"/>
      <c r="N23" s="4"/>
      <c r="O23" s="4"/>
    </row>
    <row r="24">
      <c r="A24" s="4" t="s">
        <v>365</v>
      </c>
      <c r="B24" s="4" t="s">
        <v>359</v>
      </c>
      <c r="C24" s="58"/>
      <c r="D24" s="59" t="str">
        <f t="shared" si="1"/>
        <v>https://www.tsip.ai/force/9451a181-4b36-4410-92ad-7ae329eb3099</v>
      </c>
      <c r="E24" s="52" t="b">
        <v>0</v>
      </c>
      <c r="F24" s="4"/>
      <c r="G24" s="4"/>
      <c r="H24" s="52" t="b">
        <v>0</v>
      </c>
      <c r="I24" s="4"/>
      <c r="J24" s="4"/>
      <c r="K24" s="59" t="str">
        <f t="shared" si="2"/>
        <v>https://admin.tsip.ai/tasks/9451a181-4b36-4410-92ad-7ae329eb3099</v>
      </c>
      <c r="L24" s="52" t="b">
        <v>0</v>
      </c>
      <c r="M24" s="4"/>
      <c r="N24" s="4"/>
      <c r="O24" s="4"/>
    </row>
    <row r="25">
      <c r="A25" s="4" t="s">
        <v>366</v>
      </c>
      <c r="B25" s="4" t="s">
        <v>367</v>
      </c>
      <c r="C25" s="58"/>
      <c r="D25" s="59" t="str">
        <f t="shared" si="1"/>
        <v>https://www.tsip.ai/force/d3c49dda-ea40-44f5-aac4-7e128754a6dd</v>
      </c>
      <c r="E25" s="52" t="b">
        <v>0</v>
      </c>
      <c r="F25" s="4"/>
      <c r="G25" s="4"/>
      <c r="H25" s="52" t="b">
        <v>0</v>
      </c>
      <c r="I25" s="4"/>
      <c r="J25" s="4"/>
      <c r="K25" s="59" t="str">
        <f t="shared" si="2"/>
        <v>https://admin.tsip.ai/tasks/d3c49dda-ea40-44f5-aac4-7e128754a6dd</v>
      </c>
      <c r="L25" s="52" t="b">
        <v>0</v>
      </c>
      <c r="M25" s="4"/>
      <c r="N25" s="4"/>
      <c r="O25" s="4"/>
    </row>
    <row r="26">
      <c r="A26" s="4" t="s">
        <v>368</v>
      </c>
      <c r="B26" s="4" t="s">
        <v>369</v>
      </c>
      <c r="C26" s="58" t="s">
        <v>124</v>
      </c>
      <c r="D26" s="59" t="str">
        <f t="shared" si="1"/>
        <v>https://www.tsip.ai/force/00c07d57-1124-49c2-b354-6df05adc7a7f</v>
      </c>
      <c r="E26" s="52" t="b">
        <v>0</v>
      </c>
      <c r="F26" s="4"/>
      <c r="G26" s="4"/>
      <c r="H26" s="52" t="b">
        <v>0</v>
      </c>
      <c r="I26" s="4"/>
      <c r="J26" s="4"/>
      <c r="K26" s="59" t="str">
        <f t="shared" si="2"/>
        <v>https://admin.tsip.ai/tasks/00c07d57-1124-49c2-b354-6df05adc7a7f</v>
      </c>
      <c r="L26" s="52" t="b">
        <v>0</v>
      </c>
      <c r="M26" s="4"/>
      <c r="N26" s="4"/>
      <c r="O26" s="4"/>
    </row>
    <row r="27">
      <c r="A27" s="4" t="s">
        <v>370</v>
      </c>
      <c r="B27" s="4" t="s">
        <v>369</v>
      </c>
      <c r="C27" s="58" t="s">
        <v>124</v>
      </c>
      <c r="D27" s="59" t="str">
        <f t="shared" si="1"/>
        <v>https://www.tsip.ai/force/3a1f76de-2e68-4036-aa3d-d325bb2ea100</v>
      </c>
      <c r="E27" s="52" t="b">
        <v>1</v>
      </c>
      <c r="F27" s="19">
        <v>46160.0</v>
      </c>
      <c r="G27" s="24">
        <v>45.0</v>
      </c>
      <c r="H27" s="52" t="b">
        <v>0</v>
      </c>
      <c r="I27" s="4"/>
      <c r="J27" s="4"/>
      <c r="K27" s="59" t="str">
        <f t="shared" si="2"/>
        <v>https://admin.tsip.ai/tasks/3a1f76de-2e68-4036-aa3d-d325bb2ea100</v>
      </c>
      <c r="L27" s="52" t="b">
        <v>0</v>
      </c>
      <c r="M27" s="4" t="s">
        <v>371</v>
      </c>
      <c r="N27" s="4"/>
      <c r="O27" s="4"/>
    </row>
    <row r="28">
      <c r="A28" s="4" t="s">
        <v>372</v>
      </c>
      <c r="B28" s="4" t="s">
        <v>369</v>
      </c>
      <c r="C28" s="58" t="s">
        <v>62</v>
      </c>
      <c r="D28" s="59" t="str">
        <f t="shared" si="1"/>
        <v>https://www.tsip.ai/force/76dfed95-97aa-4610-be20-44beb1d5ab35</v>
      </c>
      <c r="E28" s="52" t="b">
        <v>0</v>
      </c>
      <c r="F28" s="19">
        <v>46159.0</v>
      </c>
      <c r="G28" s="24">
        <v>55.0</v>
      </c>
      <c r="H28" s="52" t="b">
        <v>0</v>
      </c>
      <c r="I28" s="4"/>
      <c r="J28" s="4"/>
      <c r="K28" s="59" t="str">
        <f t="shared" si="2"/>
        <v>https://admin.tsip.ai/tasks/76dfed95-97aa-4610-be20-44beb1d5ab35</v>
      </c>
      <c r="L28" s="52" t="b">
        <v>0</v>
      </c>
      <c r="M28" s="4" t="s">
        <v>373</v>
      </c>
      <c r="N28" s="4"/>
      <c r="O28" s="4"/>
    </row>
    <row r="29">
      <c r="A29" s="4" t="s">
        <v>374</v>
      </c>
      <c r="B29" s="4" t="s">
        <v>369</v>
      </c>
      <c r="C29" s="58" t="s">
        <v>62</v>
      </c>
      <c r="D29" s="59" t="str">
        <f t="shared" si="1"/>
        <v>https://www.tsip.ai/force/1fdf02fe-b76b-45f1-bf8b-a01f0742e608</v>
      </c>
      <c r="E29" s="52" t="b">
        <v>0</v>
      </c>
      <c r="F29" s="19">
        <v>46159.0</v>
      </c>
      <c r="G29" s="24">
        <v>65.0</v>
      </c>
      <c r="H29" s="52" t="b">
        <v>0</v>
      </c>
      <c r="I29" s="4"/>
      <c r="J29" s="4"/>
      <c r="K29" s="59" t="str">
        <f t="shared" si="2"/>
        <v>https://admin.tsip.ai/tasks/1fdf02fe-b76b-45f1-bf8b-a01f0742e608</v>
      </c>
      <c r="L29" s="52" t="b">
        <v>0</v>
      </c>
      <c r="M29" s="4" t="s">
        <v>375</v>
      </c>
      <c r="N29" s="4"/>
      <c r="O29" s="4"/>
    </row>
    <row r="30">
      <c r="A30" s="4" t="s">
        <v>376</v>
      </c>
      <c r="B30" s="4" t="s">
        <v>369</v>
      </c>
      <c r="C30" s="58" t="s">
        <v>62</v>
      </c>
      <c r="D30" s="59" t="str">
        <f t="shared" si="1"/>
        <v>https://www.tsip.ai/force/c62d5635-6c88-4fcc-ab2a-e23554cd85ed</v>
      </c>
      <c r="E30" s="52" t="b">
        <v>0</v>
      </c>
      <c r="F30" s="19">
        <v>46158.0</v>
      </c>
      <c r="G30" s="24">
        <v>85.0</v>
      </c>
      <c r="H30" s="52" t="b">
        <v>0</v>
      </c>
      <c r="I30" s="4"/>
      <c r="J30" s="4"/>
      <c r="K30" s="59" t="str">
        <f t="shared" si="2"/>
        <v>https://admin.tsip.ai/tasks/c62d5635-6c88-4fcc-ab2a-e23554cd85ed</v>
      </c>
      <c r="L30" s="52" t="b">
        <v>0</v>
      </c>
      <c r="M30" s="4" t="s">
        <v>377</v>
      </c>
      <c r="N30" s="4"/>
      <c r="O30" s="4"/>
    </row>
    <row r="31">
      <c r="A31" s="4" t="s">
        <v>378</v>
      </c>
      <c r="B31" s="4" t="s">
        <v>379</v>
      </c>
      <c r="C31" s="58" t="s">
        <v>124</v>
      </c>
      <c r="D31" s="59" t="str">
        <f t="shared" si="1"/>
        <v>https://www.tsip.ai/force/f59aba79-8692-4b27-86f0-66ccf05728a1</v>
      </c>
      <c r="E31" s="52" t="b">
        <v>1</v>
      </c>
      <c r="F31" s="19">
        <v>46160.0</v>
      </c>
      <c r="G31" s="24">
        <v>30.0</v>
      </c>
      <c r="H31" s="52" t="b">
        <v>0</v>
      </c>
      <c r="I31" s="4"/>
      <c r="J31" s="4"/>
      <c r="K31" s="59" t="str">
        <f t="shared" si="2"/>
        <v>https://admin.tsip.ai/tasks/f59aba79-8692-4b27-86f0-66ccf05728a1</v>
      </c>
      <c r="L31" s="52" t="b">
        <v>0</v>
      </c>
      <c r="M31" s="4" t="s">
        <v>380</v>
      </c>
      <c r="N31" s="4"/>
      <c r="O31"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0</v>
      </c>
      <c r="B1" s="7" t="s">
        <v>381</v>
      </c>
    </row>
    <row r="2">
      <c r="A2" s="4" t="s">
        <v>382</v>
      </c>
      <c r="B2" s="4">
        <v>1.0</v>
      </c>
      <c r="C2" s="4"/>
      <c r="D2" s="4"/>
      <c r="E2" s="24"/>
      <c r="F2" s="29"/>
      <c r="G2" s="4"/>
      <c r="H2" s="4"/>
      <c r="I2" s="52"/>
      <c r="K2" s="24"/>
      <c r="L2" s="4"/>
    </row>
    <row r="3">
      <c r="A3" s="4" t="s">
        <v>383</v>
      </c>
      <c r="B3" s="4">
        <v>1.0</v>
      </c>
      <c r="C3" s="4"/>
      <c r="D3" s="4"/>
      <c r="E3" s="24"/>
      <c r="F3" s="29"/>
      <c r="G3" s="4"/>
      <c r="H3" s="4"/>
      <c r="I3" s="52"/>
      <c r="K3" s="24"/>
      <c r="L3" s="4"/>
    </row>
    <row r="4">
      <c r="A4" s="4" t="s">
        <v>384</v>
      </c>
      <c r="B4" s="4">
        <v>1.0</v>
      </c>
      <c r="C4" s="4"/>
      <c r="D4" s="4"/>
      <c r="E4" s="24"/>
      <c r="F4" s="29"/>
      <c r="G4" s="4"/>
      <c r="H4" s="4"/>
      <c r="I4" s="52"/>
      <c r="K4" s="24"/>
      <c r="L4" s="4"/>
    </row>
    <row r="5">
      <c r="A5" s="4" t="s">
        <v>385</v>
      </c>
      <c r="B5" s="4">
        <v>1.0</v>
      </c>
      <c r="C5" s="4"/>
      <c r="D5" s="4"/>
      <c r="E5" s="24"/>
      <c r="F5" s="29"/>
      <c r="G5" s="4"/>
      <c r="H5" s="4"/>
      <c r="I5" s="52"/>
      <c r="K5" s="24"/>
      <c r="L5" s="4"/>
    </row>
    <row r="6">
      <c r="A6" s="4" t="s">
        <v>386</v>
      </c>
      <c r="B6" s="4">
        <v>1.0</v>
      </c>
      <c r="C6" s="4"/>
      <c r="D6" s="4"/>
      <c r="E6" s="24"/>
      <c r="F6" s="29"/>
      <c r="G6" s="4"/>
      <c r="H6" s="4"/>
      <c r="I6" s="52"/>
      <c r="K6" s="24"/>
      <c r="L6" s="4"/>
    </row>
    <row r="7">
      <c r="A7" s="4" t="s">
        <v>387</v>
      </c>
      <c r="B7" s="4">
        <v>1.0</v>
      </c>
      <c r="C7" s="4"/>
      <c r="D7" s="4"/>
      <c r="E7" s="24"/>
      <c r="F7" s="29"/>
      <c r="G7" s="4"/>
      <c r="H7" s="4"/>
      <c r="I7" s="52"/>
      <c r="K7" s="24"/>
      <c r="L7" s="4"/>
    </row>
    <row r="8">
      <c r="A8" s="4" t="s">
        <v>388</v>
      </c>
      <c r="B8" s="4">
        <v>1.0</v>
      </c>
      <c r="C8" s="4"/>
      <c r="D8" s="4"/>
      <c r="E8" s="24"/>
      <c r="F8" s="29"/>
      <c r="G8" s="4"/>
      <c r="H8" s="4"/>
      <c r="I8" s="52"/>
      <c r="K8" s="24"/>
      <c r="L8" s="4"/>
    </row>
    <row r="9">
      <c r="A9" s="4" t="s">
        <v>389</v>
      </c>
      <c r="B9" s="4">
        <v>1.0</v>
      </c>
      <c r="C9" s="4"/>
      <c r="D9" s="4"/>
      <c r="E9" s="24"/>
      <c r="F9" s="29"/>
      <c r="G9" s="4"/>
      <c r="H9" s="4"/>
      <c r="I9" s="52"/>
      <c r="K9" s="24"/>
      <c r="L9" s="4"/>
    </row>
    <row r="10">
      <c r="A10" s="4" t="s">
        <v>390</v>
      </c>
      <c r="B10" s="4">
        <v>1.0</v>
      </c>
      <c r="C10" s="4"/>
      <c r="D10" s="4"/>
      <c r="E10" s="24"/>
      <c r="F10" s="29"/>
      <c r="G10" s="4"/>
      <c r="H10" s="4"/>
      <c r="I10" s="52"/>
      <c r="K10" s="24"/>
      <c r="L10" s="4"/>
    </row>
    <row r="11">
      <c r="A11" s="4" t="s">
        <v>391</v>
      </c>
      <c r="B11" s="4">
        <v>1.0</v>
      </c>
      <c r="C11" s="4"/>
      <c r="D11" s="4"/>
      <c r="E11" s="24"/>
      <c r="F11" s="29"/>
      <c r="G11" s="4"/>
      <c r="H11" s="4"/>
      <c r="I11" s="52"/>
      <c r="K11" s="24"/>
      <c r="L11" s="4"/>
    </row>
    <row r="12">
      <c r="A12" s="4" t="s">
        <v>392</v>
      </c>
      <c r="B12" s="4">
        <v>1.0</v>
      </c>
      <c r="C12" s="4"/>
      <c r="D12" s="4"/>
      <c r="E12" s="24"/>
      <c r="F12" s="29"/>
      <c r="G12" s="4"/>
      <c r="H12" s="4"/>
      <c r="I12" s="52"/>
      <c r="K12" s="24"/>
      <c r="L12" s="4"/>
    </row>
    <row r="13">
      <c r="A13" s="4" t="s">
        <v>393</v>
      </c>
      <c r="B13" s="4">
        <v>1.0</v>
      </c>
      <c r="C13" s="4"/>
      <c r="D13" s="4"/>
      <c r="E13" s="24"/>
      <c r="F13" s="29"/>
      <c r="G13" s="4"/>
      <c r="H13" s="4"/>
      <c r="I13" s="52"/>
      <c r="K13" s="24"/>
      <c r="L13" s="4"/>
    </row>
    <row r="14">
      <c r="A14" s="4" t="s">
        <v>394</v>
      </c>
      <c r="B14" s="4">
        <v>1.0</v>
      </c>
      <c r="C14" s="4"/>
      <c r="D14" s="4"/>
      <c r="E14" s="24"/>
      <c r="F14" s="29"/>
      <c r="G14" s="4"/>
      <c r="H14" s="4"/>
      <c r="I14" s="52"/>
      <c r="K14" s="24"/>
      <c r="L14" s="4"/>
    </row>
    <row r="15">
      <c r="A15" s="4" t="s">
        <v>395</v>
      </c>
      <c r="B15" s="4">
        <v>1.0</v>
      </c>
      <c r="C15" s="4"/>
      <c r="D15" s="4"/>
      <c r="E15" s="24"/>
      <c r="F15" s="29"/>
      <c r="G15" s="4"/>
      <c r="H15" s="4"/>
      <c r="I15" s="52"/>
      <c r="K15" s="24"/>
      <c r="L15" s="4"/>
    </row>
    <row r="16">
      <c r="A16" s="4" t="s">
        <v>396</v>
      </c>
      <c r="B16" s="4">
        <v>1.0</v>
      </c>
      <c r="C16" s="4"/>
      <c r="D16" s="4"/>
      <c r="E16" s="24"/>
      <c r="F16" s="29"/>
      <c r="G16" s="4"/>
      <c r="H16" s="4"/>
      <c r="I16" s="52"/>
      <c r="K16" s="24"/>
      <c r="L16" s="4"/>
    </row>
    <row r="17">
      <c r="A17" s="4" t="s">
        <v>397</v>
      </c>
      <c r="B17" s="4">
        <v>1.0</v>
      </c>
      <c r="C17" s="4"/>
      <c r="D17" s="4"/>
      <c r="E17" s="24"/>
      <c r="F17" s="29"/>
      <c r="G17" s="4"/>
      <c r="H17" s="4"/>
      <c r="I17" s="52"/>
      <c r="K17" s="24"/>
      <c r="L17" s="4"/>
    </row>
    <row r="18">
      <c r="A18" s="4" t="s">
        <v>398</v>
      </c>
      <c r="B18" s="4">
        <v>1.0</v>
      </c>
      <c r="C18" s="4"/>
      <c r="D18" s="4"/>
      <c r="E18" s="24"/>
      <c r="F18" s="29"/>
      <c r="G18" s="4"/>
      <c r="H18" s="4"/>
      <c r="I18" s="52"/>
      <c r="K18" s="24"/>
      <c r="L18" s="4"/>
    </row>
    <row r="19">
      <c r="A19" s="4" t="s">
        <v>399</v>
      </c>
      <c r="B19" s="4">
        <v>1.0</v>
      </c>
      <c r="C19" s="4"/>
      <c r="D19" s="4"/>
      <c r="E19" s="24"/>
      <c r="F19" s="29"/>
      <c r="G19" s="4"/>
      <c r="H19" s="4"/>
      <c r="I19" s="52"/>
      <c r="K19" s="24"/>
      <c r="L19" s="4"/>
    </row>
    <row r="20">
      <c r="A20" s="4" t="s">
        <v>400</v>
      </c>
      <c r="B20" s="4">
        <v>1.0</v>
      </c>
      <c r="C20" s="4"/>
      <c r="D20" s="4"/>
      <c r="E20" s="24"/>
      <c r="F20" s="29"/>
      <c r="G20" s="4"/>
      <c r="H20" s="4"/>
      <c r="I20" s="52"/>
      <c r="K20" s="24"/>
      <c r="L20" s="4"/>
    </row>
    <row r="21">
      <c r="A21" s="4" t="s">
        <v>401</v>
      </c>
      <c r="B21" s="4">
        <v>1.0</v>
      </c>
      <c r="C21" s="4"/>
      <c r="D21" s="4"/>
      <c r="E21" s="24"/>
      <c r="F21" s="29"/>
      <c r="G21" s="4"/>
      <c r="H21" s="4"/>
      <c r="I21" s="52"/>
      <c r="K21" s="24"/>
      <c r="L21" s="4"/>
    </row>
    <row r="22">
      <c r="A22" s="4" t="s">
        <v>402</v>
      </c>
      <c r="B22" s="4">
        <v>1.0</v>
      </c>
      <c r="C22" s="4"/>
      <c r="D22" s="4"/>
      <c r="E22" s="24"/>
      <c r="F22" s="29"/>
      <c r="G22" s="4"/>
      <c r="H22" s="4"/>
      <c r="I22" s="52"/>
      <c r="K22" s="24"/>
      <c r="L22" s="4"/>
    </row>
    <row r="23">
      <c r="A23" s="4" t="s">
        <v>403</v>
      </c>
      <c r="B23" s="4">
        <v>1.0</v>
      </c>
      <c r="C23" s="4"/>
      <c r="D23" s="4"/>
      <c r="E23" s="24"/>
      <c r="F23" s="29"/>
      <c r="G23" s="4"/>
      <c r="H23" s="4"/>
      <c r="I23" s="52"/>
      <c r="K23" s="24"/>
      <c r="L23" s="4"/>
    </row>
    <row r="24">
      <c r="A24" s="4" t="s">
        <v>404</v>
      </c>
      <c r="B24" s="4">
        <v>1.0</v>
      </c>
      <c r="C24" s="4"/>
      <c r="D24" s="4"/>
      <c r="E24" s="24"/>
      <c r="F24" s="29"/>
      <c r="G24" s="4"/>
      <c r="H24" s="4"/>
      <c r="I24" s="52"/>
      <c r="K24" s="24"/>
      <c r="L24" s="4"/>
    </row>
    <row r="25">
      <c r="A25" s="4" t="s">
        <v>405</v>
      </c>
      <c r="B25" s="4">
        <v>1.0</v>
      </c>
      <c r="C25" s="4"/>
      <c r="D25" s="4"/>
      <c r="E25" s="24"/>
      <c r="F25" s="29"/>
      <c r="G25" s="4"/>
      <c r="H25" s="4"/>
      <c r="I25" s="52"/>
      <c r="K25" s="24"/>
      <c r="L25" s="4"/>
    </row>
    <row r="26">
      <c r="A26" s="4" t="s">
        <v>406</v>
      </c>
      <c r="B26" s="4">
        <v>1.0</v>
      </c>
      <c r="C26" s="4"/>
      <c r="D26" s="4"/>
      <c r="E26" s="24"/>
      <c r="F26" s="29"/>
      <c r="G26" s="4"/>
      <c r="H26" s="4"/>
      <c r="I26" s="52"/>
      <c r="K26" s="24"/>
      <c r="L26" s="4"/>
    </row>
    <row r="27">
      <c r="A27" s="4" t="s">
        <v>407</v>
      </c>
      <c r="B27" s="4">
        <v>1.0</v>
      </c>
      <c r="C27" s="4"/>
      <c r="D27" s="4"/>
      <c r="E27" s="52"/>
      <c r="F27" s="62"/>
      <c r="G27" s="4"/>
      <c r="H27" s="4"/>
      <c r="I27" s="52"/>
      <c r="K27" s="24"/>
      <c r="L27" s="4"/>
    </row>
    <row r="28">
      <c r="A28" s="4" t="s">
        <v>408</v>
      </c>
      <c r="B28" s="4">
        <v>1.0</v>
      </c>
      <c r="C28" s="4"/>
      <c r="D28" s="4"/>
      <c r="E28" s="24"/>
      <c r="F28" s="29"/>
      <c r="G28" s="4"/>
      <c r="H28" s="4"/>
      <c r="I28" s="52"/>
      <c r="K28" s="24"/>
      <c r="L28" s="4"/>
    </row>
    <row r="29">
      <c r="A29" s="4" t="s">
        <v>409</v>
      </c>
      <c r="B29" s="4">
        <v>1.0</v>
      </c>
      <c r="C29" s="4"/>
      <c r="D29" s="4"/>
      <c r="E29" s="24"/>
      <c r="F29" s="29"/>
      <c r="G29" s="4"/>
      <c r="H29" s="4"/>
      <c r="I29" s="52"/>
      <c r="K29" s="24"/>
      <c r="L29" s="4"/>
    </row>
    <row r="30">
      <c r="A30" s="4" t="s">
        <v>410</v>
      </c>
      <c r="B30" s="4">
        <v>1.0</v>
      </c>
      <c r="C30" s="4"/>
      <c r="D30" s="4"/>
      <c r="E30" s="24"/>
      <c r="F30" s="29"/>
      <c r="G30" s="4"/>
      <c r="H30" s="4"/>
      <c r="I30" s="52"/>
      <c r="K30" s="24"/>
      <c r="L30" s="4"/>
    </row>
    <row r="31">
      <c r="A31" s="4" t="s">
        <v>411</v>
      </c>
      <c r="B31" s="4">
        <v>1.0</v>
      </c>
      <c r="C31" s="4"/>
      <c r="D31" s="4"/>
      <c r="E31" s="24"/>
      <c r="F31" s="29"/>
      <c r="G31" s="4"/>
      <c r="H31" s="4"/>
      <c r="I31" s="52"/>
      <c r="K31" s="24"/>
      <c r="L31" s="4"/>
    </row>
    <row r="32">
      <c r="A32" s="4" t="s">
        <v>412</v>
      </c>
      <c r="B32" s="4">
        <v>1.0</v>
      </c>
      <c r="C32" s="4"/>
      <c r="D32" s="4"/>
      <c r="E32" s="24"/>
      <c r="F32" s="29"/>
      <c r="G32" s="4"/>
      <c r="H32" s="4"/>
      <c r="I32" s="52"/>
      <c r="K32" s="24"/>
      <c r="L32" s="4"/>
    </row>
    <row r="33">
      <c r="A33" s="4" t="s">
        <v>413</v>
      </c>
      <c r="B33" s="4">
        <v>1.0</v>
      </c>
      <c r="C33" s="4"/>
      <c r="D33" s="4"/>
      <c r="E33" s="24"/>
      <c r="F33" s="29"/>
      <c r="G33" s="4"/>
      <c r="H33" s="4"/>
      <c r="I33" s="52"/>
      <c r="K33" s="24"/>
      <c r="L33" s="4"/>
    </row>
    <row r="34">
      <c r="A34" s="4" t="s">
        <v>414</v>
      </c>
      <c r="B34" s="4">
        <v>1.0</v>
      </c>
      <c r="C34" s="4"/>
      <c r="D34" s="4"/>
      <c r="E34" s="24"/>
      <c r="F34" s="29"/>
      <c r="G34" s="4"/>
      <c r="H34" s="4"/>
      <c r="I34" s="52"/>
      <c r="K34" s="24"/>
      <c r="L34" s="4"/>
    </row>
    <row r="35">
      <c r="A35" s="4" t="s">
        <v>415</v>
      </c>
      <c r="B35" s="4">
        <v>1.0</v>
      </c>
      <c r="C35" s="4"/>
      <c r="D35" s="4"/>
      <c r="E35" s="24"/>
      <c r="F35" s="29"/>
      <c r="G35" s="4"/>
      <c r="H35" s="4"/>
      <c r="I35" s="52"/>
      <c r="K35" s="24"/>
      <c r="L35" s="4"/>
    </row>
    <row r="36">
      <c r="A36" s="4" t="s">
        <v>416</v>
      </c>
      <c r="B36" s="4">
        <v>1.0</v>
      </c>
      <c r="C36" s="4"/>
      <c r="D36" s="4"/>
      <c r="E36" s="24"/>
      <c r="F36" s="29"/>
      <c r="G36" s="4"/>
      <c r="H36" s="4"/>
      <c r="I36" s="52"/>
      <c r="K36" s="24"/>
      <c r="L36" s="4"/>
    </row>
    <row r="37">
      <c r="A37" s="4" t="s">
        <v>417</v>
      </c>
      <c r="B37" s="4">
        <v>1.0</v>
      </c>
      <c r="C37" s="4"/>
      <c r="D37" s="4"/>
      <c r="E37" s="24"/>
      <c r="F37" s="29"/>
      <c r="G37" s="4"/>
      <c r="H37" s="4"/>
      <c r="I37" s="52"/>
      <c r="K37" s="24"/>
      <c r="L37" s="4"/>
    </row>
    <row r="38">
      <c r="A38" s="4" t="s">
        <v>418</v>
      </c>
      <c r="B38" s="4">
        <v>1.0</v>
      </c>
      <c r="C38" s="4"/>
      <c r="D38" s="4"/>
      <c r="E38" s="24"/>
      <c r="F38" s="29"/>
      <c r="G38" s="4"/>
      <c r="H38" s="4"/>
      <c r="I38" s="52"/>
      <c r="K38" s="24"/>
      <c r="L38" s="4"/>
    </row>
    <row r="39">
      <c r="A39" s="4" t="s">
        <v>419</v>
      </c>
      <c r="B39" s="4">
        <v>1.0</v>
      </c>
      <c r="C39" s="4"/>
      <c r="D39" s="4"/>
      <c r="E39" s="24"/>
      <c r="F39" s="29"/>
      <c r="G39" s="4"/>
      <c r="H39" s="4"/>
      <c r="I39" s="52"/>
      <c r="K39" s="24"/>
      <c r="L39" s="4"/>
    </row>
    <row r="40">
      <c r="A40" s="4" t="s">
        <v>420</v>
      </c>
      <c r="B40" s="4">
        <v>1.0</v>
      </c>
      <c r="C40" s="4"/>
      <c r="D40" s="4"/>
      <c r="E40" s="24"/>
      <c r="F40" s="29"/>
      <c r="G40" s="4"/>
      <c r="H40" s="4"/>
      <c r="I40" s="52"/>
      <c r="K40" s="24"/>
      <c r="L40" s="4"/>
    </row>
    <row r="41">
      <c r="A41" s="4" t="s">
        <v>421</v>
      </c>
      <c r="B41" s="4">
        <v>1.0</v>
      </c>
      <c r="C41" s="4"/>
      <c r="D41" s="4"/>
      <c r="E41" s="24"/>
      <c r="F41" s="29"/>
      <c r="G41" s="4"/>
      <c r="H41" s="4"/>
      <c r="I41" s="52"/>
      <c r="K41" s="24"/>
      <c r="L41" s="4"/>
    </row>
    <row r="42">
      <c r="A42" s="4" t="s">
        <v>422</v>
      </c>
      <c r="B42" s="4">
        <v>1.0</v>
      </c>
      <c r="C42" s="4"/>
      <c r="D42" s="4"/>
      <c r="E42" s="24"/>
      <c r="F42" s="29"/>
      <c r="G42" s="4"/>
      <c r="H42" s="4"/>
      <c r="I42" s="52"/>
      <c r="K42" s="24"/>
      <c r="L42" s="4"/>
    </row>
    <row r="43">
      <c r="A43" s="4" t="s">
        <v>423</v>
      </c>
      <c r="B43" s="4">
        <v>1.0</v>
      </c>
      <c r="C43" s="4"/>
      <c r="D43" s="4"/>
      <c r="E43" s="24"/>
      <c r="F43" s="29"/>
      <c r="G43" s="4"/>
      <c r="H43" s="4"/>
      <c r="I43" s="52"/>
      <c r="K43" s="24"/>
      <c r="L43" s="4"/>
    </row>
    <row r="44">
      <c r="A44" s="4" t="s">
        <v>424</v>
      </c>
      <c r="B44" s="4">
        <v>1.0</v>
      </c>
      <c r="C44" s="4"/>
      <c r="D44" s="4"/>
      <c r="E44" s="24"/>
      <c r="F44" s="29"/>
      <c r="G44" s="4"/>
      <c r="H44" s="4"/>
      <c r="I44" s="52"/>
      <c r="K44" s="24"/>
      <c r="L44" s="4"/>
    </row>
    <row r="45">
      <c r="A45" s="4" t="s">
        <v>425</v>
      </c>
      <c r="B45" s="4">
        <v>1.0</v>
      </c>
      <c r="C45" s="4"/>
      <c r="D45" s="4"/>
      <c r="E45" s="24"/>
      <c r="F45" s="29"/>
      <c r="G45" s="4"/>
      <c r="H45" s="4"/>
      <c r="I45" s="52"/>
      <c r="K45" s="24"/>
      <c r="L45" s="4"/>
    </row>
    <row r="46">
      <c r="A46" s="4" t="s">
        <v>426</v>
      </c>
      <c r="B46" s="4">
        <v>1.0</v>
      </c>
      <c r="C46" s="4"/>
      <c r="D46" s="4"/>
      <c r="E46" s="24"/>
      <c r="F46" s="29"/>
      <c r="G46" s="4"/>
      <c r="H46" s="4"/>
      <c r="I46" s="52"/>
      <c r="K46" s="24"/>
      <c r="L46" s="4"/>
    </row>
    <row r="47">
      <c r="A47" s="4" t="s">
        <v>427</v>
      </c>
      <c r="B47" s="4">
        <v>1.0</v>
      </c>
      <c r="C47" s="4"/>
      <c r="D47" s="4"/>
      <c r="E47" s="24"/>
      <c r="F47" s="29"/>
      <c r="G47" s="4"/>
      <c r="H47" s="4"/>
      <c r="I47" s="52"/>
      <c r="K47" s="24"/>
      <c r="L47" s="4"/>
    </row>
    <row r="48">
      <c r="A48" s="4" t="s">
        <v>428</v>
      </c>
      <c r="B48" s="4">
        <v>1.0</v>
      </c>
      <c r="C48" s="4"/>
      <c r="D48" s="4"/>
      <c r="E48" s="24"/>
      <c r="F48" s="29"/>
      <c r="G48" s="4"/>
      <c r="H48" s="4"/>
      <c r="I48" s="52"/>
      <c r="K48" s="24"/>
      <c r="L48" s="4"/>
    </row>
    <row r="49">
      <c r="A49" s="4" t="s">
        <v>429</v>
      </c>
      <c r="B49" s="4">
        <v>1.0</v>
      </c>
      <c r="C49" s="4"/>
      <c r="D49" s="4"/>
      <c r="E49" s="24"/>
      <c r="F49" s="29"/>
      <c r="G49" s="4"/>
      <c r="H49" s="4"/>
      <c r="I49" s="52"/>
      <c r="K49" s="24"/>
      <c r="L49" s="4"/>
    </row>
    <row r="50">
      <c r="A50" s="4" t="s">
        <v>430</v>
      </c>
      <c r="B50" s="4">
        <v>1.0</v>
      </c>
      <c r="C50" s="4"/>
      <c r="D50" s="4"/>
      <c r="E50" s="24"/>
      <c r="F50" s="29"/>
      <c r="G50" s="4"/>
      <c r="H50" s="4"/>
      <c r="I50" s="52"/>
      <c r="K50" s="24"/>
      <c r="L50" s="4"/>
    </row>
    <row r="51">
      <c r="A51" s="4" t="s">
        <v>431</v>
      </c>
      <c r="B51" s="4">
        <v>1.0</v>
      </c>
      <c r="C51" s="4"/>
      <c r="D51" s="4"/>
      <c r="E51" s="24"/>
      <c r="F51" s="29"/>
      <c r="G51" s="4"/>
      <c r="H51" s="4"/>
      <c r="I51" s="52"/>
      <c r="K51" s="24"/>
      <c r="L51" s="4"/>
    </row>
    <row r="52">
      <c r="A52" s="4" t="s">
        <v>432</v>
      </c>
      <c r="B52" s="4">
        <v>1.0</v>
      </c>
      <c r="C52" s="4"/>
      <c r="D52" s="4"/>
      <c r="E52" s="24"/>
      <c r="F52" s="29"/>
      <c r="G52" s="4"/>
      <c r="H52" s="4"/>
      <c r="I52" s="52"/>
      <c r="K52" s="24"/>
      <c r="L52" s="4"/>
    </row>
    <row r="53">
      <c r="A53" s="4" t="s">
        <v>433</v>
      </c>
      <c r="B53" s="4">
        <v>1.0</v>
      </c>
      <c r="C53" s="4"/>
      <c r="D53" s="4"/>
      <c r="E53" s="24"/>
      <c r="F53" s="29"/>
      <c r="G53" s="4"/>
      <c r="H53" s="4"/>
      <c r="I53" s="52"/>
      <c r="K53" s="24"/>
      <c r="L53" s="4"/>
    </row>
    <row r="54">
      <c r="A54" s="4" t="s">
        <v>434</v>
      </c>
      <c r="B54" s="4">
        <v>1.0</v>
      </c>
      <c r="C54" s="4"/>
      <c r="D54" s="4"/>
      <c r="E54" s="24"/>
      <c r="F54" s="29"/>
      <c r="G54" s="4"/>
      <c r="H54" s="4"/>
      <c r="I54" s="52"/>
      <c r="K54" s="24"/>
      <c r="L54" s="4"/>
    </row>
    <row r="55">
      <c r="A55" s="4" t="s">
        <v>435</v>
      </c>
      <c r="B55" s="4">
        <v>1.0</v>
      </c>
      <c r="C55" s="4"/>
      <c r="D55" s="4"/>
      <c r="E55" s="24"/>
      <c r="F55" s="29"/>
      <c r="G55" s="4"/>
      <c r="H55" s="4"/>
      <c r="I55" s="52"/>
      <c r="K55" s="24"/>
      <c r="L55" s="4"/>
    </row>
    <row r="56">
      <c r="A56" s="4" t="s">
        <v>436</v>
      </c>
      <c r="B56" s="4">
        <v>1.0</v>
      </c>
      <c r="C56" s="4"/>
      <c r="D56" s="4"/>
      <c r="E56" s="24"/>
      <c r="F56" s="29"/>
      <c r="G56" s="4"/>
      <c r="H56" s="4"/>
      <c r="I56" s="52"/>
      <c r="K56" s="24"/>
      <c r="L56" s="4"/>
    </row>
    <row r="57">
      <c r="A57" s="4" t="s">
        <v>437</v>
      </c>
      <c r="B57" s="4">
        <v>1.0</v>
      </c>
      <c r="C57" s="4"/>
      <c r="D57" s="4"/>
      <c r="E57" s="24"/>
      <c r="F57" s="29"/>
      <c r="G57" s="4"/>
      <c r="H57" s="4"/>
      <c r="I57" s="52"/>
      <c r="K57" s="24"/>
      <c r="L57" s="4"/>
    </row>
    <row r="58">
      <c r="A58" s="4" t="s">
        <v>438</v>
      </c>
      <c r="B58" s="4">
        <v>1.0</v>
      </c>
      <c r="C58" s="4"/>
      <c r="D58" s="4"/>
      <c r="E58" s="24"/>
      <c r="F58" s="29"/>
      <c r="G58" s="4"/>
      <c r="H58" s="4"/>
      <c r="I58" s="52"/>
      <c r="K58" s="24"/>
      <c r="L58" s="4"/>
    </row>
    <row r="59">
      <c r="A59" s="4" t="s">
        <v>439</v>
      </c>
      <c r="B59" s="4">
        <v>1.0</v>
      </c>
      <c r="C59" s="4"/>
      <c r="D59" s="4"/>
      <c r="E59" s="24"/>
      <c r="F59" s="29"/>
      <c r="G59" s="4"/>
      <c r="H59" s="4"/>
      <c r="I59" s="52"/>
      <c r="K59" s="24"/>
      <c r="L59" s="4"/>
    </row>
    <row r="60">
      <c r="A60" s="4" t="s">
        <v>440</v>
      </c>
      <c r="B60" s="4">
        <v>1.0</v>
      </c>
      <c r="C60" s="4"/>
      <c r="D60" s="4"/>
      <c r="E60" s="24"/>
      <c r="F60" s="29"/>
      <c r="G60" s="4"/>
      <c r="H60" s="4"/>
      <c r="I60" s="52"/>
      <c r="K60" s="24"/>
      <c r="L60" s="4"/>
    </row>
    <row r="61">
      <c r="A61" s="4" t="s">
        <v>441</v>
      </c>
      <c r="B61" s="4">
        <v>1.0</v>
      </c>
      <c r="C61" s="4"/>
      <c r="D61" s="4"/>
      <c r="E61" s="24"/>
      <c r="F61" s="29"/>
      <c r="G61" s="4"/>
      <c r="H61" s="4"/>
      <c r="I61" s="52"/>
      <c r="K61" s="24"/>
      <c r="L61" s="4"/>
    </row>
    <row r="62">
      <c r="A62" s="4" t="s">
        <v>442</v>
      </c>
      <c r="B62" s="4">
        <v>1.0</v>
      </c>
      <c r="C62" s="4"/>
      <c r="D62" s="4"/>
      <c r="E62" s="24"/>
      <c r="F62" s="29"/>
      <c r="G62" s="4"/>
      <c r="H62" s="4"/>
      <c r="I62" s="52"/>
      <c r="K62" s="24"/>
      <c r="L62" s="4"/>
    </row>
    <row r="63">
      <c r="A63" s="4" t="s">
        <v>443</v>
      </c>
      <c r="B63" s="4">
        <v>1.0</v>
      </c>
      <c r="C63" s="4"/>
      <c r="D63" s="4"/>
      <c r="E63" s="24"/>
      <c r="F63" s="29"/>
      <c r="G63" s="4"/>
      <c r="H63" s="4"/>
      <c r="I63" s="52"/>
      <c r="K63" s="24"/>
      <c r="L63" s="4"/>
    </row>
    <row r="64">
      <c r="A64" s="4" t="s">
        <v>444</v>
      </c>
      <c r="B64" s="4">
        <v>1.0</v>
      </c>
      <c r="C64" s="4"/>
      <c r="D64" s="4"/>
      <c r="E64" s="24"/>
      <c r="F64" s="29"/>
      <c r="G64" s="4"/>
      <c r="H64" s="4"/>
      <c r="I64" s="52"/>
      <c r="K64" s="24"/>
      <c r="L64" s="4"/>
    </row>
    <row r="65">
      <c r="A65" s="4" t="s">
        <v>445</v>
      </c>
      <c r="B65" s="4">
        <v>1.0</v>
      </c>
      <c r="C65" s="4"/>
      <c r="D65" s="4"/>
      <c r="E65" s="24"/>
      <c r="F65" s="29"/>
      <c r="G65" s="4"/>
      <c r="H65" s="4"/>
      <c r="I65" s="52"/>
      <c r="K65" s="24"/>
      <c r="L65" s="4"/>
    </row>
    <row r="66">
      <c r="A66" s="4" t="s">
        <v>446</v>
      </c>
      <c r="B66" s="4">
        <v>1.0</v>
      </c>
      <c r="C66" s="4"/>
      <c r="D66" s="4"/>
      <c r="E66" s="24"/>
      <c r="F66" s="29"/>
      <c r="G66" s="4"/>
      <c r="H66" s="4"/>
      <c r="I66" s="52"/>
      <c r="K66" s="24"/>
      <c r="L66" s="4"/>
    </row>
    <row r="67">
      <c r="A67" s="4" t="s">
        <v>447</v>
      </c>
      <c r="B67" s="4">
        <v>1.0</v>
      </c>
      <c r="C67" s="4"/>
      <c r="D67" s="4"/>
      <c r="E67" s="24"/>
      <c r="F67" s="29"/>
      <c r="G67" s="4"/>
      <c r="H67" s="4"/>
      <c r="I67" s="52"/>
      <c r="K67" s="24"/>
      <c r="L67" s="4"/>
    </row>
    <row r="68">
      <c r="A68" s="4" t="s">
        <v>448</v>
      </c>
      <c r="B68" s="4">
        <v>1.0</v>
      </c>
      <c r="C68" s="4"/>
      <c r="D68" s="4"/>
      <c r="E68" s="24"/>
      <c r="F68" s="29"/>
      <c r="G68" s="4"/>
      <c r="H68" s="4"/>
      <c r="I68" s="52"/>
      <c r="K68" s="24"/>
      <c r="L68" s="4"/>
    </row>
    <row r="69">
      <c r="A69" s="4" t="s">
        <v>449</v>
      </c>
      <c r="B69" s="4">
        <v>1.0</v>
      </c>
      <c r="C69" s="4"/>
      <c r="D69" s="4"/>
      <c r="E69" s="24"/>
      <c r="F69" s="29"/>
      <c r="G69" s="4"/>
      <c r="H69" s="4"/>
      <c r="I69" s="52"/>
      <c r="K69" s="24"/>
      <c r="L69" s="4"/>
    </row>
    <row r="70">
      <c r="A70" s="4" t="s">
        <v>450</v>
      </c>
      <c r="B70" s="4">
        <v>1.0</v>
      </c>
      <c r="C70" s="4"/>
      <c r="D70" s="4"/>
      <c r="E70" s="24"/>
      <c r="F70" s="29"/>
      <c r="G70" s="4"/>
      <c r="H70" s="4"/>
      <c r="I70" s="52"/>
      <c r="K70" s="24"/>
      <c r="L70" s="4"/>
    </row>
    <row r="71">
      <c r="A71" s="4" t="s">
        <v>451</v>
      </c>
      <c r="B71" s="4">
        <v>1.0</v>
      </c>
      <c r="C71" s="4"/>
      <c r="D71" s="4"/>
      <c r="E71" s="24"/>
      <c r="F71" s="29"/>
      <c r="G71" s="4"/>
      <c r="H71" s="4"/>
      <c r="I71" s="52"/>
      <c r="K71" s="24"/>
      <c r="L71" s="4"/>
    </row>
    <row r="72">
      <c r="A72" s="4" t="s">
        <v>452</v>
      </c>
      <c r="B72" s="4">
        <v>1.0</v>
      </c>
      <c r="C72" s="4"/>
      <c r="D72" s="4"/>
      <c r="E72" s="24"/>
      <c r="F72" s="29"/>
      <c r="G72" s="4"/>
      <c r="H72" s="4"/>
      <c r="I72" s="52"/>
      <c r="K72" s="24"/>
      <c r="L72" s="4"/>
    </row>
    <row r="73">
      <c r="A73" s="4" t="s">
        <v>453</v>
      </c>
      <c r="B73" s="4">
        <v>1.0</v>
      </c>
      <c r="C73" s="4"/>
      <c r="D73" s="4"/>
      <c r="E73" s="24"/>
      <c r="F73" s="29"/>
      <c r="G73" s="4"/>
      <c r="H73" s="4"/>
      <c r="I73" s="52"/>
      <c r="K73" s="24"/>
      <c r="L73" s="4"/>
    </row>
    <row r="74">
      <c r="A74" s="4" t="s">
        <v>454</v>
      </c>
      <c r="B74" s="4">
        <v>1.0</v>
      </c>
      <c r="C74" s="4"/>
      <c r="D74" s="4"/>
      <c r="E74" s="24"/>
      <c r="F74" s="29"/>
      <c r="G74" s="4"/>
      <c r="H74" s="4"/>
      <c r="I74" s="52"/>
      <c r="K74" s="24"/>
      <c r="L74" s="4"/>
    </row>
    <row r="75">
      <c r="A75" s="4" t="s">
        <v>455</v>
      </c>
      <c r="B75" s="4">
        <v>1.0</v>
      </c>
      <c r="C75" s="4"/>
      <c r="D75" s="4"/>
      <c r="E75" s="24"/>
      <c r="F75" s="29"/>
      <c r="G75" s="4"/>
      <c r="H75" s="4"/>
      <c r="I75" s="52"/>
      <c r="K75" s="24"/>
      <c r="L75" s="4"/>
    </row>
    <row r="76">
      <c r="A76" s="4" t="s">
        <v>456</v>
      </c>
      <c r="B76" s="4">
        <v>1.0</v>
      </c>
      <c r="C76" s="4"/>
      <c r="D76" s="4"/>
      <c r="E76" s="24"/>
      <c r="F76" s="29"/>
      <c r="G76" s="4"/>
      <c r="H76" s="4"/>
      <c r="I76" s="52"/>
      <c r="K76" s="24"/>
      <c r="L76" s="4"/>
    </row>
    <row r="77">
      <c r="A77" s="4" t="s">
        <v>457</v>
      </c>
      <c r="B77" s="4">
        <v>1.0</v>
      </c>
      <c r="C77" s="4"/>
      <c r="D77" s="4"/>
      <c r="E77" s="24"/>
      <c r="F77" s="29"/>
      <c r="G77" s="4"/>
      <c r="H77" s="4"/>
      <c r="I77" s="52"/>
      <c r="K77" s="24"/>
      <c r="L77" s="4"/>
    </row>
    <row r="78">
      <c r="A78" s="4" t="s">
        <v>458</v>
      </c>
      <c r="B78" s="4">
        <v>1.0</v>
      </c>
      <c r="C78" s="4"/>
      <c r="D78" s="4"/>
      <c r="E78" s="24"/>
      <c r="F78" s="29"/>
      <c r="G78" s="4"/>
      <c r="H78" s="4"/>
      <c r="I78" s="52"/>
      <c r="K78" s="24"/>
      <c r="L78" s="4"/>
    </row>
    <row r="79">
      <c r="A79" s="4" t="s">
        <v>459</v>
      </c>
      <c r="B79" s="4">
        <v>1.0</v>
      </c>
      <c r="C79" s="4"/>
      <c r="D79" s="4"/>
      <c r="E79" s="24"/>
      <c r="F79" s="29"/>
      <c r="G79" s="4"/>
      <c r="H79" s="4"/>
      <c r="I79" s="52"/>
      <c r="K79" s="24"/>
      <c r="L79" s="4"/>
    </row>
    <row r="80">
      <c r="A80" s="4" t="s">
        <v>460</v>
      </c>
      <c r="B80" s="4">
        <v>1.0</v>
      </c>
      <c r="C80" s="4"/>
      <c r="D80" s="4"/>
      <c r="E80" s="24"/>
      <c r="F80" s="29"/>
      <c r="G80" s="4"/>
      <c r="H80" s="4"/>
      <c r="I80" s="52"/>
      <c r="K80" s="24"/>
      <c r="L80" s="4"/>
    </row>
    <row r="81">
      <c r="A81" s="4" t="s">
        <v>461</v>
      </c>
      <c r="B81" s="4">
        <v>1.0</v>
      </c>
      <c r="C81" s="4"/>
      <c r="D81" s="4"/>
      <c r="E81" s="24"/>
      <c r="F81" s="29"/>
      <c r="G81" s="4"/>
      <c r="H81" s="4"/>
      <c r="I81" s="52"/>
      <c r="K81" s="24"/>
      <c r="L81" s="4"/>
    </row>
    <row r="82">
      <c r="A82" s="4" t="s">
        <v>462</v>
      </c>
      <c r="B82" s="4">
        <v>1.0</v>
      </c>
      <c r="C82" s="4"/>
      <c r="D82" s="4"/>
      <c r="E82" s="24"/>
      <c r="F82" s="29"/>
      <c r="G82" s="4"/>
      <c r="H82" s="4"/>
      <c r="I82" s="52"/>
      <c r="K82" s="24"/>
      <c r="L82" s="4"/>
    </row>
    <row r="83">
      <c r="A83" s="4" t="s">
        <v>463</v>
      </c>
      <c r="B83" s="4">
        <v>1.0</v>
      </c>
      <c r="C83" s="4"/>
      <c r="D83" s="4"/>
      <c r="E83" s="24"/>
      <c r="F83" s="29"/>
      <c r="G83" s="4"/>
      <c r="H83" s="4"/>
      <c r="I83" s="52"/>
      <c r="K83" s="24"/>
      <c r="L83" s="4"/>
    </row>
    <row r="84">
      <c r="A84" s="4" t="s">
        <v>464</v>
      </c>
      <c r="B84" s="4">
        <v>1.0</v>
      </c>
      <c r="C84" s="4"/>
      <c r="D84" s="4"/>
      <c r="E84" s="24"/>
      <c r="F84" s="29"/>
      <c r="G84" s="4"/>
      <c r="H84" s="4"/>
      <c r="I84" s="52"/>
      <c r="K84" s="24"/>
      <c r="L84" s="4"/>
    </row>
    <row r="85">
      <c r="A85" s="4" t="s">
        <v>465</v>
      </c>
      <c r="B85" s="4">
        <v>1.0</v>
      </c>
      <c r="C85" s="4"/>
      <c r="D85" s="4"/>
      <c r="E85" s="24"/>
      <c r="F85" s="29"/>
      <c r="G85" s="4"/>
      <c r="H85" s="4"/>
      <c r="I85" s="52"/>
      <c r="K85" s="24"/>
      <c r="L85" s="4"/>
    </row>
    <row r="86">
      <c r="A86" s="4" t="s">
        <v>466</v>
      </c>
      <c r="B86" s="4">
        <v>1.0</v>
      </c>
      <c r="C86" s="4"/>
      <c r="D86" s="4"/>
      <c r="E86" s="24"/>
      <c r="F86" s="29"/>
      <c r="G86" s="4"/>
      <c r="H86" s="4"/>
      <c r="I86" s="52"/>
      <c r="K86" s="24"/>
      <c r="L86" s="4"/>
    </row>
    <row r="87">
      <c r="A87" s="4" t="s">
        <v>467</v>
      </c>
      <c r="B87" s="4">
        <v>1.0</v>
      </c>
      <c r="C87" s="4"/>
      <c r="D87" s="4"/>
      <c r="E87" s="24"/>
      <c r="F87" s="29"/>
      <c r="G87" s="4"/>
      <c r="H87" s="4"/>
      <c r="I87" s="52"/>
      <c r="K87" s="24"/>
      <c r="L87" s="4"/>
    </row>
    <row r="88">
      <c r="A88" s="4" t="s">
        <v>468</v>
      </c>
      <c r="B88" s="4">
        <v>1.0</v>
      </c>
      <c r="C88" s="4"/>
      <c r="D88" s="4"/>
      <c r="E88" s="24"/>
      <c r="F88" s="29"/>
      <c r="G88" s="4"/>
      <c r="H88" s="4"/>
      <c r="I88" s="52"/>
      <c r="K88" s="24"/>
      <c r="L88" s="4"/>
    </row>
    <row r="89">
      <c r="A89" s="4" t="s">
        <v>469</v>
      </c>
      <c r="B89" s="4">
        <v>1.0</v>
      </c>
      <c r="C89" s="4"/>
      <c r="D89" s="4"/>
      <c r="E89" s="24"/>
      <c r="F89" s="29"/>
      <c r="G89" s="4"/>
      <c r="H89" s="4"/>
      <c r="I89" s="52"/>
      <c r="K89" s="24"/>
      <c r="L89" s="4"/>
    </row>
    <row r="90">
      <c r="A90" s="4" t="s">
        <v>470</v>
      </c>
      <c r="B90" s="4">
        <v>1.0</v>
      </c>
      <c r="C90" s="4"/>
      <c r="D90" s="4"/>
      <c r="E90" s="24"/>
      <c r="F90" s="29"/>
      <c r="G90" s="4"/>
      <c r="H90" s="4"/>
      <c r="I90" s="52"/>
      <c r="K90" s="24"/>
      <c r="L90" s="4"/>
    </row>
    <row r="91">
      <c r="A91" s="4" t="s">
        <v>471</v>
      </c>
      <c r="B91" s="4">
        <v>1.0</v>
      </c>
      <c r="C91" s="4"/>
      <c r="D91" s="4"/>
      <c r="E91" s="24"/>
      <c r="F91" s="29"/>
      <c r="G91" s="4"/>
      <c r="H91" s="4"/>
      <c r="I91" s="52"/>
      <c r="K91" s="24"/>
      <c r="L91" s="4"/>
    </row>
    <row r="92">
      <c r="A92" s="4" t="s">
        <v>472</v>
      </c>
      <c r="B92" s="4">
        <v>1.0</v>
      </c>
      <c r="C92" s="4"/>
      <c r="D92" s="4"/>
      <c r="E92" s="24"/>
      <c r="F92" s="29"/>
      <c r="G92" s="4"/>
      <c r="H92" s="4"/>
      <c r="I92" s="52"/>
      <c r="K92" s="24"/>
      <c r="L92" s="4"/>
    </row>
    <row r="93">
      <c r="A93" s="4" t="s">
        <v>473</v>
      </c>
      <c r="B93" s="4">
        <v>1.0</v>
      </c>
      <c r="C93" s="4"/>
      <c r="D93" s="4"/>
      <c r="E93" s="24"/>
      <c r="F93" s="29"/>
      <c r="G93" s="4"/>
      <c r="H93" s="4"/>
      <c r="I93" s="52"/>
      <c r="K93" s="24"/>
      <c r="L93" s="4"/>
    </row>
    <row r="94">
      <c r="A94" s="4" t="s">
        <v>474</v>
      </c>
      <c r="B94" s="4">
        <v>1.0</v>
      </c>
      <c r="C94" s="4"/>
      <c r="D94" s="4"/>
      <c r="E94" s="24"/>
      <c r="F94" s="29"/>
      <c r="G94" s="4"/>
      <c r="H94" s="4"/>
      <c r="I94" s="52"/>
      <c r="K94" s="24"/>
      <c r="L94" s="4"/>
    </row>
    <row r="95">
      <c r="A95" s="4" t="s">
        <v>475</v>
      </c>
      <c r="B95" s="4">
        <v>1.0</v>
      </c>
      <c r="C95" s="4"/>
      <c r="D95" s="4"/>
      <c r="E95" s="24"/>
      <c r="F95" s="29"/>
      <c r="G95" s="4"/>
      <c r="H95" s="4"/>
      <c r="I95" s="52"/>
      <c r="K95" s="24"/>
      <c r="L95" s="4"/>
    </row>
    <row r="96">
      <c r="A96" s="4" t="s">
        <v>476</v>
      </c>
      <c r="B96" s="4">
        <v>1.0</v>
      </c>
      <c r="C96" s="4"/>
      <c r="D96" s="4"/>
      <c r="E96" s="24"/>
      <c r="F96" s="29"/>
      <c r="G96" s="4"/>
      <c r="H96" s="4"/>
      <c r="I96" s="52"/>
      <c r="K96" s="24"/>
      <c r="L96" s="4"/>
    </row>
    <row r="97">
      <c r="A97" s="4" t="s">
        <v>477</v>
      </c>
      <c r="B97" s="4">
        <v>1.0</v>
      </c>
      <c r="C97" s="4"/>
      <c r="D97" s="4"/>
      <c r="E97" s="24"/>
      <c r="F97" s="29"/>
      <c r="G97" s="4"/>
      <c r="H97" s="4"/>
      <c r="I97" s="52"/>
      <c r="K97" s="24"/>
      <c r="L97" s="4"/>
    </row>
    <row r="98">
      <c r="A98" s="4" t="s">
        <v>478</v>
      </c>
      <c r="B98" s="4">
        <v>1.0</v>
      </c>
      <c r="C98" s="4"/>
      <c r="D98" s="4"/>
      <c r="E98" s="24"/>
      <c r="F98" s="29"/>
      <c r="G98" s="4"/>
      <c r="H98" s="4"/>
      <c r="I98" s="52"/>
      <c r="K98" s="24"/>
      <c r="L98" s="4"/>
    </row>
    <row r="99">
      <c r="A99" s="4" t="s">
        <v>479</v>
      </c>
      <c r="B99" s="4">
        <v>1.0</v>
      </c>
      <c r="C99" s="4"/>
      <c r="D99" s="4"/>
      <c r="E99" s="24"/>
      <c r="F99" s="29"/>
      <c r="G99" s="4"/>
      <c r="H99" s="4"/>
      <c r="I99" s="52"/>
      <c r="K99" s="24"/>
      <c r="L99" s="4"/>
    </row>
    <row r="100">
      <c r="A100" s="4" t="s">
        <v>480</v>
      </c>
      <c r="B100" s="4">
        <v>1.0</v>
      </c>
      <c r="C100" s="4"/>
      <c r="D100" s="4"/>
      <c r="E100" s="24"/>
      <c r="F100" s="29"/>
      <c r="G100" s="4"/>
      <c r="H100" s="4"/>
      <c r="I100" s="52"/>
      <c r="K100" s="24"/>
      <c r="L100" s="4"/>
    </row>
    <row r="101">
      <c r="A101" s="4" t="s">
        <v>481</v>
      </c>
      <c r="B101" s="4">
        <v>1.0</v>
      </c>
      <c r="C101" s="4"/>
      <c r="D101" s="4"/>
      <c r="E101" s="24"/>
      <c r="F101" s="29"/>
      <c r="G101" s="4"/>
      <c r="H101" s="4"/>
      <c r="I101" s="52"/>
      <c r="K101" s="24"/>
      <c r="L101" s="4"/>
    </row>
    <row r="102">
      <c r="A102" s="4" t="s">
        <v>482</v>
      </c>
      <c r="B102" s="4">
        <v>1.0</v>
      </c>
      <c r="C102" s="4"/>
      <c r="D102" s="4"/>
      <c r="E102" s="24"/>
      <c r="F102" s="29"/>
      <c r="G102" s="4"/>
      <c r="H102" s="4"/>
      <c r="I102" s="52"/>
      <c r="K102" s="24"/>
      <c r="L102" s="4"/>
    </row>
    <row r="103">
      <c r="A103" s="4" t="s">
        <v>483</v>
      </c>
      <c r="B103" s="4">
        <v>1.0</v>
      </c>
      <c r="C103" s="4"/>
      <c r="D103" s="4"/>
      <c r="E103" s="24"/>
      <c r="F103" s="29"/>
      <c r="G103" s="4"/>
      <c r="H103" s="4"/>
      <c r="I103" s="52"/>
      <c r="K103" s="24"/>
      <c r="L103" s="4"/>
    </row>
    <row r="104">
      <c r="A104" s="4" t="s">
        <v>484</v>
      </c>
      <c r="B104" s="4">
        <v>1.0</v>
      </c>
      <c r="C104" s="4"/>
      <c r="D104" s="4"/>
      <c r="E104" s="24"/>
      <c r="F104" s="29"/>
      <c r="G104" s="4"/>
      <c r="H104" s="4"/>
      <c r="I104" s="52"/>
      <c r="K104" s="24"/>
      <c r="L104" s="4"/>
    </row>
    <row r="105">
      <c r="A105" s="4" t="s">
        <v>485</v>
      </c>
      <c r="B105" s="4">
        <v>1.0</v>
      </c>
      <c r="C105" s="4"/>
      <c r="D105" s="4"/>
      <c r="E105" s="24"/>
      <c r="F105" s="29"/>
      <c r="G105" s="4"/>
      <c r="H105" s="4"/>
      <c r="I105" s="52"/>
      <c r="K105" s="24"/>
      <c r="L105" s="4"/>
    </row>
    <row r="106">
      <c r="A106" s="4" t="s">
        <v>486</v>
      </c>
      <c r="B106" s="4">
        <v>1.0</v>
      </c>
      <c r="C106" s="4"/>
      <c r="D106" s="4"/>
      <c r="E106" s="24"/>
      <c r="F106" s="29"/>
      <c r="G106" s="4"/>
      <c r="H106" s="4"/>
      <c r="I106" s="52"/>
      <c r="K106" s="24"/>
      <c r="L106" s="4"/>
    </row>
    <row r="107">
      <c r="A107" s="4" t="s">
        <v>487</v>
      </c>
      <c r="B107" s="4">
        <v>1.0</v>
      </c>
      <c r="C107" s="4"/>
      <c r="D107" s="4"/>
      <c r="E107" s="24"/>
      <c r="F107" s="29"/>
      <c r="G107" s="4"/>
      <c r="H107" s="4"/>
      <c r="I107" s="52"/>
      <c r="K107" s="24"/>
      <c r="L107" s="4"/>
    </row>
    <row r="108">
      <c r="A108" s="4" t="s">
        <v>488</v>
      </c>
      <c r="B108" s="4">
        <v>1.0</v>
      </c>
      <c r="C108" s="4"/>
      <c r="D108" s="4"/>
      <c r="E108" s="24"/>
      <c r="F108" s="29"/>
      <c r="G108" s="4"/>
      <c r="H108" s="4"/>
      <c r="I108" s="52"/>
      <c r="K108" s="24"/>
      <c r="L108" s="4"/>
    </row>
    <row r="109">
      <c r="A109" s="4" t="s">
        <v>489</v>
      </c>
      <c r="B109" s="4">
        <v>1.0</v>
      </c>
      <c r="C109" s="4"/>
      <c r="D109" s="4"/>
      <c r="E109" s="24"/>
      <c r="F109" s="29"/>
      <c r="G109" s="4"/>
      <c r="H109" s="4"/>
      <c r="I109" s="52"/>
      <c r="K109" s="24"/>
      <c r="L109" s="4"/>
    </row>
    <row r="110">
      <c r="A110" s="4" t="s">
        <v>490</v>
      </c>
      <c r="B110" s="4">
        <v>1.0</v>
      </c>
      <c r="C110" s="4"/>
      <c r="D110" s="4"/>
      <c r="E110" s="24"/>
      <c r="F110" s="29"/>
      <c r="G110" s="4"/>
      <c r="H110" s="4"/>
      <c r="I110" s="52"/>
      <c r="K110" s="24"/>
      <c r="L110" s="4"/>
    </row>
    <row r="111">
      <c r="A111" s="4" t="s">
        <v>491</v>
      </c>
      <c r="B111" s="4">
        <v>1.0</v>
      </c>
      <c r="C111" s="4"/>
      <c r="D111" s="4"/>
      <c r="E111" s="24"/>
      <c r="F111" s="29"/>
      <c r="G111" s="4"/>
      <c r="H111" s="4"/>
      <c r="I111" s="52"/>
      <c r="K111" s="24"/>
      <c r="L111" s="4"/>
    </row>
    <row r="112">
      <c r="A112" s="4" t="s">
        <v>492</v>
      </c>
      <c r="B112" s="4">
        <v>1.0</v>
      </c>
      <c r="C112" s="4"/>
      <c r="D112" s="4"/>
      <c r="E112" s="24"/>
      <c r="F112" s="29"/>
      <c r="G112" s="4"/>
      <c r="H112" s="4"/>
      <c r="I112" s="52"/>
      <c r="K112" s="24"/>
      <c r="L112" s="4"/>
    </row>
    <row r="113">
      <c r="A113" s="4" t="s">
        <v>493</v>
      </c>
      <c r="B113" s="4">
        <v>1.0</v>
      </c>
      <c r="C113" s="4"/>
      <c r="D113" s="4"/>
      <c r="E113" s="24"/>
      <c r="F113" s="29"/>
      <c r="G113" s="4"/>
      <c r="H113" s="4"/>
      <c r="I113" s="52"/>
      <c r="K113" s="24"/>
      <c r="L113" s="4"/>
    </row>
    <row r="114">
      <c r="A114" s="4" t="s">
        <v>494</v>
      </c>
      <c r="B114" s="4">
        <v>1.0</v>
      </c>
      <c r="C114" s="4"/>
      <c r="D114" s="4"/>
      <c r="E114" s="24"/>
      <c r="F114" s="29"/>
      <c r="G114" s="4"/>
      <c r="H114" s="4"/>
      <c r="I114" s="52"/>
      <c r="K114" s="24"/>
      <c r="L114" s="4"/>
    </row>
    <row r="115">
      <c r="A115" s="4" t="s">
        <v>495</v>
      </c>
      <c r="B115" s="4">
        <v>1.0</v>
      </c>
      <c r="C115" s="4"/>
      <c r="D115" s="4"/>
      <c r="E115" s="24"/>
      <c r="F115" s="29"/>
      <c r="G115" s="4"/>
      <c r="H115" s="4"/>
      <c r="I115" s="52"/>
      <c r="K115" s="24"/>
      <c r="L115" s="4"/>
    </row>
    <row r="116">
      <c r="A116" s="4" t="s">
        <v>496</v>
      </c>
      <c r="B116" s="4">
        <v>1.0</v>
      </c>
      <c r="C116" s="4"/>
      <c r="D116" s="4"/>
      <c r="E116" s="24"/>
      <c r="F116" s="29"/>
      <c r="G116" s="4"/>
      <c r="H116" s="4"/>
      <c r="I116" s="52"/>
      <c r="K116" s="24"/>
      <c r="L116" s="4"/>
    </row>
    <row r="117">
      <c r="A117" s="4" t="s">
        <v>497</v>
      </c>
      <c r="B117" s="4">
        <v>1.0</v>
      </c>
      <c r="C117" s="4"/>
      <c r="D117" s="4"/>
      <c r="E117" s="24"/>
      <c r="F117" s="29"/>
      <c r="G117" s="4"/>
      <c r="H117" s="4"/>
      <c r="I117" s="52"/>
      <c r="K117" s="24"/>
      <c r="L117" s="4"/>
    </row>
    <row r="118">
      <c r="A118" s="4" t="s">
        <v>498</v>
      </c>
      <c r="B118" s="4">
        <v>1.0</v>
      </c>
      <c r="C118" s="4"/>
      <c r="D118" s="4"/>
      <c r="E118" s="24"/>
      <c r="F118" s="29"/>
      <c r="G118" s="4"/>
      <c r="H118" s="4"/>
      <c r="I118" s="52"/>
      <c r="K118" s="24"/>
      <c r="L118" s="4"/>
    </row>
    <row r="119">
      <c r="A119" s="4" t="s">
        <v>499</v>
      </c>
      <c r="B119" s="4">
        <v>1.0</v>
      </c>
      <c r="C119" s="4"/>
      <c r="D119" s="4"/>
      <c r="E119" s="24"/>
      <c r="F119" s="29"/>
      <c r="G119" s="4"/>
      <c r="H119" s="4"/>
      <c r="I119" s="52"/>
      <c r="K119" s="24"/>
      <c r="L119" s="4"/>
    </row>
    <row r="120">
      <c r="A120" s="4" t="s">
        <v>500</v>
      </c>
      <c r="B120" s="4">
        <v>1.0</v>
      </c>
      <c r="C120" s="4"/>
      <c r="D120" s="4"/>
      <c r="E120" s="24"/>
      <c r="F120" s="29"/>
      <c r="G120" s="4"/>
      <c r="H120" s="4"/>
      <c r="I120" s="52"/>
      <c r="K120" s="24"/>
      <c r="L120" s="4"/>
    </row>
    <row r="121">
      <c r="A121" s="4" t="s">
        <v>501</v>
      </c>
      <c r="B121" s="4">
        <v>1.0</v>
      </c>
      <c r="C121" s="4"/>
      <c r="D121" s="4"/>
      <c r="E121" s="24"/>
      <c r="F121" s="29"/>
      <c r="G121" s="4"/>
      <c r="H121" s="4"/>
      <c r="I121" s="52"/>
      <c r="K121" s="24"/>
      <c r="L121" s="4"/>
    </row>
    <row r="122">
      <c r="A122" s="4" t="s">
        <v>502</v>
      </c>
      <c r="B122" s="4">
        <v>1.0</v>
      </c>
      <c r="C122" s="4"/>
      <c r="D122" s="4"/>
      <c r="E122" s="24"/>
      <c r="F122" s="29"/>
      <c r="G122" s="4"/>
      <c r="H122" s="4"/>
      <c r="I122" s="52"/>
      <c r="K122" s="24"/>
      <c r="L122" s="4"/>
    </row>
    <row r="123">
      <c r="A123" s="4" t="s">
        <v>503</v>
      </c>
      <c r="B123" s="4">
        <v>1.0</v>
      </c>
      <c r="C123" s="4"/>
      <c r="D123" s="4"/>
      <c r="E123" s="24"/>
      <c r="F123" s="29"/>
      <c r="G123" s="4"/>
      <c r="H123" s="4"/>
      <c r="I123" s="52"/>
      <c r="K123" s="24"/>
      <c r="L123" s="4"/>
    </row>
    <row r="124">
      <c r="A124" s="4" t="s">
        <v>504</v>
      </c>
      <c r="B124" s="4">
        <v>1.0</v>
      </c>
      <c r="C124" s="4"/>
      <c r="D124" s="4"/>
      <c r="E124" s="24"/>
      <c r="F124" s="29"/>
      <c r="G124" s="4"/>
      <c r="H124" s="4"/>
      <c r="I124" s="52"/>
      <c r="K124" s="24"/>
      <c r="L124" s="4"/>
    </row>
    <row r="125">
      <c r="A125" s="4" t="s">
        <v>505</v>
      </c>
      <c r="B125" s="4">
        <v>1.0</v>
      </c>
      <c r="C125" s="4"/>
      <c r="D125" s="4"/>
      <c r="E125" s="24"/>
      <c r="F125" s="29"/>
      <c r="G125" s="4"/>
      <c r="H125" s="4"/>
      <c r="I125" s="52"/>
      <c r="K125" s="24"/>
      <c r="L125" s="4"/>
    </row>
    <row r="126">
      <c r="A126" s="4" t="s">
        <v>506</v>
      </c>
      <c r="B126" s="4">
        <v>1.0</v>
      </c>
      <c r="C126" s="4"/>
      <c r="D126" s="4"/>
      <c r="E126" s="24"/>
      <c r="F126" s="29"/>
      <c r="G126" s="4"/>
      <c r="H126" s="4"/>
      <c r="I126" s="52"/>
      <c r="K126" s="24"/>
      <c r="L126" s="4"/>
    </row>
    <row r="127">
      <c r="A127" s="4" t="s">
        <v>507</v>
      </c>
      <c r="B127" s="4">
        <v>1.0</v>
      </c>
      <c r="C127" s="4"/>
      <c r="D127" s="4"/>
      <c r="E127" s="24"/>
      <c r="F127" s="29"/>
      <c r="G127" s="4"/>
      <c r="H127" s="4"/>
      <c r="I127" s="52"/>
      <c r="K127" s="24"/>
      <c r="L127" s="4"/>
    </row>
    <row r="128">
      <c r="A128" s="4" t="s">
        <v>508</v>
      </c>
      <c r="B128" s="4">
        <v>1.0</v>
      </c>
      <c r="C128" s="4"/>
      <c r="D128" s="4"/>
      <c r="E128" s="24"/>
      <c r="F128" s="29"/>
      <c r="G128" s="4"/>
      <c r="H128" s="4"/>
      <c r="I128" s="52"/>
      <c r="K128" s="24"/>
      <c r="L128" s="4"/>
    </row>
    <row r="129">
      <c r="A129" s="4" t="s">
        <v>509</v>
      </c>
      <c r="B129" s="4">
        <v>1.0</v>
      </c>
      <c r="C129" s="4"/>
      <c r="D129" s="4"/>
      <c r="E129" s="24"/>
      <c r="F129" s="29"/>
      <c r="G129" s="4"/>
      <c r="H129" s="4"/>
      <c r="I129" s="52"/>
      <c r="K129" s="24"/>
      <c r="L129" s="4"/>
    </row>
    <row r="130">
      <c r="A130" s="4" t="s">
        <v>510</v>
      </c>
      <c r="B130" s="4">
        <v>1.0</v>
      </c>
      <c r="C130" s="4"/>
      <c r="D130" s="4"/>
      <c r="E130" s="24"/>
      <c r="F130" s="29"/>
      <c r="G130" s="4"/>
      <c r="H130" s="4"/>
      <c r="I130" s="52"/>
      <c r="K130" s="24"/>
      <c r="L130" s="4"/>
    </row>
    <row r="131">
      <c r="A131" s="4" t="s">
        <v>511</v>
      </c>
      <c r="B131" s="4">
        <v>1.0</v>
      </c>
      <c r="C131" s="4"/>
      <c r="D131" s="4"/>
      <c r="E131" s="24"/>
      <c r="F131" s="29"/>
      <c r="G131" s="4"/>
      <c r="H131" s="4"/>
      <c r="I131" s="52"/>
      <c r="K131" s="24"/>
      <c r="L131" s="4"/>
    </row>
    <row r="132">
      <c r="A132" s="4" t="s">
        <v>512</v>
      </c>
      <c r="B132" s="4">
        <v>1.0</v>
      </c>
      <c r="C132" s="4"/>
      <c r="D132" s="4"/>
      <c r="E132" s="24"/>
      <c r="F132" s="29"/>
      <c r="G132" s="4"/>
      <c r="H132" s="4"/>
      <c r="I132" s="52"/>
      <c r="K132" s="24"/>
      <c r="L132" s="4"/>
    </row>
    <row r="133">
      <c r="A133" s="4" t="s">
        <v>513</v>
      </c>
      <c r="B133" s="4">
        <v>1.0</v>
      </c>
      <c r="C133" s="4"/>
      <c r="D133" s="4"/>
      <c r="E133" s="24"/>
      <c r="F133" s="29"/>
      <c r="G133" s="4"/>
      <c r="H133" s="4"/>
      <c r="I133" s="52"/>
      <c r="K133" s="24"/>
      <c r="L133" s="4"/>
    </row>
    <row r="134">
      <c r="A134" s="4" t="s">
        <v>514</v>
      </c>
      <c r="B134" s="4">
        <v>1.0</v>
      </c>
      <c r="C134" s="4"/>
      <c r="D134" s="4"/>
      <c r="E134" s="24"/>
      <c r="F134" s="29"/>
      <c r="G134" s="4"/>
      <c r="H134" s="4"/>
      <c r="I134" s="52"/>
      <c r="K134" s="24"/>
      <c r="L134" s="4"/>
    </row>
    <row r="135">
      <c r="A135" s="4" t="s">
        <v>515</v>
      </c>
      <c r="B135" s="4">
        <v>1.0</v>
      </c>
      <c r="C135" s="4"/>
      <c r="D135" s="4"/>
      <c r="E135" s="24"/>
      <c r="F135" s="29"/>
      <c r="G135" s="4"/>
      <c r="H135" s="4"/>
      <c r="I135" s="52"/>
      <c r="K135" s="24"/>
      <c r="L135" s="4"/>
    </row>
    <row r="136">
      <c r="A136" s="4" t="s">
        <v>516</v>
      </c>
      <c r="B136" s="4">
        <v>1.0</v>
      </c>
      <c r="C136" s="4"/>
      <c r="D136" s="4"/>
      <c r="E136" s="24"/>
      <c r="F136" s="29"/>
      <c r="G136" s="4"/>
      <c r="H136" s="4"/>
      <c r="I136" s="52"/>
      <c r="K136" s="24"/>
      <c r="L136" s="4"/>
    </row>
    <row r="137">
      <c r="A137" s="4" t="s">
        <v>517</v>
      </c>
      <c r="B137" s="4">
        <v>1.0</v>
      </c>
      <c r="C137" s="4"/>
      <c r="D137" s="4"/>
      <c r="E137" s="24"/>
      <c r="F137" s="29"/>
      <c r="G137" s="4"/>
      <c r="H137" s="4"/>
      <c r="I137" s="52"/>
      <c r="K137" s="24"/>
      <c r="L137" s="4"/>
    </row>
    <row r="138">
      <c r="A138" s="4" t="s">
        <v>518</v>
      </c>
      <c r="B138" s="4">
        <v>1.0</v>
      </c>
      <c r="C138" s="4"/>
      <c r="D138" s="4"/>
      <c r="E138" s="24"/>
      <c r="F138" s="29"/>
      <c r="G138" s="4"/>
      <c r="H138" s="4"/>
      <c r="I138" s="52"/>
      <c r="K138" s="24"/>
      <c r="L138" s="4"/>
    </row>
    <row r="139">
      <c r="A139" s="4" t="s">
        <v>519</v>
      </c>
      <c r="B139" s="4">
        <v>1.0</v>
      </c>
      <c r="C139" s="4"/>
      <c r="D139" s="4"/>
      <c r="E139" s="24"/>
      <c r="F139" s="29"/>
      <c r="G139" s="4"/>
      <c r="H139" s="4"/>
      <c r="I139" s="52"/>
      <c r="K139" s="24"/>
      <c r="L139" s="4"/>
    </row>
    <row r="140">
      <c r="A140" s="4" t="s">
        <v>520</v>
      </c>
      <c r="B140" s="4">
        <v>1.0</v>
      </c>
      <c r="C140" s="4"/>
      <c r="D140" s="4"/>
      <c r="E140" s="24"/>
      <c r="F140" s="29"/>
      <c r="G140" s="4"/>
      <c r="H140" s="4"/>
      <c r="I140" s="52"/>
      <c r="K140" s="24"/>
      <c r="L140" s="4"/>
    </row>
    <row r="141">
      <c r="A141" s="4" t="s">
        <v>521</v>
      </c>
      <c r="B141" s="4">
        <v>1.0</v>
      </c>
      <c r="C141" s="4"/>
      <c r="D141" s="4"/>
      <c r="E141" s="24"/>
      <c r="F141" s="29"/>
      <c r="G141" s="4"/>
      <c r="H141" s="4"/>
      <c r="I141" s="52"/>
      <c r="K141" s="24"/>
      <c r="L141" s="4"/>
    </row>
    <row r="142">
      <c r="A142" s="4" t="s">
        <v>522</v>
      </c>
      <c r="B142" s="4">
        <v>1.0</v>
      </c>
      <c r="C142" s="4"/>
      <c r="D142" s="4"/>
      <c r="E142" s="24"/>
      <c r="F142" s="29"/>
      <c r="G142" s="4"/>
      <c r="H142" s="4"/>
      <c r="I142" s="52"/>
      <c r="K142" s="24"/>
      <c r="L142" s="4"/>
    </row>
    <row r="143">
      <c r="A143" s="4" t="s">
        <v>523</v>
      </c>
      <c r="B143" s="4">
        <v>1.0</v>
      </c>
      <c r="C143" s="4"/>
      <c r="D143" s="4"/>
      <c r="E143" s="24"/>
      <c r="F143" s="29"/>
      <c r="G143" s="4"/>
      <c r="H143" s="4"/>
      <c r="I143" s="52"/>
      <c r="K143" s="24"/>
      <c r="L143" s="4"/>
    </row>
    <row r="144">
      <c r="A144" s="4" t="s">
        <v>524</v>
      </c>
      <c r="B144" s="4">
        <v>1.0</v>
      </c>
      <c r="C144" s="4"/>
      <c r="D144" s="4"/>
      <c r="E144" s="24"/>
      <c r="F144" s="29"/>
      <c r="G144" s="4"/>
      <c r="H144" s="4"/>
      <c r="I144" s="52"/>
      <c r="K144" s="24"/>
      <c r="L144" s="4"/>
    </row>
    <row r="145">
      <c r="A145" s="4" t="s">
        <v>525</v>
      </c>
      <c r="B145" s="4">
        <v>1.0</v>
      </c>
      <c r="C145" s="4"/>
      <c r="D145" s="4"/>
      <c r="E145" s="24"/>
      <c r="F145" s="29"/>
      <c r="G145" s="4"/>
      <c r="H145" s="4"/>
      <c r="I145" s="52"/>
      <c r="K145" s="24"/>
      <c r="L145" s="4"/>
    </row>
    <row r="146">
      <c r="A146" s="4" t="s">
        <v>526</v>
      </c>
      <c r="B146" s="4">
        <v>1.0</v>
      </c>
      <c r="C146" s="4"/>
      <c r="D146" s="4"/>
      <c r="E146" s="24"/>
      <c r="F146" s="29"/>
      <c r="G146" s="4"/>
      <c r="H146" s="4"/>
      <c r="I146" s="52"/>
      <c r="K146" s="24"/>
      <c r="L146" s="4"/>
    </row>
    <row r="147">
      <c r="A147" s="4" t="s">
        <v>527</v>
      </c>
      <c r="B147" s="4">
        <v>1.0</v>
      </c>
      <c r="C147" s="4"/>
      <c r="D147" s="4"/>
      <c r="E147" s="24"/>
      <c r="F147" s="29"/>
      <c r="G147" s="4"/>
      <c r="H147" s="4"/>
      <c r="I147" s="52"/>
      <c r="K147" s="24"/>
      <c r="L147" s="4"/>
    </row>
    <row r="148">
      <c r="A148" s="4" t="s">
        <v>528</v>
      </c>
      <c r="B148" s="4">
        <v>1.0</v>
      </c>
      <c r="C148" s="4"/>
      <c r="D148" s="4"/>
      <c r="E148" s="24"/>
      <c r="F148" s="29"/>
      <c r="G148" s="4"/>
      <c r="H148" s="4"/>
      <c r="I148" s="52"/>
      <c r="K148" s="24"/>
      <c r="L148" s="4"/>
    </row>
    <row r="149">
      <c r="A149" s="4" t="s">
        <v>529</v>
      </c>
      <c r="B149" s="4">
        <v>1.0</v>
      </c>
      <c r="C149" s="4"/>
      <c r="D149" s="4"/>
      <c r="E149" s="24"/>
      <c r="F149" s="29"/>
      <c r="G149" s="4"/>
      <c r="H149" s="4"/>
      <c r="I149" s="52"/>
      <c r="K149" s="24"/>
      <c r="L149" s="4"/>
    </row>
    <row r="150">
      <c r="A150" s="4" t="s">
        <v>530</v>
      </c>
      <c r="B150" s="4">
        <v>1.0</v>
      </c>
      <c r="C150" s="4"/>
      <c r="D150" s="4"/>
      <c r="E150" s="24"/>
      <c r="F150" s="29"/>
      <c r="G150" s="4"/>
      <c r="H150" s="4"/>
      <c r="I150" s="52"/>
      <c r="K150" s="24"/>
      <c r="L150" s="4"/>
    </row>
    <row r="151">
      <c r="A151" s="4" t="s">
        <v>531</v>
      </c>
      <c r="B151" s="4">
        <v>1.0</v>
      </c>
      <c r="C151" s="4"/>
      <c r="D151" s="4"/>
      <c r="E151" s="24"/>
      <c r="F151" s="29"/>
      <c r="G151" s="4"/>
      <c r="H151" s="4"/>
      <c r="I151" s="52"/>
      <c r="K151" s="24"/>
      <c r="L151" s="4"/>
    </row>
    <row r="152">
      <c r="A152" s="4" t="s">
        <v>532</v>
      </c>
      <c r="B152" s="4">
        <v>1.0</v>
      </c>
      <c r="C152" s="4"/>
      <c r="D152" s="4"/>
      <c r="E152" s="24"/>
      <c r="F152" s="29"/>
      <c r="G152" s="4"/>
      <c r="H152" s="4"/>
      <c r="I152" s="52"/>
      <c r="K152" s="24"/>
      <c r="L152" s="4"/>
    </row>
    <row r="153">
      <c r="A153" s="4" t="s">
        <v>533</v>
      </c>
      <c r="B153" s="4">
        <v>1.0</v>
      </c>
      <c r="C153" s="4"/>
      <c r="D153" s="4"/>
      <c r="E153" s="24"/>
      <c r="F153" s="29"/>
      <c r="G153" s="4"/>
      <c r="H153" s="4"/>
      <c r="I153" s="52"/>
      <c r="K153" s="24"/>
      <c r="L153" s="4"/>
    </row>
    <row r="154">
      <c r="A154" s="4" t="s">
        <v>534</v>
      </c>
      <c r="B154" s="4">
        <v>1.0</v>
      </c>
      <c r="C154" s="4"/>
      <c r="D154" s="4"/>
      <c r="E154" s="24"/>
      <c r="F154" s="29"/>
      <c r="G154" s="4"/>
      <c r="H154" s="4"/>
      <c r="I154" s="52"/>
      <c r="K154" s="24"/>
      <c r="L154" s="4"/>
    </row>
    <row r="155">
      <c r="A155" s="4" t="s">
        <v>535</v>
      </c>
      <c r="B155" s="4">
        <v>1.0</v>
      </c>
      <c r="C155" s="4"/>
      <c r="D155" s="4"/>
      <c r="E155" s="24"/>
      <c r="F155" s="29"/>
      <c r="G155" s="4"/>
      <c r="H155" s="4"/>
      <c r="I155" s="52"/>
      <c r="K155" s="24"/>
      <c r="L155" s="4"/>
    </row>
    <row r="156">
      <c r="A156" s="4" t="s">
        <v>536</v>
      </c>
      <c r="B156" s="4">
        <v>1.0</v>
      </c>
      <c r="C156" s="4"/>
      <c r="D156" s="4"/>
      <c r="E156" s="24"/>
      <c r="F156" s="29"/>
      <c r="G156" s="4"/>
      <c r="H156" s="4"/>
      <c r="I156" s="52"/>
      <c r="K156" s="24"/>
      <c r="L156" s="4"/>
    </row>
    <row r="157">
      <c r="A157" s="4" t="s">
        <v>537</v>
      </c>
      <c r="B157" s="4">
        <v>1.0</v>
      </c>
      <c r="C157" s="4"/>
      <c r="D157" s="4"/>
      <c r="E157" s="24"/>
      <c r="F157" s="29"/>
      <c r="G157" s="4"/>
      <c r="H157" s="4"/>
      <c r="I157" s="52"/>
      <c r="K157" s="24"/>
      <c r="L157" s="4"/>
    </row>
    <row r="158">
      <c r="A158" s="4" t="s">
        <v>538</v>
      </c>
      <c r="B158" s="4">
        <v>1.0</v>
      </c>
      <c r="C158" s="4"/>
      <c r="D158" s="4"/>
      <c r="E158" s="24"/>
      <c r="F158" s="29"/>
      <c r="G158" s="4"/>
      <c r="H158" s="4"/>
      <c r="I158" s="52"/>
      <c r="K158" s="24"/>
      <c r="L158" s="4"/>
    </row>
    <row r="159">
      <c r="A159" s="4" t="s">
        <v>539</v>
      </c>
      <c r="B159" s="4">
        <v>1.0</v>
      </c>
      <c r="C159" s="4"/>
      <c r="D159" s="4"/>
      <c r="E159" s="24"/>
      <c r="F159" s="29"/>
      <c r="G159" s="4"/>
      <c r="H159" s="4"/>
      <c r="I159" s="52"/>
      <c r="K159" s="24"/>
      <c r="L159" s="4"/>
    </row>
    <row r="160">
      <c r="A160" s="4" t="s">
        <v>540</v>
      </c>
      <c r="B160" s="4">
        <v>1.0</v>
      </c>
      <c r="C160" s="4"/>
      <c r="D160" s="4"/>
      <c r="E160" s="24"/>
      <c r="F160" s="29"/>
      <c r="G160" s="4"/>
      <c r="H160" s="4"/>
      <c r="I160" s="52"/>
      <c r="K160" s="24"/>
      <c r="L160" s="4"/>
    </row>
    <row r="161">
      <c r="A161" s="4" t="s">
        <v>541</v>
      </c>
      <c r="B161" s="4">
        <v>1.0</v>
      </c>
      <c r="C161" s="4"/>
      <c r="D161" s="4"/>
      <c r="E161" s="24"/>
      <c r="F161" s="29"/>
      <c r="G161" s="4"/>
      <c r="H161" s="4"/>
      <c r="I161" s="52"/>
      <c r="K161" s="24"/>
      <c r="L161" s="4"/>
    </row>
    <row r="162">
      <c r="A162" s="4" t="s">
        <v>542</v>
      </c>
      <c r="B162" s="4">
        <v>1.0</v>
      </c>
      <c r="C162" s="4"/>
      <c r="D162" s="4"/>
      <c r="E162" s="24"/>
      <c r="F162" s="29"/>
      <c r="G162" s="4"/>
      <c r="H162" s="4"/>
      <c r="I162" s="52"/>
      <c r="K162" s="24"/>
      <c r="L162" s="4"/>
    </row>
    <row r="163">
      <c r="A163" s="4" t="s">
        <v>543</v>
      </c>
      <c r="B163" s="4">
        <v>1.0</v>
      </c>
      <c r="C163" s="4"/>
      <c r="D163" s="4"/>
      <c r="E163" s="24"/>
      <c r="F163" s="29"/>
      <c r="G163" s="4"/>
      <c r="H163" s="4"/>
      <c r="I163" s="52"/>
      <c r="K163" s="24"/>
      <c r="L163" s="4"/>
    </row>
    <row r="164">
      <c r="A164" s="4" t="s">
        <v>544</v>
      </c>
      <c r="B164" s="4">
        <v>1.0</v>
      </c>
      <c r="C164" s="4"/>
      <c r="D164" s="4"/>
      <c r="E164" s="24"/>
      <c r="F164" s="29"/>
      <c r="G164" s="4"/>
      <c r="H164" s="4"/>
      <c r="I164" s="52"/>
      <c r="K164" s="24"/>
      <c r="L164" s="4"/>
    </row>
    <row r="165">
      <c r="A165" s="4" t="s">
        <v>545</v>
      </c>
      <c r="B165" s="4">
        <v>1.0</v>
      </c>
      <c r="C165" s="4"/>
      <c r="D165" s="4"/>
      <c r="E165" s="24"/>
      <c r="F165" s="29"/>
      <c r="G165" s="4"/>
      <c r="H165" s="4"/>
      <c r="I165" s="52"/>
      <c r="K165" s="24"/>
      <c r="L165" s="4"/>
    </row>
    <row r="166">
      <c r="A166" s="4" t="s">
        <v>546</v>
      </c>
      <c r="B166" s="4">
        <v>1.0</v>
      </c>
      <c r="C166" s="4"/>
      <c r="D166" s="4"/>
      <c r="E166" s="24"/>
      <c r="F166" s="29"/>
      <c r="G166" s="4"/>
      <c r="H166" s="4"/>
      <c r="I166" s="52"/>
      <c r="K166" s="24"/>
      <c r="L166" s="4"/>
    </row>
    <row r="167">
      <c r="A167" s="4" t="s">
        <v>547</v>
      </c>
      <c r="B167" s="4">
        <v>1.0</v>
      </c>
      <c r="C167" s="4"/>
      <c r="D167" s="4"/>
      <c r="E167" s="24"/>
      <c r="F167" s="29"/>
      <c r="G167" s="4"/>
      <c r="H167" s="4"/>
      <c r="I167" s="52"/>
      <c r="K167" s="24"/>
      <c r="L167" s="4"/>
    </row>
    <row r="168">
      <c r="A168" s="4" t="s">
        <v>548</v>
      </c>
      <c r="B168" s="4">
        <v>1.0</v>
      </c>
      <c r="C168" s="4"/>
      <c r="D168" s="4"/>
      <c r="E168" s="24"/>
      <c r="F168" s="29"/>
      <c r="G168" s="4"/>
      <c r="H168" s="4"/>
      <c r="I168" s="52"/>
      <c r="K168" s="24"/>
      <c r="L168" s="4"/>
    </row>
    <row r="169">
      <c r="A169" s="4" t="s">
        <v>549</v>
      </c>
      <c r="B169" s="4">
        <v>1.0</v>
      </c>
      <c r="C169" s="4"/>
      <c r="D169" s="4"/>
      <c r="E169" s="24"/>
      <c r="F169" s="29"/>
      <c r="G169" s="4"/>
      <c r="H169" s="4"/>
      <c r="I169" s="52"/>
      <c r="K169" s="24"/>
      <c r="L169" s="4"/>
    </row>
    <row r="170">
      <c r="A170" s="4" t="s">
        <v>550</v>
      </c>
      <c r="B170" s="4">
        <v>1.0</v>
      </c>
      <c r="C170" s="4"/>
      <c r="D170" s="4"/>
      <c r="E170" s="24"/>
      <c r="F170" s="29"/>
      <c r="G170" s="4"/>
      <c r="H170" s="4"/>
      <c r="I170" s="52"/>
      <c r="K170" s="24"/>
      <c r="L170" s="4"/>
    </row>
    <row r="171">
      <c r="A171" s="4" t="s">
        <v>551</v>
      </c>
      <c r="B171" s="4">
        <v>1.0</v>
      </c>
      <c r="C171" s="4"/>
      <c r="D171" s="4"/>
      <c r="E171" s="24"/>
      <c r="F171" s="29"/>
      <c r="G171" s="4"/>
      <c r="H171" s="4"/>
      <c r="I171" s="52"/>
      <c r="K171" s="24"/>
      <c r="L171" s="4"/>
    </row>
    <row r="172">
      <c r="A172" s="4" t="s">
        <v>552</v>
      </c>
      <c r="B172" s="4">
        <v>1.0</v>
      </c>
      <c r="C172" s="4"/>
      <c r="D172" s="4"/>
      <c r="E172" s="24"/>
      <c r="F172" s="29"/>
      <c r="G172" s="4"/>
      <c r="H172" s="4"/>
      <c r="I172" s="52"/>
      <c r="K172" s="24"/>
      <c r="L172" s="4"/>
    </row>
    <row r="173">
      <c r="A173" s="4" t="s">
        <v>553</v>
      </c>
      <c r="B173" s="4">
        <v>1.0</v>
      </c>
      <c r="C173" s="4"/>
      <c r="D173" s="4"/>
      <c r="E173" s="24"/>
      <c r="F173" s="29"/>
      <c r="G173" s="4"/>
      <c r="H173" s="4"/>
      <c r="I173" s="52"/>
      <c r="K173" s="24"/>
      <c r="L173" s="4"/>
    </row>
    <row r="174">
      <c r="A174" s="4" t="s">
        <v>554</v>
      </c>
      <c r="B174" s="4">
        <v>1.0</v>
      </c>
      <c r="C174" s="4"/>
      <c r="D174" s="4"/>
      <c r="E174" s="24"/>
      <c r="F174" s="29"/>
      <c r="G174" s="4"/>
      <c r="H174" s="4"/>
      <c r="I174" s="52"/>
      <c r="K174" s="24"/>
      <c r="L174" s="4"/>
    </row>
    <row r="175">
      <c r="A175" s="4" t="s">
        <v>555</v>
      </c>
      <c r="B175" s="4">
        <v>1.0</v>
      </c>
      <c r="C175" s="4"/>
      <c r="D175" s="4"/>
      <c r="E175" s="24"/>
      <c r="F175" s="29"/>
      <c r="G175" s="4"/>
      <c r="H175" s="4"/>
      <c r="I175" s="52"/>
      <c r="K175" s="24"/>
      <c r="L175" s="4"/>
    </row>
    <row r="176">
      <c r="A176" s="4" t="s">
        <v>556</v>
      </c>
      <c r="B176" s="4">
        <v>1.0</v>
      </c>
      <c r="C176" s="4"/>
      <c r="D176" s="4"/>
      <c r="E176" s="24"/>
      <c r="F176" s="29"/>
      <c r="G176" s="4"/>
      <c r="H176" s="4"/>
      <c r="I176" s="52"/>
      <c r="K176" s="24"/>
      <c r="L176" s="4"/>
    </row>
    <row r="177">
      <c r="A177" s="4" t="s">
        <v>557</v>
      </c>
      <c r="B177" s="4">
        <v>1.0</v>
      </c>
      <c r="C177" s="4"/>
      <c r="D177" s="4"/>
      <c r="E177" s="24"/>
      <c r="F177" s="29"/>
      <c r="G177" s="4"/>
      <c r="H177" s="4"/>
      <c r="I177" s="52"/>
      <c r="K177" s="24"/>
      <c r="L177" s="4"/>
    </row>
    <row r="178">
      <c r="A178" s="4" t="s">
        <v>558</v>
      </c>
      <c r="B178" s="4">
        <v>1.0</v>
      </c>
      <c r="C178" s="4"/>
      <c r="D178" s="4"/>
      <c r="E178" s="24"/>
      <c r="F178" s="29"/>
      <c r="G178" s="4"/>
      <c r="H178" s="4"/>
      <c r="I178" s="52"/>
      <c r="K178" s="24"/>
      <c r="L178" s="4"/>
    </row>
    <row r="179">
      <c r="A179" s="4" t="s">
        <v>559</v>
      </c>
      <c r="B179" s="4">
        <v>1.0</v>
      </c>
      <c r="C179" s="4"/>
      <c r="D179" s="4"/>
      <c r="E179" s="24"/>
      <c r="F179" s="29"/>
      <c r="G179" s="4"/>
      <c r="H179" s="4"/>
      <c r="I179" s="52"/>
      <c r="K179" s="24"/>
      <c r="L179" s="4"/>
    </row>
    <row r="180">
      <c r="A180" s="4" t="s">
        <v>560</v>
      </c>
      <c r="B180" s="4">
        <v>1.0</v>
      </c>
      <c r="C180" s="4"/>
      <c r="D180" s="4"/>
      <c r="E180" s="24"/>
      <c r="F180" s="29"/>
      <c r="G180" s="4"/>
      <c r="H180" s="4"/>
      <c r="I180" s="52"/>
      <c r="K180" s="24"/>
      <c r="L180" s="4"/>
    </row>
    <row r="181">
      <c r="A181" s="4" t="s">
        <v>561</v>
      </c>
      <c r="B181" s="4">
        <v>1.0</v>
      </c>
      <c r="C181" s="4"/>
      <c r="D181" s="4"/>
      <c r="E181" s="24"/>
      <c r="F181" s="29"/>
      <c r="G181" s="4"/>
      <c r="H181" s="4"/>
      <c r="I181" s="52"/>
      <c r="K181" s="24"/>
      <c r="L181" s="4"/>
    </row>
    <row r="182">
      <c r="A182" s="4" t="s">
        <v>562</v>
      </c>
      <c r="B182" s="4">
        <v>1.0</v>
      </c>
      <c r="C182" s="4"/>
      <c r="D182" s="4"/>
      <c r="E182" s="24"/>
      <c r="F182" s="29"/>
      <c r="G182" s="4"/>
      <c r="H182" s="4"/>
      <c r="I182" s="52"/>
      <c r="K182" s="24"/>
      <c r="L182" s="4"/>
    </row>
    <row r="183">
      <c r="A183" s="4" t="s">
        <v>563</v>
      </c>
      <c r="B183" s="4">
        <v>1.0</v>
      </c>
      <c r="C183" s="4"/>
      <c r="D183" s="4"/>
      <c r="E183" s="24"/>
      <c r="F183" s="29"/>
      <c r="G183" s="4"/>
      <c r="H183" s="4"/>
      <c r="I183" s="52"/>
      <c r="K183" s="24"/>
      <c r="L183" s="4"/>
    </row>
    <row r="184">
      <c r="A184" s="4" t="s">
        <v>564</v>
      </c>
      <c r="B184" s="4">
        <v>1.0</v>
      </c>
      <c r="C184" s="4"/>
      <c r="D184" s="4"/>
      <c r="E184" s="24"/>
      <c r="F184" s="29"/>
      <c r="G184" s="4"/>
      <c r="H184" s="4"/>
      <c r="I184" s="52"/>
      <c r="K184" s="24"/>
      <c r="L184" s="4"/>
    </row>
    <row r="185">
      <c r="A185" s="4" t="s">
        <v>565</v>
      </c>
      <c r="B185" s="4">
        <v>1.0</v>
      </c>
      <c r="C185" s="4"/>
      <c r="D185" s="4"/>
      <c r="E185" s="24"/>
      <c r="F185" s="29"/>
      <c r="G185" s="4"/>
      <c r="H185" s="4"/>
      <c r="I185" s="52"/>
      <c r="K185" s="24"/>
      <c r="L185" s="4"/>
    </row>
    <row r="186">
      <c r="A186" s="4" t="s">
        <v>566</v>
      </c>
      <c r="B186" s="4">
        <v>1.0</v>
      </c>
      <c r="C186" s="4"/>
      <c r="D186" s="4"/>
      <c r="E186" s="24"/>
      <c r="F186" s="29"/>
      <c r="G186" s="4"/>
      <c r="H186" s="4"/>
      <c r="I186" s="52"/>
      <c r="K186" s="24"/>
      <c r="L186" s="4"/>
    </row>
    <row r="187">
      <c r="A187" s="4" t="s">
        <v>567</v>
      </c>
      <c r="B187" s="4">
        <v>1.0</v>
      </c>
      <c r="C187" s="4"/>
      <c r="D187" s="4"/>
      <c r="E187" s="24"/>
      <c r="F187" s="29"/>
      <c r="G187" s="4"/>
      <c r="H187" s="4"/>
      <c r="I187" s="52"/>
      <c r="K187" s="24"/>
      <c r="L187" s="4"/>
    </row>
    <row r="188">
      <c r="A188" s="4" t="s">
        <v>568</v>
      </c>
      <c r="B188" s="4">
        <v>1.0</v>
      </c>
      <c r="C188" s="4"/>
      <c r="D188" s="4"/>
      <c r="E188" s="24"/>
      <c r="F188" s="29"/>
      <c r="G188" s="4"/>
      <c r="H188" s="4"/>
      <c r="I188" s="52"/>
      <c r="K188" s="24"/>
      <c r="L188" s="4"/>
    </row>
    <row r="189">
      <c r="A189" s="4" t="s">
        <v>569</v>
      </c>
      <c r="B189" s="4">
        <v>1.0</v>
      </c>
      <c r="C189" s="4"/>
      <c r="D189" s="4"/>
      <c r="E189" s="24"/>
      <c r="F189" s="29"/>
      <c r="G189" s="4"/>
      <c r="H189" s="4"/>
      <c r="I189" s="52"/>
      <c r="K189" s="24"/>
      <c r="L189" s="4"/>
    </row>
    <row r="190">
      <c r="A190" s="4" t="s">
        <v>570</v>
      </c>
      <c r="B190" s="4">
        <v>1.0</v>
      </c>
      <c r="C190" s="4"/>
      <c r="D190" s="4"/>
      <c r="E190" s="24"/>
      <c r="F190" s="29"/>
      <c r="G190" s="4"/>
      <c r="H190" s="4"/>
      <c r="I190" s="52"/>
      <c r="K190" s="24"/>
      <c r="L190" s="4"/>
    </row>
    <row r="191">
      <c r="A191" s="4" t="s">
        <v>571</v>
      </c>
      <c r="B191" s="4">
        <v>1.0</v>
      </c>
      <c r="C191" s="4"/>
      <c r="D191" s="4"/>
      <c r="E191" s="24"/>
      <c r="F191" s="29"/>
      <c r="G191" s="4"/>
      <c r="H191" s="4"/>
      <c r="I191" s="52"/>
      <c r="K191" s="24"/>
      <c r="L191" s="4"/>
    </row>
    <row r="192">
      <c r="A192" s="4" t="s">
        <v>572</v>
      </c>
      <c r="B192" s="4">
        <v>1.0</v>
      </c>
      <c r="C192" s="4"/>
      <c r="D192" s="4"/>
      <c r="E192" s="24"/>
      <c r="F192" s="29"/>
      <c r="G192" s="4"/>
      <c r="H192" s="4"/>
      <c r="I192" s="52"/>
      <c r="K192" s="24"/>
      <c r="L192" s="4"/>
    </row>
    <row r="193">
      <c r="A193" s="4" t="s">
        <v>573</v>
      </c>
      <c r="B193" s="4">
        <v>1.0</v>
      </c>
      <c r="C193" s="4"/>
      <c r="D193" s="4"/>
      <c r="E193" s="24"/>
      <c r="F193" s="29"/>
      <c r="G193" s="4"/>
      <c r="H193" s="4"/>
      <c r="I193" s="52"/>
      <c r="K193" s="24"/>
      <c r="L193" s="4"/>
    </row>
    <row r="194">
      <c r="A194" s="4" t="s">
        <v>574</v>
      </c>
      <c r="B194" s="4">
        <v>1.0</v>
      </c>
      <c r="C194" s="4"/>
      <c r="D194" s="4"/>
      <c r="E194" s="24"/>
      <c r="F194" s="29"/>
      <c r="G194" s="4"/>
      <c r="H194" s="4"/>
      <c r="I194" s="52"/>
      <c r="K194" s="24"/>
      <c r="L194" s="4"/>
    </row>
    <row r="195">
      <c r="A195" s="4" t="s">
        <v>575</v>
      </c>
      <c r="B195" s="4">
        <v>1.0</v>
      </c>
      <c r="C195" s="4"/>
      <c r="D195" s="4"/>
      <c r="E195" s="24"/>
      <c r="F195" s="29"/>
      <c r="G195" s="4"/>
      <c r="H195" s="4"/>
      <c r="I195" s="52"/>
      <c r="K195" s="24"/>
      <c r="L195" s="4"/>
    </row>
    <row r="196">
      <c r="A196" s="4" t="s">
        <v>576</v>
      </c>
      <c r="B196" s="4">
        <v>1.0</v>
      </c>
      <c r="C196" s="4"/>
      <c r="D196" s="4"/>
      <c r="E196" s="24"/>
      <c r="F196" s="29"/>
      <c r="G196" s="4"/>
      <c r="H196" s="4"/>
      <c r="I196" s="52"/>
      <c r="K196" s="24"/>
      <c r="L196" s="4"/>
    </row>
    <row r="197">
      <c r="A197" s="4" t="s">
        <v>577</v>
      </c>
      <c r="B197" s="4">
        <v>1.0</v>
      </c>
      <c r="C197" s="4"/>
      <c r="D197" s="4"/>
      <c r="E197" s="24"/>
      <c r="F197" s="29"/>
      <c r="G197" s="4"/>
      <c r="H197" s="4"/>
      <c r="I197" s="52"/>
      <c r="K197" s="24"/>
      <c r="L197" s="4"/>
    </row>
    <row r="198">
      <c r="A198" s="4" t="s">
        <v>578</v>
      </c>
      <c r="B198" s="4">
        <v>1.0</v>
      </c>
      <c r="C198" s="4"/>
      <c r="D198" s="4"/>
      <c r="E198" s="24"/>
      <c r="F198" s="29"/>
      <c r="G198" s="4"/>
      <c r="H198" s="4"/>
      <c r="I198" s="52"/>
      <c r="K198" s="24"/>
      <c r="L198" s="4"/>
    </row>
    <row r="199">
      <c r="A199" s="4" t="s">
        <v>579</v>
      </c>
      <c r="B199" s="4">
        <v>1.0</v>
      </c>
      <c r="C199" s="4"/>
      <c r="D199" s="4"/>
      <c r="E199" s="24"/>
      <c r="F199" s="29"/>
      <c r="G199" s="4"/>
      <c r="H199" s="4"/>
      <c r="I199" s="52"/>
      <c r="K199" s="24"/>
      <c r="L199" s="4"/>
    </row>
    <row r="200">
      <c r="A200" s="4" t="s">
        <v>580</v>
      </c>
      <c r="B200" s="4">
        <v>1.0</v>
      </c>
      <c r="C200" s="4"/>
      <c r="D200" s="4"/>
      <c r="E200" s="24"/>
      <c r="F200" s="29"/>
      <c r="G200" s="4"/>
      <c r="H200" s="4"/>
      <c r="I200" s="52"/>
      <c r="K200" s="24"/>
      <c r="L200" s="4"/>
    </row>
    <row r="201">
      <c r="A201" s="4" t="s">
        <v>581</v>
      </c>
      <c r="B201" s="4">
        <v>1.0</v>
      </c>
      <c r="C201" s="4"/>
      <c r="D201" s="4"/>
      <c r="E201" s="24"/>
      <c r="F201" s="29"/>
      <c r="G201" s="4"/>
      <c r="H201" s="4"/>
      <c r="I201" s="52"/>
      <c r="K201" s="24"/>
      <c r="L201" s="4"/>
    </row>
    <row r="202">
      <c r="A202" s="4" t="s">
        <v>582</v>
      </c>
      <c r="B202" s="4">
        <v>1.0</v>
      </c>
      <c r="C202" s="4"/>
      <c r="D202" s="4"/>
      <c r="E202" s="24"/>
      <c r="F202" s="29"/>
      <c r="G202" s="4"/>
      <c r="H202" s="4"/>
      <c r="I202" s="52"/>
      <c r="K202" s="24"/>
      <c r="L202" s="4"/>
    </row>
    <row r="203">
      <c r="A203" s="4" t="s">
        <v>583</v>
      </c>
      <c r="B203" s="4">
        <v>1.0</v>
      </c>
      <c r="C203" s="4"/>
      <c r="D203" s="4"/>
      <c r="E203" s="24"/>
      <c r="F203" s="29"/>
      <c r="G203" s="4"/>
      <c r="H203" s="4"/>
      <c r="I203" s="52"/>
      <c r="K203" s="24"/>
      <c r="L203" s="4"/>
    </row>
    <row r="204">
      <c r="A204" s="4" t="s">
        <v>584</v>
      </c>
      <c r="B204" s="4">
        <v>1.0</v>
      </c>
      <c r="C204" s="4"/>
      <c r="D204" s="4"/>
      <c r="E204" s="24"/>
      <c r="F204" s="29"/>
      <c r="G204" s="4"/>
      <c r="H204" s="4"/>
      <c r="I204" s="52"/>
      <c r="K204" s="24"/>
      <c r="L204" s="4"/>
    </row>
    <row r="205">
      <c r="A205" s="4" t="s">
        <v>585</v>
      </c>
      <c r="B205" s="4">
        <v>1.0</v>
      </c>
      <c r="C205" s="4"/>
      <c r="D205" s="4"/>
      <c r="E205" s="24"/>
      <c r="F205" s="29"/>
      <c r="G205" s="4"/>
      <c r="H205" s="4"/>
      <c r="I205" s="52"/>
      <c r="K205" s="24"/>
      <c r="L205" s="4"/>
    </row>
    <row r="206">
      <c r="A206" s="4" t="s">
        <v>586</v>
      </c>
      <c r="B206" s="4">
        <v>1.0</v>
      </c>
      <c r="C206" s="4"/>
      <c r="D206" s="4"/>
      <c r="E206" s="24"/>
      <c r="F206" s="29"/>
      <c r="G206" s="4"/>
      <c r="H206" s="4"/>
      <c r="I206" s="52"/>
      <c r="K206" s="24"/>
      <c r="L206" s="4"/>
    </row>
    <row r="207">
      <c r="A207" s="4" t="s">
        <v>587</v>
      </c>
      <c r="B207" s="4">
        <v>1.0</v>
      </c>
      <c r="C207" s="4"/>
      <c r="D207" s="4"/>
      <c r="E207" s="24"/>
      <c r="F207" s="29"/>
      <c r="G207" s="4"/>
      <c r="H207" s="4"/>
      <c r="I207" s="52"/>
      <c r="K207" s="24"/>
      <c r="L207" s="4"/>
    </row>
    <row r="208">
      <c r="A208" s="4" t="s">
        <v>588</v>
      </c>
      <c r="B208" s="4">
        <v>1.0</v>
      </c>
      <c r="C208" s="4"/>
      <c r="D208" s="4"/>
      <c r="E208" s="24"/>
      <c r="F208" s="29"/>
      <c r="G208" s="4"/>
      <c r="H208" s="4"/>
      <c r="I208" s="52"/>
      <c r="K208" s="24"/>
      <c r="L208" s="4"/>
    </row>
    <row r="209">
      <c r="A209" s="4" t="s">
        <v>589</v>
      </c>
      <c r="B209" s="4">
        <v>1.0</v>
      </c>
      <c r="C209" s="4"/>
      <c r="D209" s="4"/>
      <c r="E209" s="24"/>
      <c r="F209" s="29"/>
      <c r="G209" s="4"/>
      <c r="H209" s="4"/>
      <c r="I209" s="52"/>
      <c r="K209" s="24"/>
      <c r="L209" s="4"/>
    </row>
    <row r="210">
      <c r="A210" s="4" t="s">
        <v>590</v>
      </c>
      <c r="B210" s="4">
        <v>1.0</v>
      </c>
      <c r="C210" s="4"/>
      <c r="D210" s="4"/>
      <c r="E210" s="24"/>
      <c r="F210" s="29"/>
      <c r="G210" s="4"/>
      <c r="H210" s="4"/>
      <c r="I210" s="52"/>
      <c r="K210" s="24"/>
      <c r="L210" s="4"/>
    </row>
    <row r="211">
      <c r="A211" s="4" t="s">
        <v>591</v>
      </c>
      <c r="B211" s="4">
        <v>1.0</v>
      </c>
      <c r="C211" s="4"/>
      <c r="D211" s="4"/>
      <c r="E211" s="24"/>
      <c r="F211" s="29"/>
      <c r="G211" s="4"/>
      <c r="H211" s="4"/>
      <c r="I211" s="52"/>
      <c r="K211" s="24"/>
      <c r="L211" s="4"/>
    </row>
    <row r="212">
      <c r="A212" s="4" t="s">
        <v>592</v>
      </c>
      <c r="B212" s="4">
        <v>1.0</v>
      </c>
      <c r="C212" s="4"/>
      <c r="D212" s="4"/>
      <c r="E212" s="52"/>
      <c r="F212" s="62"/>
      <c r="G212" s="4"/>
      <c r="H212" s="4"/>
      <c r="I212" s="52"/>
      <c r="K212" s="24"/>
      <c r="L212" s="4"/>
    </row>
    <row r="213">
      <c r="A213" s="4" t="s">
        <v>593</v>
      </c>
      <c r="B213" s="4">
        <v>1.0</v>
      </c>
      <c r="C213" s="4"/>
      <c r="D213" s="4"/>
      <c r="E213" s="24"/>
      <c r="F213" s="29"/>
      <c r="G213" s="4"/>
      <c r="H213" s="4"/>
      <c r="I213" s="52"/>
      <c r="K213" s="24"/>
      <c r="L213" s="4"/>
    </row>
    <row r="214">
      <c r="A214" s="4" t="s">
        <v>594</v>
      </c>
      <c r="B214" s="4">
        <v>1.0</v>
      </c>
      <c r="C214" s="4"/>
      <c r="D214" s="4"/>
      <c r="E214" s="24"/>
      <c r="F214" s="29"/>
      <c r="G214" s="4"/>
      <c r="H214" s="4"/>
      <c r="I214" s="52"/>
      <c r="K214" s="24"/>
      <c r="L214" s="4"/>
    </row>
    <row r="215">
      <c r="A215" s="4" t="s">
        <v>595</v>
      </c>
      <c r="B215" s="4">
        <v>1.0</v>
      </c>
      <c r="C215" s="4"/>
      <c r="D215" s="4"/>
      <c r="E215" s="24"/>
      <c r="F215" s="29"/>
      <c r="G215" s="4"/>
      <c r="H215" s="4"/>
      <c r="I215" s="52"/>
      <c r="K215" s="24"/>
      <c r="L215" s="4"/>
    </row>
    <row r="216">
      <c r="A216" s="4" t="s">
        <v>596</v>
      </c>
      <c r="B216" s="4">
        <v>1.0</v>
      </c>
      <c r="C216" s="4"/>
      <c r="D216" s="4"/>
      <c r="E216" s="24"/>
      <c r="F216" s="29"/>
      <c r="G216" s="4"/>
      <c r="H216" s="4"/>
      <c r="I216" s="52"/>
      <c r="K216" s="24"/>
      <c r="L216" s="4"/>
    </row>
    <row r="217">
      <c r="A217" s="4" t="s">
        <v>597</v>
      </c>
      <c r="B217" s="4">
        <v>1.0</v>
      </c>
      <c r="C217" s="4"/>
      <c r="D217" s="4"/>
      <c r="E217" s="24"/>
      <c r="F217" s="29"/>
      <c r="G217" s="4"/>
      <c r="H217" s="4"/>
      <c r="I217" s="52"/>
      <c r="K217" s="24"/>
      <c r="L217" s="4"/>
    </row>
    <row r="218">
      <c r="A218" s="4" t="s">
        <v>598</v>
      </c>
      <c r="B218" s="4">
        <v>1.0</v>
      </c>
      <c r="C218" s="4"/>
      <c r="D218" s="4"/>
      <c r="E218" s="24"/>
      <c r="F218" s="29"/>
      <c r="G218" s="4"/>
      <c r="H218" s="4"/>
      <c r="I218" s="52"/>
      <c r="K218" s="24"/>
      <c r="L218" s="4"/>
    </row>
    <row r="219">
      <c r="A219" s="4" t="s">
        <v>599</v>
      </c>
      <c r="B219" s="4">
        <v>1.0</v>
      </c>
      <c r="C219" s="4"/>
      <c r="D219" s="4"/>
      <c r="E219" s="24"/>
      <c r="F219" s="29"/>
      <c r="G219" s="4"/>
      <c r="H219" s="4"/>
      <c r="I219" s="52"/>
      <c r="K219" s="24"/>
      <c r="L219" s="4"/>
    </row>
    <row r="220">
      <c r="A220" s="4" t="s">
        <v>600</v>
      </c>
      <c r="B220" s="4">
        <v>1.0</v>
      </c>
      <c r="C220" s="4"/>
      <c r="D220" s="4"/>
      <c r="E220" s="24"/>
      <c r="F220" s="29"/>
      <c r="G220" s="4"/>
      <c r="H220" s="4"/>
      <c r="I220" s="52"/>
      <c r="K220" s="24"/>
      <c r="L220" s="4"/>
    </row>
    <row r="221">
      <c r="A221" s="4" t="s">
        <v>601</v>
      </c>
      <c r="B221" s="4">
        <v>1.0</v>
      </c>
      <c r="C221" s="4"/>
      <c r="D221" s="4"/>
      <c r="E221" s="24"/>
      <c r="F221" s="29"/>
      <c r="G221" s="4"/>
      <c r="H221" s="4"/>
      <c r="I221" s="52"/>
      <c r="K221" s="24"/>
      <c r="L221" s="4"/>
    </row>
    <row r="222">
      <c r="A222" s="4" t="s">
        <v>602</v>
      </c>
      <c r="B222" s="4">
        <v>1.0</v>
      </c>
      <c r="C222" s="4"/>
      <c r="D222" s="4"/>
      <c r="E222" s="24"/>
      <c r="F222" s="29"/>
      <c r="G222" s="4"/>
      <c r="H222" s="4"/>
      <c r="I222" s="52"/>
      <c r="K222" s="24"/>
      <c r="L222" s="4"/>
    </row>
    <row r="223">
      <c r="A223" s="4" t="s">
        <v>603</v>
      </c>
      <c r="B223" s="4">
        <v>1.0</v>
      </c>
      <c r="C223" s="4"/>
      <c r="D223" s="4"/>
      <c r="E223" s="24"/>
      <c r="F223" s="29"/>
      <c r="G223" s="4"/>
      <c r="H223" s="4"/>
      <c r="I223" s="52"/>
      <c r="K223" s="24"/>
      <c r="L223" s="4"/>
    </row>
    <row r="224">
      <c r="A224" s="4" t="s">
        <v>604</v>
      </c>
      <c r="B224" s="4">
        <v>1.0</v>
      </c>
      <c r="C224" s="4"/>
      <c r="D224" s="4"/>
      <c r="E224" s="24"/>
      <c r="F224" s="29"/>
      <c r="G224" s="4"/>
      <c r="H224" s="4"/>
      <c r="I224" s="52"/>
      <c r="K224" s="24"/>
      <c r="L224" s="4"/>
    </row>
    <row r="225">
      <c r="A225" s="4" t="s">
        <v>605</v>
      </c>
      <c r="B225" s="4">
        <v>1.0</v>
      </c>
      <c r="C225" s="4"/>
      <c r="D225" s="4"/>
      <c r="E225" s="24"/>
      <c r="F225" s="29"/>
      <c r="G225" s="4"/>
      <c r="H225" s="4"/>
      <c r="I225" s="52"/>
      <c r="K225" s="24"/>
      <c r="L225" s="4"/>
    </row>
    <row r="226">
      <c r="A226" s="4" t="s">
        <v>606</v>
      </c>
      <c r="B226" s="4">
        <v>1.0</v>
      </c>
      <c r="C226" s="4"/>
      <c r="D226" s="4"/>
      <c r="E226" s="24"/>
      <c r="F226" s="29"/>
      <c r="G226" s="4"/>
      <c r="H226" s="4"/>
      <c r="I226" s="52"/>
      <c r="K226" s="24"/>
      <c r="L226" s="4"/>
    </row>
    <row r="227">
      <c r="A227" s="4" t="s">
        <v>607</v>
      </c>
      <c r="B227" s="4">
        <v>1.0</v>
      </c>
      <c r="C227" s="4"/>
      <c r="D227" s="4"/>
      <c r="E227" s="24"/>
      <c r="F227" s="29"/>
      <c r="G227" s="4"/>
      <c r="H227" s="4"/>
      <c r="I227" s="52"/>
      <c r="K227" s="24"/>
      <c r="L227" s="4"/>
    </row>
    <row r="228">
      <c r="A228" s="4" t="s">
        <v>608</v>
      </c>
      <c r="B228" s="4">
        <v>1.0</v>
      </c>
      <c r="C228" s="4"/>
      <c r="D228" s="4"/>
      <c r="E228" s="24"/>
      <c r="F228" s="29"/>
      <c r="G228" s="4"/>
      <c r="H228" s="4"/>
      <c r="I228" s="52"/>
      <c r="K228" s="24"/>
      <c r="L228" s="4"/>
    </row>
    <row r="229">
      <c r="A229" s="4" t="s">
        <v>609</v>
      </c>
      <c r="B229" s="4">
        <v>1.0</v>
      </c>
      <c r="C229" s="4"/>
      <c r="D229" s="4"/>
      <c r="E229" s="24"/>
      <c r="F229" s="29"/>
      <c r="G229" s="4"/>
      <c r="H229" s="4"/>
      <c r="I229" s="52"/>
      <c r="K229" s="24"/>
      <c r="L229" s="4"/>
    </row>
    <row r="230">
      <c r="A230" s="4" t="s">
        <v>610</v>
      </c>
      <c r="B230" s="4">
        <v>1.0</v>
      </c>
      <c r="C230" s="4"/>
      <c r="D230" s="4"/>
      <c r="E230" s="24"/>
      <c r="F230" s="29"/>
      <c r="G230" s="4"/>
      <c r="H230" s="4"/>
      <c r="I230" s="52"/>
      <c r="K230" s="24"/>
      <c r="L230" s="4"/>
    </row>
    <row r="231">
      <c r="A231" s="4" t="s">
        <v>611</v>
      </c>
      <c r="B231" s="4">
        <v>1.0</v>
      </c>
      <c r="C231" s="4"/>
      <c r="D231" s="4"/>
      <c r="E231" s="24"/>
      <c r="F231" s="29"/>
      <c r="G231" s="4"/>
      <c r="H231" s="4"/>
      <c r="I231" s="52"/>
      <c r="K231" s="24"/>
      <c r="L231" s="4"/>
    </row>
    <row r="232">
      <c r="A232" s="4" t="s">
        <v>612</v>
      </c>
      <c r="B232" s="4">
        <v>1.0</v>
      </c>
      <c r="C232" s="4"/>
      <c r="D232" s="4"/>
      <c r="E232" s="24"/>
      <c r="F232" s="29"/>
      <c r="G232" s="4"/>
      <c r="H232" s="4"/>
      <c r="I232" s="52"/>
      <c r="K232" s="24"/>
      <c r="L232" s="4"/>
    </row>
    <row r="233">
      <c r="A233" s="4" t="s">
        <v>613</v>
      </c>
      <c r="B233" s="4">
        <v>1.0</v>
      </c>
      <c r="C233" s="4"/>
      <c r="D233" s="4"/>
      <c r="E233" s="24"/>
      <c r="F233" s="29"/>
      <c r="G233" s="4"/>
      <c r="H233" s="4"/>
      <c r="I233" s="52"/>
      <c r="K233" s="24"/>
      <c r="L233" s="4"/>
    </row>
    <row r="234">
      <c r="A234" s="4" t="s">
        <v>614</v>
      </c>
      <c r="B234" s="4">
        <v>1.0</v>
      </c>
      <c r="C234" s="4"/>
      <c r="D234" s="4"/>
      <c r="E234" s="24"/>
      <c r="F234" s="29"/>
      <c r="G234" s="4"/>
      <c r="H234" s="4"/>
      <c r="I234" s="52"/>
      <c r="K234" s="24"/>
      <c r="L234" s="4"/>
    </row>
    <row r="235">
      <c r="A235" s="4" t="s">
        <v>615</v>
      </c>
      <c r="B235" s="4">
        <v>1.0</v>
      </c>
      <c r="C235" s="4"/>
      <c r="D235" s="4"/>
      <c r="E235" s="24"/>
      <c r="F235" s="29"/>
      <c r="G235" s="4"/>
      <c r="H235" s="4"/>
      <c r="I235" s="52"/>
      <c r="K235" s="24"/>
      <c r="L235" s="4"/>
    </row>
    <row r="236">
      <c r="A236" s="4" t="s">
        <v>616</v>
      </c>
      <c r="B236" s="4">
        <v>1.0</v>
      </c>
      <c r="C236" s="4"/>
      <c r="D236" s="4"/>
      <c r="E236" s="24"/>
      <c r="F236" s="29"/>
      <c r="G236" s="4"/>
      <c r="H236" s="4"/>
      <c r="I236" s="52"/>
      <c r="K236" s="24"/>
      <c r="L236" s="4"/>
    </row>
    <row r="237">
      <c r="A237" s="4" t="s">
        <v>617</v>
      </c>
      <c r="B237" s="4">
        <v>1.0</v>
      </c>
      <c r="C237" s="4"/>
      <c r="D237" s="4"/>
      <c r="E237" s="24"/>
      <c r="F237" s="29"/>
      <c r="G237" s="4"/>
      <c r="H237" s="4"/>
      <c r="I237" s="52"/>
      <c r="K237" s="24"/>
      <c r="L237" s="4"/>
    </row>
    <row r="238">
      <c r="A238" s="4" t="s">
        <v>618</v>
      </c>
      <c r="B238" s="4">
        <v>1.0</v>
      </c>
      <c r="C238" s="4"/>
      <c r="D238" s="4"/>
      <c r="E238" s="24"/>
      <c r="F238" s="29"/>
      <c r="G238" s="4"/>
      <c r="H238" s="4"/>
      <c r="I238" s="52"/>
      <c r="K238" s="24"/>
      <c r="L238" s="4"/>
    </row>
    <row r="239">
      <c r="A239" s="4" t="s">
        <v>619</v>
      </c>
      <c r="B239" s="4">
        <v>1.0</v>
      </c>
      <c r="C239" s="4"/>
      <c r="D239" s="4"/>
      <c r="E239" s="24"/>
      <c r="F239" s="29"/>
      <c r="G239" s="4"/>
      <c r="H239" s="4"/>
      <c r="I239" s="52"/>
      <c r="K239" s="24"/>
      <c r="L239" s="4"/>
    </row>
    <row r="240">
      <c r="A240" s="4" t="s">
        <v>620</v>
      </c>
      <c r="B240" s="4">
        <v>1.0</v>
      </c>
      <c r="C240" s="4"/>
      <c r="D240" s="4"/>
      <c r="E240" s="24"/>
      <c r="F240" s="29"/>
      <c r="G240" s="4"/>
      <c r="H240" s="4"/>
      <c r="I240" s="52"/>
      <c r="K240" s="24"/>
      <c r="L240" s="4"/>
    </row>
    <row r="241">
      <c r="A241" s="4" t="s">
        <v>621</v>
      </c>
      <c r="B241" s="4">
        <v>1.0</v>
      </c>
      <c r="C241" s="4"/>
      <c r="D241" s="4"/>
      <c r="E241" s="24"/>
      <c r="F241" s="29"/>
      <c r="G241" s="4"/>
      <c r="H241" s="4"/>
      <c r="I241" s="52"/>
      <c r="K241" s="24"/>
      <c r="L241" s="4"/>
    </row>
    <row r="242">
      <c r="A242" s="4" t="s">
        <v>622</v>
      </c>
      <c r="B242" s="4">
        <v>1.0</v>
      </c>
      <c r="C242" s="4"/>
      <c r="D242" s="4"/>
      <c r="E242" s="24"/>
      <c r="F242" s="29"/>
      <c r="G242" s="4"/>
      <c r="H242" s="4"/>
      <c r="I242" s="52"/>
      <c r="K242" s="24"/>
      <c r="L242" s="4"/>
    </row>
    <row r="243">
      <c r="A243" s="4" t="s">
        <v>623</v>
      </c>
      <c r="B243" s="4">
        <v>1.0</v>
      </c>
      <c r="C243" s="4"/>
      <c r="D243" s="4"/>
      <c r="E243" s="24"/>
      <c r="F243" s="29"/>
      <c r="G243" s="4"/>
      <c r="H243" s="4"/>
      <c r="I243" s="52"/>
      <c r="K243" s="24"/>
      <c r="L243" s="4"/>
    </row>
    <row r="244">
      <c r="A244" s="4" t="s">
        <v>624</v>
      </c>
      <c r="B244" s="4">
        <v>1.0</v>
      </c>
      <c r="C244" s="4"/>
      <c r="D244" s="4"/>
      <c r="E244" s="24"/>
      <c r="F244" s="29"/>
      <c r="G244" s="4"/>
      <c r="H244" s="4"/>
      <c r="I244" s="52"/>
      <c r="K244" s="24"/>
      <c r="L244" s="4"/>
    </row>
    <row r="245">
      <c r="A245" s="4" t="s">
        <v>625</v>
      </c>
      <c r="B245" s="4">
        <v>1.0</v>
      </c>
      <c r="C245" s="4"/>
      <c r="D245" s="4"/>
      <c r="E245" s="24"/>
      <c r="F245" s="29"/>
      <c r="G245" s="4"/>
      <c r="H245" s="4"/>
      <c r="I245" s="52"/>
      <c r="K245" s="24"/>
      <c r="L245" s="4"/>
    </row>
    <row r="246">
      <c r="A246" s="4" t="s">
        <v>626</v>
      </c>
      <c r="B246" s="4">
        <v>1.0</v>
      </c>
      <c r="C246" s="4"/>
      <c r="D246" s="4"/>
      <c r="E246" s="24"/>
      <c r="F246" s="29"/>
      <c r="G246" s="4"/>
      <c r="H246" s="4"/>
      <c r="I246" s="52"/>
      <c r="K246" s="24"/>
      <c r="L246" s="4"/>
    </row>
    <row r="247">
      <c r="A247" s="4" t="s">
        <v>627</v>
      </c>
      <c r="B247" s="4">
        <v>1.0</v>
      </c>
      <c r="C247" s="4"/>
      <c r="D247" s="4"/>
      <c r="E247" s="24"/>
      <c r="F247" s="29"/>
      <c r="G247" s="4"/>
      <c r="H247" s="4"/>
      <c r="I247" s="52"/>
      <c r="K247" s="24"/>
      <c r="L247" s="4"/>
    </row>
    <row r="248">
      <c r="A248" s="4" t="s">
        <v>628</v>
      </c>
      <c r="B248" s="4">
        <v>1.0</v>
      </c>
      <c r="C248" s="4"/>
      <c r="D248" s="4"/>
      <c r="E248" s="24"/>
      <c r="F248" s="29"/>
      <c r="G248" s="4"/>
      <c r="H248" s="4"/>
      <c r="I248" s="52"/>
      <c r="K248" s="24"/>
      <c r="L248" s="4"/>
    </row>
    <row r="249">
      <c r="A249" s="4" t="s">
        <v>629</v>
      </c>
      <c r="B249" s="4">
        <v>1.0</v>
      </c>
      <c r="C249" s="4"/>
      <c r="D249" s="4"/>
      <c r="E249" s="24"/>
      <c r="F249" s="29"/>
      <c r="G249" s="4"/>
      <c r="H249" s="4"/>
      <c r="I249" s="52"/>
      <c r="K249" s="24"/>
      <c r="L249" s="4"/>
    </row>
    <row r="250">
      <c r="A250" s="4" t="s">
        <v>630</v>
      </c>
      <c r="B250" s="4">
        <v>1.0</v>
      </c>
      <c r="C250" s="4"/>
      <c r="D250" s="4"/>
      <c r="E250" s="24"/>
      <c r="F250" s="29"/>
      <c r="G250" s="4"/>
      <c r="H250" s="4"/>
      <c r="I250" s="52"/>
      <c r="K250" s="24"/>
      <c r="L250" s="4"/>
    </row>
    <row r="251">
      <c r="A251" s="4" t="s">
        <v>631</v>
      </c>
      <c r="B251" s="4">
        <v>1.0</v>
      </c>
      <c r="C251" s="4"/>
      <c r="D251" s="4"/>
      <c r="E251" s="24"/>
      <c r="F251" s="29"/>
      <c r="G251" s="4"/>
      <c r="H251" s="4"/>
      <c r="I251" s="52"/>
      <c r="K251" s="24"/>
      <c r="L251" s="4"/>
    </row>
    <row r="252">
      <c r="A252" s="4" t="s">
        <v>632</v>
      </c>
      <c r="B252" s="4">
        <v>1.0</v>
      </c>
      <c r="C252" s="4"/>
      <c r="D252" s="4"/>
      <c r="E252" s="24"/>
      <c r="F252" s="29"/>
      <c r="G252" s="4"/>
      <c r="H252" s="4"/>
      <c r="I252" s="52"/>
      <c r="K252" s="24"/>
      <c r="L252" s="4"/>
    </row>
    <row r="253">
      <c r="A253" s="4" t="s">
        <v>633</v>
      </c>
      <c r="B253" s="4">
        <v>1.0</v>
      </c>
      <c r="C253" s="4"/>
      <c r="D253" s="4"/>
      <c r="E253" s="24"/>
      <c r="F253" s="29"/>
      <c r="G253" s="4"/>
      <c r="H253" s="4"/>
      <c r="I253" s="52"/>
      <c r="K253" s="24"/>
      <c r="L253" s="4"/>
    </row>
    <row r="254">
      <c r="A254" s="4" t="s">
        <v>634</v>
      </c>
      <c r="B254" s="4">
        <v>1.0</v>
      </c>
      <c r="C254" s="4"/>
      <c r="D254" s="4"/>
      <c r="E254" s="24"/>
      <c r="F254" s="29"/>
      <c r="G254" s="4"/>
      <c r="H254" s="4"/>
      <c r="I254" s="52"/>
      <c r="K254" s="24"/>
      <c r="L254" s="4"/>
    </row>
    <row r="255">
      <c r="A255" s="4" t="s">
        <v>635</v>
      </c>
      <c r="B255" s="4">
        <v>1.0</v>
      </c>
      <c r="C255" s="4"/>
      <c r="D255" s="4"/>
      <c r="E255" s="24"/>
      <c r="F255" s="29"/>
      <c r="G255" s="4"/>
      <c r="H255" s="4"/>
      <c r="I255" s="52"/>
      <c r="K255" s="24"/>
      <c r="L255" s="4"/>
    </row>
    <row r="256">
      <c r="A256" s="4" t="s">
        <v>636</v>
      </c>
      <c r="B256" s="4">
        <v>1.0</v>
      </c>
      <c r="C256" s="4"/>
      <c r="D256" s="4"/>
      <c r="E256" s="24"/>
      <c r="F256" s="29"/>
      <c r="G256" s="4"/>
      <c r="H256" s="4"/>
      <c r="I256" s="52"/>
      <c r="K256" s="24"/>
      <c r="L256" s="4"/>
    </row>
    <row r="257">
      <c r="A257" s="4" t="s">
        <v>637</v>
      </c>
      <c r="B257" s="4">
        <v>1.0</v>
      </c>
      <c r="C257" s="4"/>
      <c r="D257" s="4"/>
      <c r="E257" s="24"/>
      <c r="F257" s="29"/>
      <c r="G257" s="4"/>
      <c r="H257" s="4"/>
      <c r="I257" s="52"/>
      <c r="K257" s="24"/>
      <c r="L257" s="4"/>
    </row>
    <row r="258">
      <c r="A258" s="4" t="s">
        <v>638</v>
      </c>
      <c r="B258" s="4">
        <v>1.0</v>
      </c>
      <c r="C258" s="4"/>
      <c r="D258" s="4"/>
      <c r="E258" s="24"/>
      <c r="F258" s="29"/>
      <c r="G258" s="4"/>
      <c r="H258" s="4"/>
      <c r="I258" s="52"/>
      <c r="K258" s="24"/>
      <c r="L258" s="4"/>
    </row>
    <row r="259">
      <c r="A259" s="4" t="s">
        <v>639</v>
      </c>
      <c r="B259" s="4">
        <v>1.0</v>
      </c>
      <c r="C259" s="4"/>
      <c r="D259" s="4"/>
      <c r="E259" s="24"/>
      <c r="F259" s="29"/>
      <c r="G259" s="4"/>
      <c r="H259" s="4"/>
      <c r="I259" s="52"/>
      <c r="K259" s="24"/>
      <c r="L259" s="4"/>
    </row>
    <row r="260">
      <c r="A260" s="4" t="s">
        <v>640</v>
      </c>
      <c r="B260" s="4">
        <v>1.0</v>
      </c>
      <c r="C260" s="4"/>
      <c r="D260" s="4"/>
      <c r="E260" s="24"/>
      <c r="F260" s="29"/>
      <c r="G260" s="4"/>
      <c r="H260" s="4"/>
      <c r="I260" s="52"/>
      <c r="K260" s="24"/>
      <c r="L260" s="4"/>
    </row>
    <row r="261">
      <c r="A261" s="4" t="s">
        <v>641</v>
      </c>
      <c r="B261" s="4">
        <v>1.0</v>
      </c>
      <c r="C261" s="4"/>
      <c r="D261" s="4"/>
      <c r="E261" s="24"/>
      <c r="F261" s="29"/>
      <c r="G261" s="4"/>
      <c r="H261" s="4"/>
      <c r="I261" s="52"/>
      <c r="K261" s="24"/>
      <c r="L261" s="4"/>
    </row>
    <row r="262">
      <c r="A262" s="4" t="s">
        <v>642</v>
      </c>
      <c r="B262" s="4">
        <v>1.0</v>
      </c>
      <c r="C262" s="4"/>
      <c r="D262" s="4"/>
      <c r="E262" s="24"/>
      <c r="F262" s="29"/>
      <c r="G262" s="4"/>
      <c r="H262" s="4"/>
      <c r="I262" s="52"/>
      <c r="K262" s="24"/>
      <c r="L262" s="4"/>
    </row>
    <row r="263">
      <c r="A263" s="4" t="s">
        <v>643</v>
      </c>
      <c r="B263" s="4">
        <v>1.0</v>
      </c>
      <c r="C263" s="4"/>
      <c r="D263" s="4"/>
      <c r="E263" s="24"/>
      <c r="F263" s="29"/>
      <c r="G263" s="4"/>
      <c r="H263" s="4"/>
      <c r="I263" s="52"/>
      <c r="K263" s="24"/>
      <c r="L263" s="4"/>
    </row>
    <row r="264">
      <c r="A264" s="4" t="s">
        <v>644</v>
      </c>
      <c r="B264" s="4">
        <v>1.0</v>
      </c>
      <c r="C264" s="4"/>
      <c r="D264" s="4"/>
      <c r="E264" s="24"/>
      <c r="F264" s="29"/>
      <c r="G264" s="4"/>
      <c r="H264" s="4"/>
      <c r="I264" s="52"/>
      <c r="K264" s="24"/>
      <c r="L264" s="4"/>
    </row>
    <row r="265">
      <c r="A265" s="4" t="s">
        <v>645</v>
      </c>
      <c r="B265" s="4">
        <v>1.0</v>
      </c>
      <c r="C265" s="4"/>
      <c r="D265" s="4"/>
      <c r="E265" s="24"/>
      <c r="F265" s="29"/>
      <c r="G265" s="4"/>
      <c r="H265" s="4"/>
      <c r="I265" s="52"/>
      <c r="K265" s="24"/>
      <c r="L265" s="4"/>
    </row>
    <row r="266">
      <c r="A266" s="4" t="s">
        <v>646</v>
      </c>
      <c r="B266" s="4">
        <v>1.0</v>
      </c>
      <c r="C266" s="4"/>
      <c r="D266" s="4"/>
      <c r="E266" s="24"/>
      <c r="F266" s="29"/>
      <c r="G266" s="4"/>
      <c r="H266" s="4"/>
      <c r="I266" s="52"/>
      <c r="K266" s="24"/>
      <c r="L266" s="4"/>
    </row>
    <row r="267">
      <c r="A267" s="4" t="s">
        <v>647</v>
      </c>
      <c r="B267" s="4">
        <v>1.0</v>
      </c>
      <c r="C267" s="4"/>
      <c r="D267" s="4"/>
      <c r="E267" s="24"/>
      <c r="F267" s="29"/>
      <c r="G267" s="4"/>
      <c r="H267" s="4"/>
      <c r="I267" s="52"/>
      <c r="K267" s="24"/>
      <c r="L267" s="4"/>
    </row>
    <row r="268">
      <c r="A268" s="4" t="s">
        <v>648</v>
      </c>
      <c r="B268" s="4">
        <v>1.0</v>
      </c>
      <c r="C268" s="4"/>
      <c r="D268" s="4"/>
      <c r="E268" s="24"/>
      <c r="F268" s="29"/>
      <c r="G268" s="4"/>
      <c r="H268" s="4"/>
      <c r="I268" s="52"/>
      <c r="K268" s="24"/>
      <c r="L268" s="4"/>
    </row>
    <row r="269">
      <c r="A269" s="4" t="s">
        <v>649</v>
      </c>
      <c r="B269" s="4">
        <v>1.0</v>
      </c>
      <c r="C269" s="4"/>
      <c r="D269" s="4"/>
      <c r="E269" s="24"/>
      <c r="F269" s="29"/>
      <c r="G269" s="4"/>
      <c r="H269" s="4"/>
      <c r="I269" s="52"/>
      <c r="K269" s="24"/>
      <c r="L269" s="4"/>
    </row>
    <row r="270">
      <c r="A270" s="4" t="s">
        <v>650</v>
      </c>
      <c r="B270" s="4">
        <v>1.0</v>
      </c>
      <c r="C270" s="4"/>
      <c r="D270" s="4"/>
      <c r="E270" s="24"/>
      <c r="F270" s="29"/>
      <c r="G270" s="4"/>
      <c r="H270" s="4"/>
      <c r="I270" s="52"/>
      <c r="K270" s="24"/>
      <c r="L270" s="4"/>
    </row>
    <row r="271">
      <c r="A271" s="4" t="s">
        <v>651</v>
      </c>
      <c r="B271" s="4">
        <v>1.0</v>
      </c>
      <c r="C271" s="4"/>
      <c r="D271" s="4"/>
      <c r="E271" s="24"/>
      <c r="F271" s="29"/>
      <c r="G271" s="4"/>
      <c r="H271" s="4"/>
      <c r="I271" s="52"/>
      <c r="K271" s="24"/>
      <c r="L271" s="4"/>
    </row>
    <row r="272">
      <c r="A272" s="4" t="s">
        <v>652</v>
      </c>
      <c r="B272" s="4">
        <v>1.0</v>
      </c>
      <c r="C272" s="4"/>
      <c r="D272" s="4"/>
      <c r="E272" s="24"/>
      <c r="F272" s="29"/>
      <c r="G272" s="4"/>
      <c r="H272" s="4"/>
      <c r="I272" s="52"/>
      <c r="K272" s="24"/>
      <c r="L272" s="4"/>
    </row>
    <row r="273">
      <c r="A273" s="4" t="s">
        <v>653</v>
      </c>
      <c r="B273" s="4">
        <v>1.0</v>
      </c>
      <c r="C273" s="4"/>
      <c r="D273" s="4"/>
      <c r="E273" s="24"/>
      <c r="F273" s="29"/>
      <c r="G273" s="4"/>
      <c r="H273" s="4"/>
      <c r="I273" s="52"/>
      <c r="K273" s="24"/>
      <c r="L273" s="4"/>
    </row>
    <row r="274">
      <c r="A274" s="4" t="s">
        <v>654</v>
      </c>
      <c r="B274" s="4">
        <v>1.0</v>
      </c>
      <c r="C274" s="4"/>
      <c r="D274" s="4"/>
      <c r="E274" s="24"/>
      <c r="F274" s="29"/>
      <c r="G274" s="4"/>
      <c r="H274" s="4"/>
      <c r="I274" s="52"/>
      <c r="K274" s="24"/>
      <c r="L274" s="4"/>
    </row>
    <row r="275">
      <c r="A275" s="4" t="s">
        <v>655</v>
      </c>
      <c r="B275" s="4">
        <v>1.0</v>
      </c>
      <c r="C275" s="4"/>
      <c r="D275" s="4"/>
      <c r="E275" s="24"/>
      <c r="F275" s="29"/>
      <c r="G275" s="4"/>
      <c r="H275" s="4"/>
      <c r="I275" s="52"/>
      <c r="K275" s="24"/>
      <c r="L275" s="4"/>
    </row>
    <row r="276">
      <c r="A276" s="4" t="s">
        <v>656</v>
      </c>
      <c r="B276" s="4">
        <v>1.0</v>
      </c>
      <c r="C276" s="4"/>
      <c r="D276" s="4"/>
      <c r="E276" s="24"/>
      <c r="F276" s="29"/>
      <c r="G276" s="4"/>
      <c r="H276" s="4"/>
      <c r="I276" s="52"/>
      <c r="K276" s="24"/>
      <c r="L276" s="4"/>
    </row>
    <row r="277">
      <c r="A277" s="4" t="s">
        <v>657</v>
      </c>
      <c r="B277" s="4">
        <v>1.0</v>
      </c>
      <c r="C277" s="4"/>
      <c r="D277" s="4"/>
      <c r="E277" s="24"/>
      <c r="F277" s="29"/>
      <c r="G277" s="4"/>
      <c r="H277" s="4"/>
      <c r="I277" s="52"/>
      <c r="K277" s="24"/>
      <c r="L277" s="4"/>
    </row>
    <row r="278">
      <c r="A278" s="4" t="s">
        <v>658</v>
      </c>
      <c r="B278" s="4">
        <v>1.0</v>
      </c>
      <c r="C278" s="4"/>
      <c r="D278" s="4"/>
      <c r="E278" s="24"/>
      <c r="F278" s="29"/>
      <c r="G278" s="4"/>
      <c r="H278" s="4"/>
      <c r="I278" s="52"/>
      <c r="K278" s="24"/>
      <c r="L278" s="4"/>
    </row>
    <row r="279">
      <c r="A279" s="4" t="s">
        <v>659</v>
      </c>
      <c r="B279" s="4">
        <v>1.0</v>
      </c>
      <c r="C279" s="4"/>
      <c r="D279" s="4"/>
      <c r="E279" s="24"/>
      <c r="F279" s="29"/>
      <c r="G279" s="4"/>
      <c r="H279" s="4"/>
      <c r="I279" s="52"/>
      <c r="K279" s="24"/>
      <c r="L279" s="4"/>
    </row>
    <row r="280">
      <c r="A280" s="4" t="s">
        <v>660</v>
      </c>
      <c r="B280" s="4">
        <v>1.0</v>
      </c>
      <c r="C280" s="4"/>
      <c r="D280" s="4"/>
      <c r="E280" s="52"/>
      <c r="F280" s="62"/>
      <c r="G280" s="4"/>
      <c r="H280" s="4"/>
      <c r="I280" s="52"/>
      <c r="K280" s="24"/>
      <c r="L280" s="4"/>
    </row>
    <row r="281">
      <c r="A281" s="4" t="s">
        <v>661</v>
      </c>
      <c r="B281" s="4">
        <v>1.0</v>
      </c>
      <c r="C281" s="4"/>
      <c r="D281" s="4"/>
      <c r="E281" s="24"/>
      <c r="F281" s="29"/>
      <c r="G281" s="4"/>
      <c r="H281" s="4"/>
      <c r="I281" s="52"/>
      <c r="K281" s="24"/>
      <c r="L281" s="4"/>
    </row>
    <row r="282">
      <c r="A282" s="4" t="s">
        <v>662</v>
      </c>
      <c r="B282" s="4">
        <v>1.0</v>
      </c>
      <c r="C282" s="4"/>
      <c r="D282" s="4"/>
      <c r="E282" s="24"/>
      <c r="F282" s="29"/>
      <c r="G282" s="4"/>
      <c r="H282" s="4"/>
      <c r="I282" s="52"/>
      <c r="K282" s="24"/>
      <c r="L282" s="4"/>
    </row>
    <row r="283">
      <c r="A283" s="4" t="s">
        <v>663</v>
      </c>
      <c r="B283" s="4">
        <v>1.0</v>
      </c>
      <c r="C283" s="4"/>
      <c r="D283" s="4"/>
      <c r="E283" s="24"/>
      <c r="F283" s="29"/>
      <c r="G283" s="4"/>
      <c r="H283" s="4"/>
      <c r="I283" s="52"/>
      <c r="K283" s="24"/>
      <c r="L283" s="4"/>
    </row>
    <row r="284">
      <c r="A284" s="4" t="s">
        <v>664</v>
      </c>
      <c r="B284" s="4">
        <v>1.0</v>
      </c>
      <c r="C284" s="4"/>
      <c r="D284" s="4"/>
      <c r="E284" s="24"/>
      <c r="F284" s="29"/>
      <c r="G284" s="4"/>
      <c r="H284" s="4"/>
      <c r="I284" s="52"/>
      <c r="K284" s="24"/>
      <c r="L284" s="4"/>
    </row>
    <row r="285">
      <c r="A285" s="4" t="s">
        <v>665</v>
      </c>
      <c r="B285" s="4">
        <v>1.0</v>
      </c>
      <c r="C285" s="4"/>
      <c r="D285" s="4"/>
      <c r="E285" s="24"/>
      <c r="F285" s="29"/>
      <c r="G285" s="4"/>
      <c r="H285" s="4"/>
      <c r="I285" s="52"/>
      <c r="K285" s="24"/>
      <c r="L285" s="4"/>
    </row>
    <row r="286">
      <c r="A286" s="4" t="s">
        <v>666</v>
      </c>
      <c r="B286" s="4">
        <v>1.0</v>
      </c>
      <c r="C286" s="4"/>
      <c r="D286" s="4"/>
      <c r="E286" s="24"/>
      <c r="F286" s="29"/>
      <c r="G286" s="4"/>
      <c r="H286" s="4"/>
      <c r="I286" s="52"/>
      <c r="K286" s="24"/>
      <c r="L286" s="4"/>
    </row>
    <row r="287">
      <c r="A287" s="4" t="s">
        <v>667</v>
      </c>
      <c r="B287" s="4">
        <v>1.0</v>
      </c>
      <c r="C287" s="4"/>
      <c r="D287" s="4"/>
      <c r="E287" s="24"/>
      <c r="F287" s="29"/>
      <c r="G287" s="4"/>
      <c r="H287" s="4"/>
      <c r="I287" s="52"/>
      <c r="K287" s="24"/>
      <c r="L287" s="4"/>
    </row>
    <row r="288">
      <c r="A288" s="4" t="s">
        <v>668</v>
      </c>
      <c r="B288" s="4">
        <v>1.0</v>
      </c>
      <c r="C288" s="4"/>
      <c r="D288" s="4"/>
      <c r="E288" s="24"/>
      <c r="F288" s="29"/>
      <c r="G288" s="4"/>
      <c r="H288" s="4"/>
      <c r="I288" s="52"/>
      <c r="K288" s="24"/>
      <c r="L288" s="4"/>
    </row>
    <row r="289">
      <c r="A289" s="4" t="s">
        <v>669</v>
      </c>
      <c r="B289" s="4">
        <v>1.0</v>
      </c>
      <c r="C289" s="4"/>
      <c r="D289" s="4"/>
      <c r="E289" s="24"/>
      <c r="F289" s="29"/>
      <c r="G289" s="4"/>
      <c r="H289" s="4"/>
      <c r="I289" s="52"/>
      <c r="K289" s="24"/>
      <c r="L289" s="4"/>
    </row>
    <row r="290">
      <c r="A290" s="4" t="s">
        <v>670</v>
      </c>
      <c r="B290" s="4">
        <v>1.0</v>
      </c>
      <c r="C290" s="4"/>
      <c r="D290" s="4"/>
      <c r="E290" s="24"/>
      <c r="F290" s="29"/>
      <c r="G290" s="4"/>
      <c r="H290" s="4"/>
      <c r="I290" s="52"/>
      <c r="K290" s="24"/>
      <c r="L290" s="4"/>
    </row>
    <row r="291">
      <c r="A291" s="4" t="s">
        <v>671</v>
      </c>
      <c r="B291" s="4">
        <v>1.0</v>
      </c>
      <c r="C291" s="4"/>
      <c r="D291" s="4"/>
      <c r="E291" s="24"/>
      <c r="F291" s="29"/>
      <c r="G291" s="4"/>
      <c r="H291" s="4"/>
      <c r="I291" s="52"/>
      <c r="K291" s="24"/>
      <c r="L291" s="4"/>
    </row>
    <row r="292">
      <c r="A292" s="4" t="s">
        <v>672</v>
      </c>
      <c r="B292" s="4">
        <v>1.0</v>
      </c>
      <c r="C292" s="4"/>
      <c r="D292" s="4"/>
      <c r="E292" s="24"/>
      <c r="F292" s="29"/>
      <c r="G292" s="4"/>
      <c r="H292" s="4"/>
      <c r="I292" s="52"/>
      <c r="K292" s="24"/>
      <c r="L292" s="4"/>
    </row>
    <row r="293">
      <c r="A293" s="4" t="s">
        <v>673</v>
      </c>
      <c r="B293" s="4">
        <v>1.0</v>
      </c>
      <c r="C293" s="4"/>
      <c r="D293" s="4"/>
      <c r="E293" s="24"/>
      <c r="F293" s="29"/>
      <c r="G293" s="4"/>
      <c r="H293" s="4"/>
      <c r="I293" s="52"/>
      <c r="K293" s="24"/>
      <c r="L293" s="4"/>
    </row>
    <row r="294">
      <c r="A294" s="4" t="s">
        <v>674</v>
      </c>
      <c r="B294" s="4">
        <v>1.0</v>
      </c>
      <c r="C294" s="4"/>
      <c r="D294" s="4"/>
      <c r="E294" s="24"/>
      <c r="F294" s="29"/>
      <c r="G294" s="4"/>
      <c r="H294" s="4"/>
      <c r="I294" s="52"/>
      <c r="K294" s="24"/>
      <c r="L294" s="4"/>
    </row>
    <row r="295">
      <c r="A295" s="4" t="s">
        <v>675</v>
      </c>
      <c r="B295" s="4">
        <v>1.0</v>
      </c>
      <c r="C295" s="4"/>
      <c r="D295" s="4"/>
      <c r="E295" s="24"/>
      <c r="F295" s="29"/>
      <c r="G295" s="4"/>
      <c r="H295" s="4"/>
      <c r="I295" s="52"/>
      <c r="K295" s="24"/>
      <c r="L295" s="4"/>
    </row>
    <row r="296">
      <c r="A296" s="4" t="s">
        <v>676</v>
      </c>
      <c r="B296" s="4">
        <v>1.0</v>
      </c>
      <c r="C296" s="4"/>
      <c r="D296" s="4"/>
      <c r="E296" s="24"/>
      <c r="F296" s="29"/>
      <c r="G296" s="4"/>
      <c r="H296" s="4"/>
      <c r="I296" s="52"/>
      <c r="K296" s="24"/>
      <c r="L296" s="4"/>
    </row>
    <row r="297">
      <c r="A297" s="4" t="s">
        <v>677</v>
      </c>
      <c r="B297" s="4">
        <v>1.0</v>
      </c>
      <c r="C297" s="4"/>
      <c r="D297" s="4"/>
      <c r="E297" s="24"/>
      <c r="F297" s="29"/>
      <c r="G297" s="4"/>
      <c r="H297" s="4"/>
      <c r="I297" s="52"/>
      <c r="K297" s="24"/>
      <c r="L297" s="4"/>
    </row>
    <row r="298">
      <c r="A298" s="4" t="s">
        <v>678</v>
      </c>
      <c r="B298" s="4">
        <v>1.0</v>
      </c>
      <c r="C298" s="4"/>
      <c r="D298" s="4"/>
      <c r="E298" s="24"/>
      <c r="F298" s="29"/>
      <c r="G298" s="4"/>
      <c r="H298" s="4"/>
      <c r="I298" s="52"/>
      <c r="K298" s="24"/>
      <c r="L298" s="4"/>
    </row>
    <row r="299">
      <c r="A299" s="4" t="s">
        <v>679</v>
      </c>
      <c r="B299" s="4">
        <v>1.0</v>
      </c>
      <c r="C299" s="4"/>
      <c r="D299" s="4"/>
      <c r="E299" s="24"/>
      <c r="F299" s="29"/>
      <c r="G299" s="4"/>
      <c r="H299" s="4"/>
      <c r="I299" s="52"/>
      <c r="K299" s="24"/>
      <c r="L299" s="4"/>
    </row>
    <row r="300">
      <c r="A300" s="4" t="s">
        <v>680</v>
      </c>
      <c r="B300" s="4">
        <v>1.0</v>
      </c>
      <c r="C300" s="4"/>
      <c r="D300" s="4"/>
      <c r="E300" s="24"/>
      <c r="F300" s="29"/>
      <c r="G300" s="4"/>
      <c r="H300" s="4"/>
      <c r="I300" s="52"/>
      <c r="K300" s="24"/>
      <c r="L300" s="4"/>
    </row>
    <row r="301">
      <c r="A301" s="4" t="s">
        <v>681</v>
      </c>
      <c r="B301" s="4">
        <v>1.0</v>
      </c>
      <c r="C301" s="4"/>
      <c r="D301" s="4"/>
      <c r="E301" s="24"/>
      <c r="F301" s="29"/>
      <c r="G301" s="4"/>
      <c r="H301" s="4"/>
      <c r="I301" s="52"/>
      <c r="K301" s="24"/>
      <c r="L301" s="4"/>
    </row>
    <row r="302">
      <c r="A302" s="4" t="s">
        <v>682</v>
      </c>
      <c r="B302" s="4">
        <v>1.0</v>
      </c>
      <c r="C302" s="4"/>
      <c r="D302" s="4"/>
      <c r="E302" s="24"/>
      <c r="F302" s="29"/>
      <c r="G302" s="4"/>
      <c r="H302" s="4"/>
      <c r="I302" s="52"/>
      <c r="K302" s="24"/>
      <c r="L302" s="4"/>
    </row>
    <row r="303">
      <c r="A303" s="4" t="s">
        <v>683</v>
      </c>
      <c r="B303" s="4">
        <v>1.0</v>
      </c>
      <c r="C303" s="4"/>
      <c r="D303" s="4"/>
      <c r="E303" s="24"/>
      <c r="F303" s="29"/>
      <c r="G303" s="4"/>
      <c r="H303" s="4"/>
      <c r="I303" s="52"/>
      <c r="K303" s="24"/>
      <c r="L303" s="4"/>
    </row>
    <row r="304">
      <c r="A304" s="4" t="s">
        <v>684</v>
      </c>
      <c r="B304" s="4">
        <v>1.0</v>
      </c>
      <c r="C304" s="4"/>
      <c r="D304" s="4"/>
      <c r="E304" s="24"/>
      <c r="F304" s="29"/>
      <c r="G304" s="4"/>
      <c r="H304" s="4"/>
      <c r="I304" s="52"/>
      <c r="K304" s="24"/>
      <c r="L304" s="4"/>
    </row>
    <row r="305">
      <c r="A305" s="4" t="s">
        <v>685</v>
      </c>
      <c r="B305" s="4">
        <v>1.0</v>
      </c>
      <c r="C305" s="4"/>
      <c r="D305" s="4"/>
      <c r="E305" s="24"/>
      <c r="F305" s="29"/>
      <c r="G305" s="4"/>
      <c r="H305" s="4"/>
      <c r="I305" s="52"/>
      <c r="K305" s="24"/>
      <c r="L305" s="4"/>
    </row>
    <row r="306">
      <c r="A306" s="4" t="s">
        <v>686</v>
      </c>
      <c r="B306" s="4">
        <v>1.0</v>
      </c>
      <c r="C306" s="4"/>
      <c r="D306" s="4"/>
      <c r="E306" s="24"/>
      <c r="F306" s="29"/>
      <c r="G306" s="4"/>
      <c r="H306" s="4"/>
      <c r="I306" s="52"/>
      <c r="K306" s="24"/>
      <c r="L306" s="4"/>
    </row>
    <row r="307">
      <c r="A307" s="4" t="s">
        <v>687</v>
      </c>
      <c r="B307" s="4">
        <v>1.0</v>
      </c>
      <c r="C307" s="4"/>
      <c r="D307" s="4"/>
      <c r="E307" s="52"/>
      <c r="F307" s="62"/>
      <c r="G307" s="4"/>
      <c r="H307" s="4"/>
      <c r="I307" s="52"/>
      <c r="K307" s="24"/>
      <c r="L307" s="4"/>
    </row>
    <row r="308">
      <c r="A308" s="4" t="s">
        <v>688</v>
      </c>
      <c r="B308" s="4">
        <v>1.0</v>
      </c>
      <c r="C308" s="4"/>
      <c r="D308" s="4"/>
      <c r="E308" s="24"/>
      <c r="F308" s="29"/>
      <c r="G308" s="4"/>
      <c r="H308" s="4"/>
      <c r="I308" s="52"/>
      <c r="K308" s="24"/>
      <c r="L308" s="4"/>
    </row>
    <row r="309">
      <c r="A309" s="4" t="s">
        <v>689</v>
      </c>
      <c r="B309" s="4">
        <v>1.0</v>
      </c>
      <c r="C309" s="4"/>
      <c r="D309" s="4"/>
      <c r="E309" s="24"/>
      <c r="F309" s="29"/>
      <c r="G309" s="4"/>
      <c r="H309" s="4"/>
      <c r="I309" s="52"/>
      <c r="K309" s="24"/>
      <c r="L309" s="4"/>
    </row>
    <row r="310">
      <c r="A310" s="4" t="s">
        <v>690</v>
      </c>
      <c r="B310" s="4">
        <v>1.0</v>
      </c>
      <c r="C310" s="4"/>
      <c r="D310" s="4"/>
      <c r="E310" s="24"/>
      <c r="F310" s="29"/>
      <c r="G310" s="4"/>
      <c r="H310" s="4"/>
      <c r="I310" s="52"/>
      <c r="K310" s="24"/>
      <c r="L310" s="4"/>
    </row>
    <row r="311">
      <c r="A311" s="4" t="s">
        <v>691</v>
      </c>
      <c r="B311" s="4">
        <v>1.0</v>
      </c>
      <c r="C311" s="4"/>
      <c r="D311" s="4"/>
      <c r="E311" s="24"/>
      <c r="F311" s="29"/>
      <c r="G311" s="4"/>
      <c r="H311" s="4"/>
      <c r="I311" s="52"/>
      <c r="K311" s="24"/>
      <c r="L311" s="4"/>
    </row>
    <row r="312">
      <c r="A312" s="4" t="s">
        <v>692</v>
      </c>
      <c r="B312" s="4">
        <v>1.0</v>
      </c>
      <c r="C312" s="4"/>
      <c r="D312" s="4"/>
      <c r="E312" s="24"/>
      <c r="F312" s="29"/>
      <c r="G312" s="4"/>
      <c r="H312" s="4"/>
      <c r="I312" s="52"/>
      <c r="K312" s="24"/>
      <c r="L312" s="4"/>
    </row>
    <row r="313">
      <c r="A313" s="4" t="s">
        <v>693</v>
      </c>
      <c r="B313" s="4">
        <v>1.0</v>
      </c>
      <c r="C313" s="4"/>
      <c r="D313" s="4"/>
      <c r="E313" s="24"/>
      <c r="F313" s="29"/>
      <c r="G313" s="4"/>
      <c r="H313" s="4"/>
      <c r="I313" s="52"/>
      <c r="K313" s="24"/>
      <c r="L313" s="4"/>
    </row>
    <row r="314">
      <c r="A314" s="4" t="s">
        <v>694</v>
      </c>
      <c r="B314" s="4">
        <v>1.0</v>
      </c>
      <c r="C314" s="4"/>
      <c r="D314" s="4"/>
      <c r="E314" s="24"/>
      <c r="F314" s="29"/>
      <c r="G314" s="4"/>
      <c r="H314" s="4"/>
      <c r="I314" s="52"/>
      <c r="K314" s="24"/>
      <c r="L314" s="4"/>
    </row>
    <row r="315">
      <c r="A315" s="4" t="s">
        <v>695</v>
      </c>
      <c r="B315" s="4">
        <v>1.0</v>
      </c>
      <c r="C315" s="4"/>
      <c r="D315" s="4"/>
      <c r="E315" s="24"/>
      <c r="F315" s="29"/>
      <c r="G315" s="4"/>
      <c r="H315" s="4"/>
      <c r="I315" s="52"/>
      <c r="K315" s="24"/>
      <c r="L315" s="4"/>
    </row>
    <row r="316">
      <c r="A316" s="4" t="s">
        <v>696</v>
      </c>
      <c r="B316" s="4">
        <v>1.0</v>
      </c>
      <c r="C316" s="4"/>
      <c r="D316" s="4"/>
      <c r="E316" s="24"/>
      <c r="F316" s="29"/>
      <c r="G316" s="4"/>
      <c r="H316" s="4"/>
      <c r="I316" s="52"/>
      <c r="K316" s="24"/>
      <c r="L316" s="4"/>
    </row>
    <row r="317">
      <c r="A317" s="4" t="s">
        <v>697</v>
      </c>
      <c r="B317" s="4">
        <v>1.0</v>
      </c>
      <c r="C317" s="4"/>
      <c r="D317" s="4"/>
      <c r="E317" s="24"/>
      <c r="F317" s="29"/>
      <c r="G317" s="4"/>
      <c r="H317" s="4"/>
      <c r="I317" s="52"/>
      <c r="K317" s="24"/>
      <c r="L317" s="4"/>
    </row>
    <row r="318">
      <c r="A318" s="4" t="s">
        <v>698</v>
      </c>
      <c r="B318" s="4">
        <v>1.0</v>
      </c>
      <c r="C318" s="4"/>
      <c r="D318" s="4"/>
      <c r="E318" s="24"/>
      <c r="F318" s="29"/>
      <c r="G318" s="4"/>
      <c r="H318" s="4"/>
      <c r="I318" s="52"/>
      <c r="K318" s="24"/>
      <c r="L318" s="4"/>
    </row>
    <row r="319">
      <c r="A319" s="4" t="s">
        <v>699</v>
      </c>
      <c r="B319" s="4">
        <v>1.0</v>
      </c>
      <c r="C319" s="4"/>
      <c r="D319" s="4"/>
      <c r="E319" s="24"/>
      <c r="F319" s="29"/>
      <c r="G319" s="4"/>
      <c r="H319" s="4"/>
      <c r="I319" s="52"/>
      <c r="K319" s="24"/>
      <c r="L319" s="4"/>
    </row>
    <row r="320">
      <c r="A320" s="4" t="s">
        <v>700</v>
      </c>
      <c r="B320" s="4">
        <v>1.0</v>
      </c>
      <c r="C320" s="4"/>
      <c r="D320" s="4"/>
      <c r="E320" s="24"/>
      <c r="F320" s="29"/>
      <c r="G320" s="4"/>
      <c r="H320" s="4"/>
      <c r="I320" s="52"/>
      <c r="K320" s="24"/>
      <c r="L320" s="4"/>
    </row>
    <row r="321">
      <c r="A321" s="4" t="s">
        <v>701</v>
      </c>
      <c r="B321" s="4">
        <v>1.0</v>
      </c>
      <c r="C321" s="4"/>
      <c r="D321" s="4"/>
      <c r="E321" s="24"/>
      <c r="F321" s="29"/>
      <c r="G321" s="4"/>
      <c r="H321" s="4"/>
      <c r="I321" s="52"/>
      <c r="K321" s="24"/>
      <c r="L321" s="4"/>
    </row>
    <row r="322">
      <c r="A322" s="4" t="s">
        <v>702</v>
      </c>
      <c r="B322" s="4">
        <v>1.0</v>
      </c>
      <c r="C322" s="4"/>
      <c r="D322" s="4"/>
      <c r="E322" s="24"/>
      <c r="F322" s="29"/>
      <c r="G322" s="4"/>
      <c r="H322" s="4"/>
      <c r="I322" s="52"/>
      <c r="K322" s="24"/>
      <c r="L322" s="4"/>
    </row>
    <row r="323">
      <c r="A323" s="4" t="s">
        <v>703</v>
      </c>
      <c r="B323" s="4">
        <v>1.0</v>
      </c>
      <c r="C323" s="4"/>
      <c r="D323" s="4"/>
      <c r="E323" s="24"/>
      <c r="F323" s="29"/>
      <c r="G323" s="4"/>
      <c r="H323" s="4"/>
      <c r="I323" s="52"/>
      <c r="K323" s="24"/>
      <c r="L323" s="4"/>
    </row>
    <row r="324">
      <c r="A324" s="4" t="s">
        <v>704</v>
      </c>
      <c r="B324" s="4">
        <v>1.0</v>
      </c>
      <c r="C324" s="4"/>
      <c r="D324" s="4"/>
      <c r="E324" s="24"/>
      <c r="F324" s="29"/>
      <c r="G324" s="4"/>
      <c r="H324" s="4"/>
      <c r="I324" s="52"/>
      <c r="K324" s="24"/>
      <c r="L324" s="4"/>
    </row>
    <row r="325">
      <c r="A325" s="4" t="s">
        <v>705</v>
      </c>
      <c r="B325" s="4">
        <v>1.0</v>
      </c>
      <c r="C325" s="4"/>
      <c r="D325" s="4"/>
      <c r="E325" s="24"/>
      <c r="F325" s="29"/>
      <c r="G325" s="4"/>
      <c r="H325" s="4"/>
      <c r="I325" s="52"/>
      <c r="K325" s="24"/>
      <c r="L325" s="4"/>
    </row>
    <row r="326">
      <c r="A326" s="4" t="s">
        <v>706</v>
      </c>
      <c r="B326" s="4">
        <v>1.0</v>
      </c>
      <c r="C326" s="4"/>
      <c r="D326" s="4"/>
      <c r="E326" s="24"/>
      <c r="F326" s="29"/>
      <c r="G326" s="4"/>
      <c r="H326" s="4"/>
      <c r="I326" s="52"/>
      <c r="K326" s="24"/>
      <c r="L326" s="4"/>
    </row>
    <row r="327">
      <c r="A327" s="4" t="s">
        <v>707</v>
      </c>
      <c r="B327" s="4">
        <v>1.0</v>
      </c>
      <c r="C327" s="4"/>
      <c r="D327" s="4"/>
      <c r="E327" s="24"/>
      <c r="F327" s="29"/>
      <c r="G327" s="4"/>
      <c r="H327" s="4"/>
      <c r="I327" s="52"/>
      <c r="K327" s="24"/>
      <c r="L327" s="4"/>
    </row>
    <row r="328">
      <c r="A328" s="4" t="s">
        <v>708</v>
      </c>
      <c r="B328" s="4">
        <v>1.0</v>
      </c>
      <c r="C328" s="4"/>
      <c r="D328" s="4"/>
      <c r="E328" s="24"/>
      <c r="F328" s="29"/>
      <c r="G328" s="4"/>
      <c r="H328" s="4"/>
      <c r="I328" s="52"/>
      <c r="K328" s="24"/>
      <c r="L328" s="4"/>
    </row>
    <row r="329">
      <c r="A329" s="4" t="s">
        <v>709</v>
      </c>
      <c r="B329" s="4">
        <v>1.0</v>
      </c>
      <c r="C329" s="4"/>
      <c r="D329" s="4"/>
      <c r="E329" s="24"/>
      <c r="F329" s="29"/>
      <c r="G329" s="4"/>
      <c r="H329" s="4"/>
      <c r="I329" s="52"/>
      <c r="K329" s="24"/>
      <c r="L329" s="4"/>
    </row>
    <row r="330">
      <c r="A330" s="4" t="s">
        <v>710</v>
      </c>
      <c r="B330" s="4">
        <v>1.0</v>
      </c>
      <c r="C330" s="4"/>
      <c r="D330" s="4"/>
      <c r="E330" s="24"/>
      <c r="F330" s="29"/>
      <c r="G330" s="4"/>
      <c r="H330" s="4"/>
      <c r="I330" s="52"/>
      <c r="K330" s="24"/>
      <c r="L330" s="4"/>
    </row>
    <row r="331">
      <c r="A331" s="4" t="s">
        <v>711</v>
      </c>
      <c r="B331" s="4">
        <v>1.0</v>
      </c>
      <c r="C331" s="4"/>
      <c r="D331" s="4"/>
      <c r="E331" s="24"/>
      <c r="F331" s="29"/>
      <c r="G331" s="4"/>
      <c r="H331" s="4"/>
      <c r="I331" s="52"/>
      <c r="K331" s="24"/>
      <c r="L331" s="4"/>
    </row>
    <row r="332">
      <c r="A332" s="4" t="s">
        <v>712</v>
      </c>
      <c r="B332" s="4">
        <v>1.0</v>
      </c>
      <c r="C332" s="4"/>
      <c r="D332" s="4"/>
      <c r="E332" s="24"/>
      <c r="F332" s="29"/>
      <c r="G332" s="4"/>
      <c r="H332" s="4"/>
      <c r="I332" s="52"/>
      <c r="K332" s="24"/>
      <c r="L332" s="4"/>
    </row>
    <row r="333">
      <c r="A333" s="4" t="s">
        <v>713</v>
      </c>
      <c r="B333" s="4">
        <v>1.0</v>
      </c>
      <c r="C333" s="4"/>
      <c r="D333" s="4"/>
      <c r="E333" s="24"/>
      <c r="F333" s="29"/>
      <c r="G333" s="4"/>
      <c r="H333" s="4"/>
      <c r="I333" s="52"/>
      <c r="K333" s="24"/>
      <c r="L333" s="4"/>
    </row>
    <row r="334">
      <c r="A334" s="4" t="s">
        <v>714</v>
      </c>
      <c r="B334" s="4">
        <v>1.0</v>
      </c>
      <c r="C334" s="4"/>
      <c r="D334" s="4"/>
      <c r="E334" s="24"/>
      <c r="F334" s="29"/>
      <c r="G334" s="4"/>
      <c r="H334" s="4"/>
      <c r="I334" s="52"/>
      <c r="K334" s="24"/>
      <c r="L334" s="4"/>
    </row>
    <row r="335">
      <c r="A335" s="4" t="s">
        <v>715</v>
      </c>
      <c r="B335" s="4">
        <v>1.0</v>
      </c>
      <c r="C335" s="4"/>
      <c r="D335" s="4"/>
      <c r="E335" s="24"/>
      <c r="F335" s="29"/>
      <c r="G335" s="4"/>
      <c r="H335" s="4"/>
      <c r="I335" s="52"/>
      <c r="K335" s="24"/>
      <c r="L335" s="4"/>
    </row>
    <row r="336">
      <c r="A336" s="4" t="s">
        <v>716</v>
      </c>
      <c r="B336" s="4">
        <v>1.0</v>
      </c>
      <c r="C336" s="4"/>
      <c r="D336" s="4"/>
      <c r="E336" s="24"/>
      <c r="F336" s="29"/>
      <c r="G336" s="4"/>
      <c r="H336" s="4"/>
      <c r="I336" s="52"/>
      <c r="K336" s="24"/>
      <c r="L336" s="4"/>
    </row>
    <row r="337">
      <c r="A337" s="4" t="s">
        <v>717</v>
      </c>
      <c r="B337" s="4">
        <v>1.0</v>
      </c>
      <c r="C337" s="4"/>
      <c r="D337" s="4"/>
      <c r="E337" s="24"/>
      <c r="F337" s="29"/>
      <c r="G337" s="4"/>
      <c r="H337" s="4"/>
      <c r="I337" s="52"/>
      <c r="K337" s="24"/>
      <c r="L337" s="4"/>
    </row>
    <row r="338">
      <c r="A338" s="4" t="s">
        <v>718</v>
      </c>
      <c r="B338" s="4">
        <v>1.0</v>
      </c>
      <c r="C338" s="4"/>
      <c r="D338" s="4"/>
      <c r="E338" s="24"/>
      <c r="F338" s="29"/>
      <c r="G338" s="4"/>
      <c r="H338" s="4"/>
      <c r="I338" s="52"/>
      <c r="K338" s="24"/>
      <c r="L338" s="4"/>
    </row>
    <row r="339">
      <c r="A339" s="4" t="s">
        <v>719</v>
      </c>
      <c r="B339" s="4">
        <v>1.0</v>
      </c>
      <c r="C339" s="4"/>
      <c r="D339" s="4"/>
      <c r="E339" s="24"/>
      <c r="F339" s="29"/>
      <c r="G339" s="4"/>
      <c r="H339" s="4"/>
      <c r="I339" s="52"/>
      <c r="K339" s="24"/>
      <c r="L339" s="4"/>
    </row>
    <row r="340">
      <c r="A340" s="4" t="s">
        <v>720</v>
      </c>
      <c r="B340" s="4">
        <v>1.0</v>
      </c>
      <c r="C340" s="4"/>
      <c r="D340" s="4"/>
      <c r="E340" s="24"/>
      <c r="F340" s="29"/>
      <c r="G340" s="4"/>
      <c r="H340" s="4"/>
      <c r="I340" s="52"/>
      <c r="K340" s="24"/>
      <c r="L340" s="4"/>
    </row>
    <row r="341">
      <c r="A341" s="4" t="s">
        <v>721</v>
      </c>
      <c r="B341" s="4">
        <v>1.0</v>
      </c>
      <c r="C341" s="4"/>
      <c r="D341" s="4"/>
      <c r="E341" s="24"/>
      <c r="F341" s="29"/>
      <c r="G341" s="4"/>
      <c r="H341" s="4"/>
      <c r="I341" s="52"/>
      <c r="K341" s="24"/>
      <c r="L341" s="4"/>
    </row>
    <row r="342">
      <c r="A342" s="4" t="s">
        <v>722</v>
      </c>
      <c r="B342" s="4">
        <v>1.0</v>
      </c>
      <c r="C342" s="4"/>
      <c r="D342" s="4"/>
      <c r="E342" s="24"/>
      <c r="F342" s="29"/>
      <c r="G342" s="4"/>
      <c r="H342" s="4"/>
      <c r="I342" s="52"/>
      <c r="K342" s="24"/>
      <c r="L342" s="4"/>
    </row>
    <row r="343">
      <c r="A343" s="4" t="s">
        <v>723</v>
      </c>
      <c r="B343" s="4">
        <v>1.0</v>
      </c>
      <c r="C343" s="4"/>
      <c r="D343" s="4"/>
      <c r="E343" s="24"/>
      <c r="F343" s="29"/>
      <c r="G343" s="4"/>
      <c r="H343" s="4"/>
      <c r="I343" s="52"/>
      <c r="K343" s="24"/>
      <c r="L343" s="4"/>
    </row>
    <row r="344">
      <c r="A344" s="4" t="s">
        <v>724</v>
      </c>
      <c r="B344" s="4">
        <v>1.0</v>
      </c>
      <c r="C344" s="4"/>
      <c r="D344" s="4"/>
      <c r="E344" s="24"/>
      <c r="F344" s="29"/>
      <c r="G344" s="4"/>
      <c r="H344" s="4"/>
      <c r="I344" s="52"/>
      <c r="K344" s="24"/>
      <c r="L344" s="4"/>
    </row>
    <row r="345">
      <c r="A345" s="4" t="s">
        <v>725</v>
      </c>
      <c r="B345" s="4">
        <v>1.0</v>
      </c>
      <c r="C345" s="4"/>
      <c r="D345" s="4"/>
      <c r="E345" s="24"/>
      <c r="F345" s="29"/>
      <c r="G345" s="4"/>
      <c r="H345" s="4"/>
      <c r="I345" s="52"/>
      <c r="K345" s="24"/>
      <c r="L345" s="4"/>
    </row>
    <row r="346">
      <c r="A346" s="4" t="s">
        <v>726</v>
      </c>
      <c r="B346" s="4">
        <v>1.0</v>
      </c>
      <c r="C346" s="4"/>
      <c r="D346" s="4"/>
      <c r="E346" s="24"/>
      <c r="F346" s="29"/>
      <c r="G346" s="4"/>
      <c r="H346" s="4"/>
      <c r="I346" s="52"/>
      <c r="K346" s="24"/>
      <c r="L346" s="4"/>
    </row>
    <row r="347">
      <c r="A347" s="4" t="s">
        <v>727</v>
      </c>
      <c r="B347" s="4">
        <v>1.0</v>
      </c>
      <c r="C347" s="4"/>
      <c r="D347" s="4"/>
      <c r="E347" s="24"/>
      <c r="F347" s="29"/>
      <c r="G347" s="4"/>
      <c r="H347" s="4"/>
      <c r="I347" s="52"/>
      <c r="K347" s="24"/>
      <c r="L347" s="4"/>
    </row>
    <row r="348">
      <c r="A348" s="4" t="s">
        <v>728</v>
      </c>
      <c r="B348" s="4">
        <v>1.0</v>
      </c>
      <c r="C348" s="4"/>
      <c r="D348" s="4"/>
      <c r="E348" s="24"/>
      <c r="F348" s="29"/>
      <c r="G348" s="4"/>
      <c r="H348" s="4"/>
      <c r="I348" s="52"/>
      <c r="K348" s="24"/>
      <c r="L348" s="4"/>
    </row>
    <row r="349">
      <c r="A349" s="4" t="s">
        <v>729</v>
      </c>
      <c r="B349" s="4">
        <v>1.0</v>
      </c>
      <c r="C349" s="4"/>
      <c r="D349" s="4"/>
      <c r="E349" s="24"/>
      <c r="F349" s="29"/>
      <c r="G349" s="4"/>
      <c r="H349" s="4"/>
      <c r="I349" s="52"/>
      <c r="K349" s="24"/>
      <c r="L349" s="4"/>
    </row>
    <row r="350">
      <c r="A350" s="4" t="s">
        <v>730</v>
      </c>
      <c r="B350" s="4">
        <v>1.0</v>
      </c>
      <c r="C350" s="4"/>
      <c r="D350" s="4"/>
      <c r="E350" s="24"/>
      <c r="F350" s="29"/>
      <c r="G350" s="4"/>
      <c r="H350" s="4"/>
      <c r="I350" s="52"/>
      <c r="K350" s="24"/>
      <c r="L350" s="4"/>
    </row>
    <row r="351">
      <c r="A351" s="4" t="s">
        <v>731</v>
      </c>
      <c r="B351" s="4">
        <v>1.0</v>
      </c>
      <c r="C351" s="4"/>
      <c r="D351" s="4"/>
      <c r="E351" s="24"/>
      <c r="F351" s="29"/>
      <c r="G351" s="4"/>
      <c r="H351" s="4"/>
      <c r="I351" s="52"/>
      <c r="K351" s="24"/>
      <c r="L351" s="4"/>
    </row>
    <row r="352">
      <c r="A352" s="4" t="s">
        <v>732</v>
      </c>
      <c r="B352" s="4">
        <v>1.0</v>
      </c>
      <c r="C352" s="4"/>
      <c r="D352" s="4"/>
      <c r="E352" s="24"/>
      <c r="F352" s="29"/>
      <c r="G352" s="4"/>
      <c r="H352" s="4"/>
      <c r="I352" s="52"/>
      <c r="K352" s="24"/>
      <c r="L352" s="4"/>
    </row>
    <row r="353">
      <c r="A353" s="4" t="s">
        <v>733</v>
      </c>
      <c r="B353" s="4">
        <v>1.0</v>
      </c>
      <c r="C353" s="4"/>
      <c r="D353" s="4"/>
      <c r="E353" s="24"/>
      <c r="F353" s="29"/>
      <c r="G353" s="4"/>
      <c r="H353" s="4"/>
      <c r="I353" s="52"/>
      <c r="K353" s="24"/>
      <c r="L353" s="4"/>
    </row>
    <row r="354">
      <c r="A354" s="4" t="s">
        <v>734</v>
      </c>
      <c r="B354" s="4">
        <v>1.0</v>
      </c>
      <c r="C354" s="4"/>
      <c r="D354" s="4"/>
      <c r="E354" s="24"/>
      <c r="F354" s="29"/>
      <c r="G354" s="4"/>
      <c r="H354" s="4"/>
      <c r="I354" s="52"/>
      <c r="K354" s="24"/>
      <c r="L354" s="4"/>
    </row>
    <row r="355">
      <c r="A355" s="4" t="s">
        <v>735</v>
      </c>
      <c r="B355" s="4">
        <v>1.0</v>
      </c>
      <c r="C355" s="4"/>
      <c r="D355" s="4"/>
      <c r="E355" s="24"/>
      <c r="F355" s="29"/>
      <c r="G355" s="4"/>
      <c r="H355" s="4"/>
      <c r="I355" s="52"/>
      <c r="K355" s="24"/>
      <c r="L355" s="4"/>
    </row>
    <row r="356">
      <c r="A356" s="4" t="s">
        <v>736</v>
      </c>
      <c r="B356" s="4">
        <v>1.0</v>
      </c>
      <c r="C356" s="4"/>
      <c r="D356" s="4"/>
      <c r="E356" s="24"/>
      <c r="F356" s="29"/>
      <c r="G356" s="4"/>
      <c r="H356" s="4"/>
      <c r="I356" s="52"/>
      <c r="K356" s="24"/>
      <c r="L356" s="4"/>
    </row>
    <row r="357">
      <c r="A357" s="4" t="s">
        <v>737</v>
      </c>
      <c r="B357" s="4">
        <v>1.0</v>
      </c>
      <c r="C357" s="4"/>
      <c r="D357" s="4"/>
      <c r="E357" s="24"/>
      <c r="F357" s="29"/>
      <c r="G357" s="4"/>
      <c r="H357" s="4"/>
      <c r="I357" s="52"/>
      <c r="K357" s="24"/>
      <c r="L357" s="4"/>
    </row>
    <row r="358">
      <c r="A358" s="4" t="s">
        <v>738</v>
      </c>
      <c r="B358" s="4">
        <v>1.0</v>
      </c>
      <c r="C358" s="4"/>
      <c r="D358" s="4"/>
      <c r="E358" s="24"/>
      <c r="F358" s="29"/>
      <c r="G358" s="4"/>
      <c r="H358" s="4"/>
      <c r="I358" s="52"/>
      <c r="K358" s="24"/>
      <c r="L358" s="4"/>
    </row>
    <row r="359">
      <c r="A359" s="4" t="s">
        <v>739</v>
      </c>
      <c r="B359" s="4">
        <v>1.0</v>
      </c>
      <c r="C359" s="4"/>
      <c r="D359" s="4"/>
      <c r="E359" s="24"/>
      <c r="F359" s="29"/>
      <c r="G359" s="4"/>
      <c r="H359" s="4"/>
      <c r="I359" s="52"/>
      <c r="K359" s="24"/>
      <c r="L359" s="4"/>
    </row>
    <row r="360">
      <c r="A360" s="4" t="s">
        <v>740</v>
      </c>
      <c r="B360" s="4">
        <v>1.0</v>
      </c>
      <c r="C360" s="4"/>
      <c r="D360" s="4"/>
      <c r="E360" s="24"/>
      <c r="F360" s="29"/>
      <c r="G360" s="4"/>
      <c r="H360" s="4"/>
      <c r="I360" s="52"/>
      <c r="K360" s="24"/>
      <c r="L360" s="4"/>
    </row>
    <row r="361">
      <c r="A361" s="4" t="s">
        <v>741</v>
      </c>
      <c r="B361" s="4">
        <v>1.0</v>
      </c>
      <c r="C361" s="4"/>
      <c r="D361" s="4"/>
      <c r="E361" s="24"/>
      <c r="F361" s="29"/>
      <c r="G361" s="4"/>
      <c r="H361" s="4"/>
      <c r="I361" s="52"/>
      <c r="K361" s="24"/>
      <c r="L361" s="4"/>
    </row>
    <row r="362">
      <c r="A362" s="4" t="s">
        <v>742</v>
      </c>
      <c r="B362" s="4">
        <v>1.0</v>
      </c>
      <c r="C362" s="4"/>
      <c r="D362" s="4"/>
      <c r="E362" s="24"/>
      <c r="F362" s="29"/>
      <c r="G362" s="4"/>
      <c r="H362" s="4"/>
      <c r="I362" s="52"/>
      <c r="K362" s="24"/>
      <c r="L362" s="4"/>
    </row>
    <row r="363">
      <c r="A363" s="4" t="s">
        <v>743</v>
      </c>
      <c r="B363" s="4">
        <v>1.0</v>
      </c>
      <c r="C363" s="4"/>
      <c r="D363" s="4"/>
      <c r="E363" s="24"/>
      <c r="F363" s="29"/>
      <c r="G363" s="4"/>
      <c r="H363" s="4"/>
      <c r="I363" s="52"/>
      <c r="K363" s="24"/>
      <c r="L363" s="4"/>
    </row>
    <row r="364">
      <c r="A364" s="4" t="s">
        <v>744</v>
      </c>
      <c r="B364" s="4">
        <v>1.0</v>
      </c>
      <c r="C364" s="4"/>
      <c r="D364" s="4"/>
      <c r="E364" s="24"/>
      <c r="F364" s="29"/>
      <c r="G364" s="4"/>
      <c r="H364" s="4"/>
      <c r="I364" s="52"/>
      <c r="K364" s="24"/>
      <c r="L364" s="4"/>
    </row>
    <row r="365">
      <c r="A365" s="4" t="s">
        <v>745</v>
      </c>
      <c r="B365" s="4">
        <v>1.0</v>
      </c>
      <c r="C365" s="4"/>
      <c r="D365" s="4"/>
      <c r="E365" s="24"/>
      <c r="F365" s="29"/>
      <c r="G365" s="4"/>
      <c r="H365" s="4"/>
      <c r="I365" s="52"/>
      <c r="K365" s="24"/>
      <c r="L365" s="4"/>
    </row>
    <row r="366">
      <c r="A366" s="4" t="s">
        <v>746</v>
      </c>
      <c r="B366" s="4">
        <v>1.0</v>
      </c>
      <c r="C366" s="4"/>
      <c r="D366" s="4"/>
      <c r="E366" s="24"/>
      <c r="F366" s="29"/>
      <c r="G366" s="4"/>
      <c r="H366" s="4"/>
      <c r="I366" s="52"/>
      <c r="K366" s="24"/>
      <c r="L366" s="4"/>
    </row>
    <row r="367">
      <c r="A367" s="4" t="s">
        <v>747</v>
      </c>
      <c r="B367" s="4">
        <v>1.0</v>
      </c>
      <c r="C367" s="4"/>
      <c r="D367" s="4"/>
      <c r="E367" s="24"/>
      <c r="F367" s="29"/>
      <c r="G367" s="4"/>
      <c r="H367" s="4"/>
      <c r="I367" s="52"/>
      <c r="K367" s="24"/>
      <c r="L367" s="4"/>
    </row>
    <row r="368">
      <c r="A368" s="4" t="s">
        <v>748</v>
      </c>
      <c r="B368" s="4">
        <v>1.0</v>
      </c>
      <c r="C368" s="4"/>
      <c r="D368" s="4"/>
      <c r="E368" s="24"/>
      <c r="F368" s="29"/>
      <c r="G368" s="4"/>
      <c r="H368" s="4"/>
      <c r="I368" s="52"/>
      <c r="K368" s="24"/>
      <c r="L368" s="4"/>
    </row>
    <row r="369">
      <c r="A369" s="4" t="s">
        <v>749</v>
      </c>
      <c r="B369" s="4">
        <v>1.0</v>
      </c>
      <c r="C369" s="4"/>
      <c r="D369" s="4"/>
      <c r="E369" s="24"/>
      <c r="F369" s="29"/>
      <c r="G369" s="4"/>
      <c r="H369" s="4"/>
      <c r="I369" s="52"/>
      <c r="K369" s="24"/>
      <c r="L369" s="4"/>
    </row>
    <row r="370">
      <c r="A370" s="4" t="s">
        <v>750</v>
      </c>
      <c r="B370" s="4">
        <v>1.0</v>
      </c>
      <c r="C370" s="4"/>
      <c r="D370" s="4"/>
      <c r="E370" s="24"/>
      <c r="F370" s="29"/>
      <c r="G370" s="4"/>
      <c r="H370" s="4"/>
      <c r="I370" s="52"/>
      <c r="K370" s="24"/>
      <c r="L370" s="4"/>
    </row>
    <row r="371">
      <c r="A371" s="4" t="s">
        <v>751</v>
      </c>
      <c r="B371" s="4">
        <v>1.0</v>
      </c>
      <c r="C371" s="4"/>
      <c r="D371" s="4"/>
      <c r="E371" s="24"/>
      <c r="F371" s="29"/>
      <c r="G371" s="4"/>
      <c r="H371" s="4"/>
      <c r="I371" s="52"/>
      <c r="K371" s="24"/>
      <c r="L371" s="4"/>
    </row>
    <row r="372">
      <c r="A372" s="4" t="s">
        <v>752</v>
      </c>
      <c r="B372" s="4">
        <v>1.0</v>
      </c>
      <c r="C372" s="4"/>
      <c r="D372" s="4"/>
      <c r="E372" s="24"/>
      <c r="F372" s="29"/>
      <c r="G372" s="4"/>
      <c r="H372" s="4"/>
      <c r="I372" s="52"/>
      <c r="K372" s="24"/>
      <c r="L372" s="4"/>
    </row>
    <row r="373">
      <c r="A373" s="4" t="s">
        <v>753</v>
      </c>
      <c r="B373" s="4">
        <v>1.0</v>
      </c>
      <c r="C373" s="4"/>
      <c r="D373" s="4"/>
      <c r="E373" s="24"/>
      <c r="F373" s="29"/>
      <c r="G373" s="4"/>
      <c r="H373" s="4"/>
      <c r="I373" s="52"/>
      <c r="K373" s="24"/>
      <c r="L373" s="4"/>
    </row>
    <row r="374">
      <c r="A374" s="4" t="s">
        <v>754</v>
      </c>
      <c r="B374" s="4">
        <v>1.0</v>
      </c>
      <c r="C374" s="4"/>
      <c r="D374" s="4"/>
      <c r="E374" s="24"/>
      <c r="F374" s="29"/>
      <c r="G374" s="4"/>
      <c r="H374" s="4"/>
      <c r="I374" s="52"/>
      <c r="K374" s="24"/>
      <c r="L374" s="4"/>
    </row>
    <row r="375">
      <c r="A375" s="4" t="s">
        <v>755</v>
      </c>
      <c r="B375" s="4">
        <v>1.0</v>
      </c>
      <c r="C375" s="4"/>
      <c r="D375" s="4"/>
      <c r="E375" s="24"/>
      <c r="F375" s="29"/>
      <c r="G375" s="4"/>
      <c r="H375" s="4"/>
      <c r="I375" s="52"/>
      <c r="K375" s="24"/>
      <c r="L375" s="4"/>
    </row>
    <row r="376">
      <c r="A376" s="4" t="s">
        <v>756</v>
      </c>
      <c r="B376" s="4">
        <v>1.0</v>
      </c>
      <c r="C376" s="4"/>
      <c r="D376" s="4"/>
      <c r="E376" s="24"/>
      <c r="F376" s="29"/>
      <c r="G376" s="4"/>
      <c r="H376" s="4"/>
      <c r="I376" s="52"/>
      <c r="K376" s="24"/>
      <c r="L376" s="4"/>
    </row>
    <row r="377">
      <c r="A377" s="4" t="s">
        <v>757</v>
      </c>
      <c r="B377" s="4">
        <v>1.0</v>
      </c>
      <c r="C377" s="4"/>
      <c r="D377" s="4"/>
      <c r="E377" s="24"/>
      <c r="F377" s="29"/>
      <c r="G377" s="4"/>
      <c r="H377" s="4"/>
      <c r="I377" s="52"/>
      <c r="K377" s="24"/>
      <c r="L377" s="4"/>
    </row>
    <row r="378">
      <c r="A378" s="4" t="s">
        <v>758</v>
      </c>
      <c r="B378" s="4">
        <v>1.0</v>
      </c>
      <c r="C378" s="4"/>
      <c r="D378" s="4"/>
      <c r="E378" s="24"/>
      <c r="F378" s="29"/>
      <c r="G378" s="4"/>
      <c r="H378" s="4"/>
      <c r="I378" s="52"/>
      <c r="K378" s="24"/>
      <c r="L378" s="4"/>
    </row>
    <row r="379">
      <c r="A379" s="4" t="s">
        <v>759</v>
      </c>
      <c r="B379" s="4">
        <v>1.0</v>
      </c>
      <c r="C379" s="4"/>
      <c r="D379" s="4"/>
      <c r="E379" s="24"/>
      <c r="F379" s="29"/>
      <c r="G379" s="4"/>
      <c r="H379" s="4"/>
      <c r="I379" s="52"/>
      <c r="K379" s="24"/>
      <c r="L379" s="4"/>
    </row>
    <row r="380">
      <c r="A380" s="4" t="s">
        <v>760</v>
      </c>
      <c r="B380" s="4">
        <v>1.0</v>
      </c>
      <c r="C380" s="4"/>
      <c r="D380" s="4"/>
      <c r="E380" s="24"/>
      <c r="F380" s="29"/>
      <c r="G380" s="4"/>
      <c r="H380" s="4"/>
      <c r="I380" s="52"/>
      <c r="K380" s="24"/>
      <c r="L380" s="4"/>
    </row>
    <row r="381">
      <c r="A381" s="4" t="s">
        <v>761</v>
      </c>
      <c r="B381" s="4">
        <v>1.0</v>
      </c>
      <c r="C381" s="4"/>
      <c r="D381" s="4"/>
      <c r="E381" s="24"/>
      <c r="F381" s="29"/>
      <c r="G381" s="4"/>
      <c r="H381" s="4"/>
      <c r="I381" s="52"/>
      <c r="K381" s="24"/>
      <c r="L381" s="4"/>
    </row>
    <row r="382">
      <c r="A382" s="4" t="s">
        <v>762</v>
      </c>
      <c r="B382" s="4">
        <v>1.0</v>
      </c>
      <c r="C382" s="4"/>
      <c r="D382" s="4"/>
      <c r="E382" s="24"/>
      <c r="F382" s="29"/>
      <c r="G382" s="4"/>
      <c r="H382" s="4"/>
      <c r="I382" s="52"/>
      <c r="K382" s="24"/>
      <c r="L382" s="4"/>
    </row>
    <row r="383">
      <c r="A383" s="4" t="s">
        <v>763</v>
      </c>
      <c r="B383" s="4">
        <v>1.0</v>
      </c>
      <c r="C383" s="4"/>
      <c r="D383" s="4"/>
      <c r="E383" s="24"/>
      <c r="F383" s="29"/>
      <c r="G383" s="4"/>
      <c r="H383" s="4"/>
      <c r="I383" s="52"/>
      <c r="K383" s="24"/>
      <c r="L383" s="4"/>
    </row>
    <row r="384">
      <c r="A384" s="4" t="s">
        <v>764</v>
      </c>
      <c r="B384" s="4">
        <v>1.0</v>
      </c>
      <c r="C384" s="4"/>
      <c r="D384" s="4"/>
      <c r="E384" s="24"/>
      <c r="F384" s="29"/>
      <c r="G384" s="4"/>
      <c r="H384" s="4"/>
      <c r="I384" s="52"/>
      <c r="K384" s="24"/>
      <c r="L384" s="4"/>
    </row>
    <row r="385">
      <c r="A385" s="4" t="s">
        <v>765</v>
      </c>
      <c r="B385" s="4">
        <v>1.0</v>
      </c>
      <c r="C385" s="4"/>
      <c r="D385" s="4"/>
      <c r="E385" s="24"/>
      <c r="F385" s="29"/>
      <c r="G385" s="4"/>
      <c r="H385" s="4"/>
      <c r="I385" s="52"/>
      <c r="K385" s="24"/>
      <c r="L385" s="4"/>
    </row>
    <row r="386">
      <c r="A386" s="4" t="s">
        <v>766</v>
      </c>
      <c r="B386" s="4">
        <v>1.0</v>
      </c>
      <c r="C386" s="4"/>
      <c r="D386" s="4"/>
      <c r="E386" s="24"/>
      <c r="F386" s="29"/>
      <c r="G386" s="4"/>
      <c r="H386" s="4"/>
      <c r="I386" s="52"/>
      <c r="K386" s="24"/>
      <c r="L386" s="4"/>
    </row>
    <row r="387">
      <c r="A387" s="4" t="s">
        <v>767</v>
      </c>
      <c r="B387" s="4">
        <v>1.0</v>
      </c>
      <c r="C387" s="4"/>
      <c r="D387" s="4"/>
      <c r="E387" s="24"/>
      <c r="F387" s="29"/>
      <c r="G387" s="4"/>
      <c r="H387" s="4"/>
      <c r="I387" s="52"/>
      <c r="K387" s="24"/>
      <c r="L387" s="4"/>
    </row>
    <row r="388">
      <c r="A388" s="4" t="s">
        <v>768</v>
      </c>
      <c r="B388" s="4">
        <v>1.0</v>
      </c>
      <c r="C388" s="4"/>
      <c r="D388" s="4"/>
      <c r="E388" s="24"/>
      <c r="F388" s="29"/>
      <c r="G388" s="4"/>
      <c r="H388" s="4"/>
      <c r="I388" s="52"/>
      <c r="K388" s="24"/>
      <c r="L388" s="4"/>
    </row>
    <row r="389">
      <c r="A389" s="4" t="s">
        <v>769</v>
      </c>
      <c r="B389" s="4">
        <v>1.0</v>
      </c>
      <c r="C389" s="4"/>
      <c r="D389" s="4"/>
      <c r="E389" s="24"/>
      <c r="F389" s="29"/>
      <c r="G389" s="4"/>
      <c r="H389" s="4"/>
      <c r="I389" s="52"/>
      <c r="K389" s="24"/>
      <c r="L389" s="4"/>
    </row>
    <row r="390">
      <c r="A390" s="4" t="s">
        <v>770</v>
      </c>
      <c r="B390" s="4">
        <v>1.0</v>
      </c>
      <c r="C390" s="4"/>
      <c r="D390" s="4"/>
      <c r="E390" s="24"/>
      <c r="F390" s="29"/>
      <c r="G390" s="4"/>
      <c r="H390" s="4"/>
      <c r="I390" s="52"/>
      <c r="K390" s="24"/>
      <c r="L390" s="4"/>
    </row>
    <row r="391">
      <c r="A391" s="4" t="s">
        <v>771</v>
      </c>
      <c r="B391" s="4">
        <v>1.0</v>
      </c>
      <c r="C391" s="4"/>
      <c r="D391" s="4"/>
      <c r="E391" s="24"/>
      <c r="F391" s="29"/>
      <c r="G391" s="4"/>
      <c r="H391" s="4"/>
      <c r="I391" s="52"/>
      <c r="K391" s="24"/>
      <c r="L391" s="4"/>
    </row>
    <row r="392">
      <c r="A392" s="4" t="s">
        <v>772</v>
      </c>
      <c r="B392" s="4">
        <v>1.0</v>
      </c>
      <c r="C392" s="4"/>
      <c r="D392" s="4"/>
      <c r="E392" s="24"/>
      <c r="F392" s="29"/>
      <c r="G392" s="4"/>
      <c r="H392" s="4"/>
      <c r="I392" s="52"/>
      <c r="K392" s="24"/>
      <c r="L392" s="4"/>
    </row>
    <row r="393">
      <c r="A393" s="4" t="s">
        <v>773</v>
      </c>
      <c r="B393" s="4">
        <v>1.0</v>
      </c>
      <c r="C393" s="4"/>
      <c r="D393" s="4"/>
      <c r="E393" s="24"/>
      <c r="F393" s="29"/>
      <c r="G393" s="4"/>
      <c r="H393" s="4"/>
      <c r="I393" s="52"/>
      <c r="K393" s="24"/>
      <c r="L393" s="4"/>
    </row>
    <row r="394">
      <c r="A394" s="4" t="s">
        <v>774</v>
      </c>
      <c r="B394" s="4">
        <v>1.0</v>
      </c>
      <c r="C394" s="4"/>
      <c r="D394" s="4"/>
      <c r="E394" s="24"/>
      <c r="F394" s="29"/>
      <c r="G394" s="4"/>
      <c r="H394" s="4"/>
      <c r="I394" s="52"/>
      <c r="K394" s="24"/>
      <c r="L394" s="4"/>
    </row>
    <row r="395">
      <c r="A395" s="4" t="s">
        <v>775</v>
      </c>
      <c r="B395" s="4">
        <v>1.0</v>
      </c>
      <c r="C395" s="4"/>
      <c r="D395" s="4"/>
      <c r="E395" s="24"/>
      <c r="F395" s="29"/>
      <c r="G395" s="4"/>
      <c r="H395" s="4"/>
      <c r="I395" s="52"/>
      <c r="K395" s="24"/>
      <c r="L395" s="4"/>
    </row>
    <row r="396">
      <c r="A396" s="4" t="s">
        <v>776</v>
      </c>
      <c r="B396" s="4">
        <v>1.0</v>
      </c>
      <c r="C396" s="4"/>
      <c r="D396" s="4"/>
      <c r="E396" s="24"/>
      <c r="F396" s="29"/>
      <c r="G396" s="4"/>
      <c r="H396" s="4"/>
      <c r="I396" s="52"/>
      <c r="K396" s="24"/>
      <c r="L396" s="4"/>
    </row>
    <row r="397">
      <c r="A397" s="4" t="s">
        <v>777</v>
      </c>
      <c r="B397" s="4">
        <v>1.0</v>
      </c>
      <c r="C397" s="4"/>
      <c r="D397" s="4"/>
      <c r="E397" s="24"/>
      <c r="F397" s="29"/>
      <c r="G397" s="4"/>
      <c r="H397" s="4"/>
      <c r="I397" s="52"/>
      <c r="K397" s="24"/>
      <c r="L397" s="4"/>
    </row>
    <row r="398">
      <c r="A398" s="4" t="s">
        <v>778</v>
      </c>
      <c r="B398" s="4">
        <v>1.0</v>
      </c>
      <c r="C398" s="4"/>
      <c r="D398" s="4"/>
      <c r="E398" s="24"/>
      <c r="F398" s="29"/>
      <c r="G398" s="4"/>
      <c r="H398" s="4"/>
      <c r="I398" s="52"/>
      <c r="K398" s="24"/>
      <c r="L398" s="4"/>
    </row>
    <row r="399">
      <c r="A399" s="4" t="s">
        <v>779</v>
      </c>
      <c r="B399" s="4">
        <v>1.0</v>
      </c>
      <c r="C399" s="4"/>
      <c r="D399" s="4"/>
      <c r="E399" s="24"/>
      <c r="F399" s="29"/>
      <c r="G399" s="4"/>
      <c r="H399" s="4"/>
      <c r="I399" s="52"/>
      <c r="K399" s="24"/>
      <c r="L399" s="4"/>
    </row>
    <row r="400">
      <c r="A400" s="4" t="s">
        <v>780</v>
      </c>
      <c r="B400" s="4">
        <v>1.0</v>
      </c>
      <c r="C400" s="4"/>
      <c r="D400" s="4"/>
      <c r="E400" s="24"/>
      <c r="F400" s="29"/>
      <c r="G400" s="4"/>
      <c r="H400" s="4"/>
      <c r="I400" s="52"/>
      <c r="K400" s="24"/>
      <c r="L400" s="4"/>
    </row>
    <row r="401">
      <c r="A401" s="4" t="s">
        <v>781</v>
      </c>
      <c r="B401" s="4">
        <v>1.0</v>
      </c>
      <c r="C401" s="4"/>
      <c r="D401" s="4"/>
      <c r="E401" s="24"/>
      <c r="F401" s="29"/>
      <c r="G401" s="4"/>
      <c r="H401" s="4"/>
      <c r="I401" s="52"/>
      <c r="K401" s="24"/>
      <c r="L401" s="4"/>
    </row>
    <row r="402">
      <c r="A402" s="4" t="s">
        <v>782</v>
      </c>
      <c r="B402" s="4">
        <v>1.0</v>
      </c>
      <c r="C402" s="4"/>
      <c r="D402" s="4"/>
      <c r="E402" s="24"/>
      <c r="F402" s="29"/>
      <c r="G402" s="4"/>
      <c r="H402" s="4"/>
      <c r="I402" s="52"/>
      <c r="K402" s="24"/>
      <c r="L402" s="4"/>
    </row>
    <row r="403">
      <c r="A403" s="4" t="s">
        <v>783</v>
      </c>
      <c r="B403" s="4">
        <v>1.0</v>
      </c>
      <c r="C403" s="4"/>
      <c r="D403" s="4"/>
      <c r="E403" s="24"/>
      <c r="F403" s="29"/>
      <c r="G403" s="4"/>
      <c r="H403" s="4"/>
      <c r="I403" s="52"/>
      <c r="K403" s="24"/>
      <c r="L403" s="4"/>
    </row>
    <row r="404">
      <c r="A404" s="4" t="s">
        <v>784</v>
      </c>
      <c r="B404" s="4">
        <v>1.0</v>
      </c>
      <c r="C404" s="4"/>
      <c r="D404" s="4"/>
      <c r="E404" s="24"/>
      <c r="F404" s="29"/>
      <c r="G404" s="4"/>
      <c r="H404" s="4"/>
      <c r="I404" s="52"/>
      <c r="K404" s="24"/>
      <c r="L404" s="4"/>
    </row>
    <row r="405">
      <c r="A405" s="4" t="s">
        <v>785</v>
      </c>
      <c r="B405" s="4">
        <v>1.0</v>
      </c>
      <c r="C405" s="4"/>
      <c r="D405" s="4"/>
      <c r="E405" s="24"/>
      <c r="F405" s="29"/>
      <c r="G405" s="4"/>
      <c r="H405" s="4"/>
      <c r="I405" s="52"/>
      <c r="K405" s="24"/>
      <c r="L405" s="4"/>
    </row>
    <row r="406">
      <c r="A406" s="4" t="s">
        <v>786</v>
      </c>
      <c r="B406" s="4">
        <v>1.0</v>
      </c>
      <c r="C406" s="4"/>
      <c r="D406" s="4"/>
      <c r="E406" s="24"/>
      <c r="F406" s="29"/>
      <c r="G406" s="4"/>
      <c r="H406" s="4"/>
      <c r="I406" s="52"/>
      <c r="K406" s="24"/>
      <c r="L406" s="4"/>
    </row>
    <row r="407">
      <c r="A407" s="4" t="s">
        <v>787</v>
      </c>
      <c r="B407" s="4">
        <v>1.0</v>
      </c>
      <c r="C407" s="4"/>
      <c r="D407" s="4"/>
      <c r="E407" s="24"/>
      <c r="F407" s="29"/>
      <c r="G407" s="4"/>
      <c r="H407" s="4"/>
      <c r="I407" s="52"/>
      <c r="K407" s="24"/>
      <c r="L407" s="4"/>
    </row>
    <row r="408">
      <c r="A408" s="4" t="s">
        <v>788</v>
      </c>
      <c r="B408" s="4">
        <v>1.0</v>
      </c>
      <c r="C408" s="4"/>
      <c r="D408" s="4"/>
      <c r="E408" s="24"/>
      <c r="F408" s="29"/>
      <c r="G408" s="4"/>
      <c r="H408" s="4"/>
      <c r="I408" s="52"/>
      <c r="K408" s="24"/>
      <c r="L408" s="4"/>
    </row>
    <row r="409">
      <c r="A409" s="4" t="s">
        <v>789</v>
      </c>
      <c r="B409" s="4">
        <v>1.0</v>
      </c>
      <c r="C409" s="4"/>
      <c r="D409" s="4"/>
      <c r="E409" s="24"/>
      <c r="F409" s="29"/>
      <c r="G409" s="4"/>
      <c r="H409" s="4"/>
      <c r="I409" s="52"/>
      <c r="K409" s="24"/>
      <c r="L409" s="4"/>
    </row>
    <row r="410">
      <c r="A410" s="4" t="s">
        <v>790</v>
      </c>
      <c r="B410" s="4">
        <v>1.0</v>
      </c>
      <c r="C410" s="4"/>
      <c r="D410" s="4"/>
      <c r="E410" s="24"/>
      <c r="F410" s="29"/>
      <c r="G410" s="4"/>
      <c r="H410" s="4"/>
      <c r="I410" s="52"/>
      <c r="K410" s="24"/>
      <c r="L410" s="4"/>
    </row>
    <row r="411">
      <c r="A411" s="4" t="s">
        <v>791</v>
      </c>
      <c r="B411" s="4">
        <v>1.0</v>
      </c>
      <c r="C411" s="4"/>
      <c r="D411" s="4"/>
      <c r="E411" s="24"/>
      <c r="F411" s="29"/>
      <c r="G411" s="4"/>
      <c r="H411" s="4"/>
      <c r="I411" s="52"/>
      <c r="K411" s="24"/>
      <c r="L411" s="4"/>
    </row>
    <row r="412">
      <c r="A412" s="4" t="s">
        <v>792</v>
      </c>
      <c r="B412" s="4">
        <v>1.0</v>
      </c>
      <c r="C412" s="4"/>
      <c r="D412" s="4"/>
      <c r="E412" s="24"/>
      <c r="F412" s="29"/>
      <c r="G412" s="4"/>
      <c r="H412" s="4"/>
      <c r="I412" s="52"/>
      <c r="K412" s="24"/>
      <c r="L412" s="4"/>
    </row>
    <row r="413">
      <c r="A413" s="4" t="s">
        <v>793</v>
      </c>
      <c r="B413" s="4">
        <v>1.0</v>
      </c>
      <c r="C413" s="4"/>
      <c r="D413" s="4"/>
      <c r="E413" s="24"/>
      <c r="F413" s="29"/>
      <c r="G413" s="4"/>
      <c r="H413" s="4"/>
      <c r="I413" s="52"/>
      <c r="K413" s="24"/>
      <c r="L413" s="4"/>
    </row>
    <row r="414">
      <c r="A414" s="4" t="s">
        <v>794</v>
      </c>
      <c r="B414" s="4">
        <v>1.0</v>
      </c>
      <c r="C414" s="4"/>
      <c r="D414" s="4"/>
      <c r="E414" s="24"/>
      <c r="F414" s="29"/>
      <c r="G414" s="4"/>
      <c r="H414" s="4"/>
      <c r="I414" s="52"/>
      <c r="K414" s="24"/>
      <c r="L414" s="4"/>
    </row>
    <row r="415">
      <c r="A415" s="4" t="s">
        <v>795</v>
      </c>
      <c r="B415" s="4">
        <v>1.0</v>
      </c>
      <c r="C415" s="4"/>
      <c r="D415" s="4"/>
      <c r="E415" s="24"/>
      <c r="F415" s="29"/>
      <c r="G415" s="4"/>
      <c r="H415" s="4"/>
      <c r="I415" s="52"/>
      <c r="K415" s="24"/>
      <c r="L415" s="4"/>
    </row>
    <row r="416">
      <c r="A416" s="4" t="s">
        <v>796</v>
      </c>
      <c r="B416" s="4">
        <v>1.0</v>
      </c>
      <c r="C416" s="4"/>
      <c r="D416" s="4"/>
      <c r="E416" s="24"/>
      <c r="F416" s="29"/>
      <c r="G416" s="4"/>
      <c r="H416" s="4"/>
      <c r="I416" s="52"/>
      <c r="K416" s="24"/>
      <c r="L416" s="4"/>
    </row>
    <row r="417">
      <c r="A417" s="4" t="s">
        <v>797</v>
      </c>
      <c r="B417" s="4">
        <v>1.0</v>
      </c>
      <c r="C417" s="4"/>
      <c r="D417" s="4"/>
      <c r="E417" s="24"/>
      <c r="F417" s="29"/>
      <c r="G417" s="4"/>
      <c r="H417" s="4"/>
      <c r="I417" s="52"/>
      <c r="K417" s="24"/>
      <c r="L417" s="4"/>
    </row>
    <row r="418">
      <c r="A418" s="4" t="s">
        <v>798</v>
      </c>
      <c r="B418" s="4">
        <v>1.0</v>
      </c>
      <c r="C418" s="4"/>
      <c r="D418" s="4"/>
      <c r="E418" s="24"/>
      <c r="F418" s="29"/>
      <c r="G418" s="4"/>
      <c r="H418" s="4"/>
      <c r="I418" s="52"/>
      <c r="K418" s="24"/>
      <c r="L418" s="4"/>
    </row>
    <row r="419">
      <c r="A419" s="4" t="s">
        <v>799</v>
      </c>
      <c r="B419" s="4">
        <v>1.0</v>
      </c>
      <c r="C419" s="4"/>
      <c r="D419" s="4"/>
      <c r="E419" s="24"/>
      <c r="F419" s="29"/>
      <c r="G419" s="4"/>
      <c r="H419" s="4"/>
      <c r="I419" s="52"/>
      <c r="K419" s="24"/>
      <c r="L419" s="4"/>
    </row>
    <row r="420">
      <c r="A420" s="4" t="s">
        <v>800</v>
      </c>
      <c r="B420" s="4">
        <v>1.0</v>
      </c>
      <c r="C420" s="4"/>
      <c r="D420" s="4"/>
      <c r="E420" s="24"/>
      <c r="F420" s="29"/>
      <c r="G420" s="4"/>
      <c r="H420" s="4"/>
      <c r="I420" s="52"/>
      <c r="K420" s="24"/>
      <c r="L420" s="4"/>
    </row>
    <row r="421">
      <c r="A421" s="4" t="s">
        <v>801</v>
      </c>
      <c r="B421" s="4">
        <v>1.0</v>
      </c>
      <c r="C421" s="4"/>
      <c r="D421" s="4"/>
      <c r="E421" s="24"/>
      <c r="F421" s="29"/>
      <c r="G421" s="4"/>
      <c r="H421" s="4"/>
      <c r="I421" s="52"/>
      <c r="K421" s="24"/>
      <c r="L421" s="4"/>
    </row>
    <row r="422">
      <c r="A422" s="4" t="s">
        <v>802</v>
      </c>
      <c r="B422" s="4">
        <v>1.0</v>
      </c>
      <c r="C422" s="4"/>
      <c r="D422" s="4"/>
      <c r="E422" s="24"/>
      <c r="F422" s="29"/>
      <c r="G422" s="4"/>
      <c r="H422" s="4"/>
      <c r="I422" s="52"/>
      <c r="K422" s="24"/>
      <c r="L422" s="4"/>
    </row>
    <row r="423">
      <c r="A423" s="4" t="s">
        <v>803</v>
      </c>
      <c r="B423" s="4">
        <v>1.0</v>
      </c>
      <c r="C423" s="4"/>
      <c r="D423" s="4"/>
      <c r="E423" s="24"/>
      <c r="F423" s="29"/>
      <c r="G423" s="4"/>
      <c r="H423" s="4"/>
      <c r="I423" s="52"/>
      <c r="K423" s="24"/>
      <c r="L423" s="4"/>
    </row>
    <row r="424">
      <c r="A424" s="4" t="s">
        <v>804</v>
      </c>
      <c r="B424" s="4">
        <v>1.0</v>
      </c>
      <c r="C424" s="4"/>
      <c r="D424" s="4"/>
      <c r="E424" s="24"/>
      <c r="F424" s="29"/>
      <c r="G424" s="4"/>
      <c r="H424" s="4"/>
      <c r="I424" s="52"/>
      <c r="K424" s="24"/>
      <c r="L424" s="4"/>
    </row>
    <row r="425">
      <c r="A425" s="4" t="s">
        <v>805</v>
      </c>
      <c r="B425" s="4">
        <v>1.0</v>
      </c>
      <c r="C425" s="4"/>
      <c r="D425" s="4"/>
      <c r="E425" s="24"/>
      <c r="F425" s="29"/>
      <c r="G425" s="4"/>
      <c r="H425" s="4"/>
      <c r="I425" s="52"/>
      <c r="K425" s="24"/>
      <c r="L425" s="4"/>
    </row>
    <row r="426">
      <c r="A426" s="4" t="s">
        <v>806</v>
      </c>
      <c r="B426" s="4">
        <v>1.0</v>
      </c>
      <c r="C426" s="4"/>
      <c r="D426" s="4"/>
      <c r="E426" s="24"/>
      <c r="F426" s="29"/>
      <c r="G426" s="4"/>
      <c r="H426" s="4"/>
      <c r="I426" s="52"/>
      <c r="K426" s="24"/>
      <c r="L426" s="4"/>
    </row>
    <row r="427">
      <c r="A427" s="4" t="s">
        <v>807</v>
      </c>
      <c r="B427" s="4">
        <v>1.0</v>
      </c>
      <c r="C427" s="4"/>
      <c r="D427" s="4"/>
      <c r="E427" s="24"/>
      <c r="F427" s="29"/>
      <c r="G427" s="4"/>
      <c r="H427" s="4"/>
      <c r="I427" s="52"/>
      <c r="K427" s="24"/>
      <c r="L427" s="4"/>
    </row>
    <row r="428">
      <c r="A428" s="4" t="s">
        <v>808</v>
      </c>
      <c r="B428" s="4">
        <v>1.0</v>
      </c>
      <c r="C428" s="4"/>
      <c r="D428" s="4"/>
      <c r="E428" s="24"/>
      <c r="F428" s="29"/>
      <c r="G428" s="4"/>
      <c r="H428" s="4"/>
      <c r="I428" s="52"/>
      <c r="K428" s="24"/>
      <c r="L428" s="4"/>
    </row>
    <row r="429">
      <c r="A429" s="4" t="s">
        <v>809</v>
      </c>
      <c r="B429" s="4">
        <v>1.0</v>
      </c>
      <c r="C429" s="4"/>
      <c r="D429" s="4"/>
      <c r="E429" s="24"/>
      <c r="F429" s="29"/>
      <c r="G429" s="4"/>
      <c r="H429" s="4"/>
      <c r="I429" s="52"/>
      <c r="K429" s="24"/>
      <c r="L429" s="4"/>
    </row>
    <row r="430">
      <c r="A430" s="4" t="s">
        <v>810</v>
      </c>
      <c r="B430" s="4">
        <v>1.0</v>
      </c>
      <c r="C430" s="4"/>
      <c r="D430" s="4"/>
      <c r="E430" s="24"/>
      <c r="F430" s="29"/>
      <c r="G430" s="4"/>
      <c r="H430" s="4"/>
      <c r="I430" s="52"/>
      <c r="K430" s="24"/>
      <c r="L430" s="4"/>
    </row>
    <row r="431">
      <c r="A431" s="4" t="s">
        <v>811</v>
      </c>
      <c r="B431" s="4">
        <v>1.0</v>
      </c>
      <c r="C431" s="4"/>
      <c r="D431" s="4"/>
      <c r="E431" s="24"/>
      <c r="F431" s="29"/>
      <c r="G431" s="4"/>
      <c r="H431" s="4"/>
      <c r="I431" s="52"/>
      <c r="K431" s="24"/>
      <c r="L431" s="4"/>
    </row>
    <row r="432">
      <c r="A432" s="4" t="s">
        <v>812</v>
      </c>
      <c r="B432" s="4">
        <v>1.0</v>
      </c>
      <c r="C432" s="4"/>
      <c r="D432" s="4"/>
      <c r="E432" s="24"/>
      <c r="F432" s="29"/>
      <c r="G432" s="4"/>
      <c r="H432" s="4"/>
      <c r="I432" s="52"/>
      <c r="K432" s="24"/>
      <c r="L432" s="4"/>
    </row>
    <row r="433">
      <c r="A433" s="4" t="s">
        <v>813</v>
      </c>
      <c r="B433" s="4">
        <v>1.0</v>
      </c>
      <c r="C433" s="4"/>
      <c r="D433" s="4"/>
      <c r="E433" s="24"/>
      <c r="F433" s="29"/>
      <c r="G433" s="4"/>
      <c r="H433" s="4"/>
      <c r="I433" s="52"/>
      <c r="K433" s="24"/>
      <c r="L433" s="4"/>
    </row>
    <row r="434">
      <c r="A434" s="4" t="s">
        <v>814</v>
      </c>
      <c r="B434" s="4">
        <v>1.0</v>
      </c>
      <c r="C434" s="4"/>
      <c r="D434" s="4"/>
      <c r="E434" s="24"/>
      <c r="F434" s="29"/>
      <c r="G434" s="4"/>
      <c r="H434" s="4"/>
      <c r="I434" s="52"/>
      <c r="K434" s="24"/>
      <c r="L434" s="4"/>
    </row>
    <row r="435">
      <c r="A435" s="4" t="s">
        <v>815</v>
      </c>
      <c r="B435" s="4">
        <v>1.0</v>
      </c>
      <c r="C435" s="4"/>
      <c r="D435" s="4"/>
      <c r="E435" s="24"/>
      <c r="F435" s="29"/>
      <c r="G435" s="4"/>
      <c r="H435" s="4"/>
      <c r="I435" s="52"/>
      <c r="K435" s="24"/>
      <c r="L435" s="4"/>
    </row>
    <row r="436">
      <c r="A436" s="4" t="s">
        <v>816</v>
      </c>
      <c r="B436" s="4">
        <v>1.0</v>
      </c>
      <c r="C436" s="4"/>
      <c r="D436" s="4"/>
      <c r="E436" s="24"/>
      <c r="F436" s="29"/>
      <c r="G436" s="4"/>
      <c r="H436" s="4"/>
      <c r="I436" s="52"/>
      <c r="K436" s="24"/>
      <c r="L436" s="4"/>
    </row>
    <row r="437">
      <c r="A437" s="4" t="s">
        <v>817</v>
      </c>
      <c r="B437" s="4">
        <v>1.0</v>
      </c>
      <c r="C437" s="4"/>
      <c r="D437" s="4"/>
      <c r="E437" s="24"/>
      <c r="F437" s="29"/>
      <c r="G437" s="4"/>
      <c r="H437" s="4"/>
      <c r="I437" s="52"/>
      <c r="K437" s="24"/>
      <c r="L437" s="4"/>
    </row>
    <row r="438">
      <c r="A438" s="4" t="s">
        <v>818</v>
      </c>
      <c r="B438" s="4">
        <v>1.0</v>
      </c>
      <c r="C438" s="4"/>
      <c r="D438" s="4"/>
      <c r="E438" s="24"/>
      <c r="F438" s="29"/>
      <c r="G438" s="4"/>
      <c r="H438" s="4"/>
      <c r="I438" s="52"/>
      <c r="K438" s="24"/>
      <c r="L438" s="4"/>
    </row>
    <row r="439">
      <c r="A439" s="4" t="s">
        <v>819</v>
      </c>
      <c r="B439" s="4">
        <v>1.0</v>
      </c>
      <c r="C439" s="4"/>
      <c r="D439" s="4"/>
      <c r="E439" s="24"/>
      <c r="F439" s="29"/>
      <c r="G439" s="4"/>
      <c r="H439" s="4"/>
      <c r="I439" s="52"/>
      <c r="K439" s="24"/>
      <c r="L439" s="4"/>
    </row>
    <row r="440">
      <c r="A440" s="4" t="s">
        <v>820</v>
      </c>
      <c r="B440" s="4">
        <v>1.0</v>
      </c>
      <c r="C440" s="4"/>
      <c r="D440" s="4"/>
      <c r="E440" s="24"/>
      <c r="F440" s="29"/>
      <c r="G440" s="4"/>
      <c r="H440" s="4"/>
      <c r="I440" s="52"/>
      <c r="K440" s="24"/>
      <c r="L440" s="4"/>
    </row>
    <row r="441">
      <c r="A441" s="4" t="s">
        <v>821</v>
      </c>
      <c r="B441" s="4">
        <v>1.0</v>
      </c>
      <c r="C441" s="4"/>
      <c r="D441" s="4"/>
      <c r="E441" s="24"/>
      <c r="F441" s="29"/>
      <c r="G441" s="4"/>
      <c r="H441" s="4"/>
      <c r="I441" s="52"/>
      <c r="K441" s="24"/>
      <c r="L441" s="4"/>
    </row>
    <row r="442">
      <c r="A442" s="4" t="s">
        <v>822</v>
      </c>
      <c r="B442" s="4">
        <v>1.0</v>
      </c>
      <c r="C442" s="4"/>
      <c r="D442" s="4"/>
      <c r="E442" s="24"/>
      <c r="F442" s="29"/>
      <c r="G442" s="4"/>
      <c r="H442" s="4"/>
      <c r="I442" s="52"/>
      <c r="K442" s="24"/>
      <c r="L442" s="4"/>
    </row>
    <row r="443">
      <c r="A443" s="4" t="s">
        <v>823</v>
      </c>
      <c r="B443" s="4">
        <v>1.0</v>
      </c>
      <c r="C443" s="4"/>
      <c r="D443" s="4"/>
      <c r="E443" s="24"/>
      <c r="F443" s="29"/>
      <c r="G443" s="4"/>
      <c r="H443" s="4"/>
      <c r="I443" s="52"/>
      <c r="K443" s="24"/>
      <c r="L443" s="4"/>
    </row>
    <row r="444">
      <c r="A444" s="4" t="s">
        <v>824</v>
      </c>
      <c r="B444" s="4">
        <v>1.0</v>
      </c>
      <c r="C444" s="4"/>
      <c r="D444" s="4"/>
      <c r="E444" s="24"/>
      <c r="F444" s="29"/>
      <c r="G444" s="4"/>
      <c r="H444" s="4"/>
      <c r="I444" s="52"/>
      <c r="K444" s="24"/>
      <c r="L444" s="4"/>
    </row>
    <row r="445">
      <c r="A445" s="4" t="s">
        <v>825</v>
      </c>
      <c r="B445" s="4">
        <v>1.0</v>
      </c>
      <c r="C445" s="4"/>
      <c r="D445" s="4"/>
      <c r="E445" s="24"/>
      <c r="F445" s="29"/>
      <c r="G445" s="4"/>
      <c r="H445" s="4"/>
      <c r="I445" s="52"/>
      <c r="K445" s="24"/>
      <c r="L445" s="4"/>
    </row>
    <row r="446">
      <c r="A446" s="4" t="s">
        <v>826</v>
      </c>
      <c r="B446" s="4">
        <v>1.0</v>
      </c>
      <c r="C446" s="4"/>
      <c r="D446" s="4"/>
      <c r="E446" s="24"/>
      <c r="F446" s="29"/>
      <c r="G446" s="4"/>
      <c r="H446" s="4"/>
      <c r="I446" s="52"/>
      <c r="K446" s="24"/>
      <c r="L446" s="4"/>
    </row>
    <row r="447">
      <c r="A447" s="4" t="s">
        <v>827</v>
      </c>
      <c r="B447" s="4">
        <v>1.0</v>
      </c>
      <c r="C447" s="4"/>
      <c r="D447" s="4"/>
      <c r="E447" s="24"/>
      <c r="F447" s="29"/>
      <c r="G447" s="4"/>
      <c r="H447" s="4"/>
      <c r="I447" s="52"/>
      <c r="K447" s="24"/>
      <c r="L447" s="4"/>
    </row>
    <row r="448">
      <c r="A448" s="4" t="s">
        <v>828</v>
      </c>
      <c r="B448" s="4">
        <v>1.0</v>
      </c>
      <c r="C448" s="4"/>
      <c r="D448" s="4"/>
      <c r="E448" s="24"/>
      <c r="F448" s="29"/>
      <c r="G448" s="4"/>
      <c r="H448" s="4"/>
      <c r="I448" s="52"/>
      <c r="K448" s="24"/>
      <c r="L448" s="4"/>
    </row>
    <row r="449">
      <c r="A449" s="4" t="s">
        <v>829</v>
      </c>
      <c r="B449" s="4">
        <v>1.0</v>
      </c>
      <c r="C449" s="4"/>
      <c r="D449" s="4"/>
      <c r="E449" s="24"/>
      <c r="F449" s="29"/>
      <c r="G449" s="4"/>
      <c r="H449" s="4"/>
      <c r="I449" s="52"/>
      <c r="K449" s="24"/>
      <c r="L449" s="4"/>
    </row>
    <row r="450">
      <c r="A450" s="4" t="s">
        <v>830</v>
      </c>
      <c r="B450" s="4">
        <v>1.0</v>
      </c>
      <c r="C450" s="4"/>
      <c r="D450" s="4"/>
      <c r="E450" s="24"/>
      <c r="F450" s="29"/>
      <c r="G450" s="4"/>
      <c r="H450" s="4"/>
      <c r="I450" s="52"/>
      <c r="K450" s="24"/>
      <c r="L450" s="4"/>
    </row>
    <row r="451">
      <c r="A451" s="4" t="s">
        <v>831</v>
      </c>
      <c r="B451" s="4">
        <v>1.0</v>
      </c>
      <c r="C451" s="4"/>
      <c r="D451" s="4"/>
      <c r="E451" s="24"/>
      <c r="F451" s="29"/>
      <c r="G451" s="4"/>
      <c r="H451" s="4"/>
      <c r="I451" s="52"/>
      <c r="K451" s="24"/>
      <c r="L451" s="4"/>
    </row>
    <row r="452">
      <c r="A452" s="4" t="s">
        <v>832</v>
      </c>
      <c r="B452" s="4">
        <v>1.0</v>
      </c>
      <c r="C452" s="4"/>
      <c r="D452" s="4"/>
      <c r="E452" s="24"/>
      <c r="F452" s="29"/>
      <c r="G452" s="4"/>
      <c r="H452" s="4"/>
      <c r="I452" s="52"/>
      <c r="K452" s="24"/>
      <c r="L452" s="4"/>
    </row>
    <row r="453">
      <c r="A453" s="4" t="s">
        <v>833</v>
      </c>
      <c r="B453" s="4">
        <v>1.0</v>
      </c>
      <c r="C453" s="4"/>
      <c r="D453" s="4"/>
      <c r="E453" s="24"/>
      <c r="F453" s="29"/>
      <c r="G453" s="4"/>
      <c r="H453" s="4"/>
      <c r="I453" s="52"/>
      <c r="K453" s="24"/>
      <c r="L453" s="4"/>
    </row>
    <row r="454">
      <c r="A454" s="4" t="s">
        <v>834</v>
      </c>
      <c r="B454" s="4">
        <v>1.0</v>
      </c>
      <c r="C454" s="4"/>
      <c r="D454" s="4"/>
      <c r="E454" s="24"/>
      <c r="F454" s="29"/>
      <c r="G454" s="4"/>
      <c r="H454" s="4"/>
      <c r="I454" s="52"/>
      <c r="K454" s="24"/>
      <c r="L454" s="4"/>
    </row>
    <row r="455">
      <c r="A455" s="4" t="s">
        <v>835</v>
      </c>
      <c r="B455" s="4">
        <v>1.0</v>
      </c>
      <c r="C455" s="4"/>
      <c r="D455" s="4"/>
      <c r="E455" s="24"/>
      <c r="F455" s="29"/>
      <c r="G455" s="4"/>
      <c r="H455" s="4"/>
      <c r="I455" s="52"/>
      <c r="K455" s="24"/>
      <c r="L455" s="4"/>
    </row>
    <row r="456">
      <c r="A456" s="4" t="s">
        <v>836</v>
      </c>
      <c r="B456" s="4">
        <v>1.0</v>
      </c>
      <c r="C456" s="4"/>
      <c r="D456" s="4"/>
      <c r="E456" s="24"/>
      <c r="F456" s="29"/>
      <c r="G456" s="4"/>
      <c r="H456" s="4"/>
      <c r="I456" s="52"/>
      <c r="K456" s="24"/>
      <c r="L456" s="4"/>
    </row>
    <row r="457">
      <c r="A457" s="4" t="s">
        <v>837</v>
      </c>
      <c r="B457" s="4">
        <v>1.0</v>
      </c>
      <c r="C457" s="4"/>
      <c r="D457" s="4"/>
      <c r="E457" s="24"/>
      <c r="F457" s="29"/>
      <c r="G457" s="4"/>
      <c r="H457" s="4"/>
      <c r="I457" s="52"/>
      <c r="K457" s="24"/>
      <c r="L457" s="4"/>
    </row>
    <row r="458">
      <c r="A458" s="4" t="s">
        <v>838</v>
      </c>
      <c r="B458" s="4">
        <v>1.0</v>
      </c>
      <c r="C458" s="4"/>
      <c r="D458" s="4"/>
      <c r="E458" s="24"/>
      <c r="F458" s="29"/>
      <c r="G458" s="4"/>
      <c r="H458" s="4"/>
      <c r="I458" s="52"/>
      <c r="K458" s="24"/>
      <c r="L458" s="4"/>
    </row>
    <row r="459">
      <c r="A459" s="4" t="s">
        <v>839</v>
      </c>
      <c r="B459" s="4">
        <v>1.0</v>
      </c>
      <c r="C459" s="4"/>
      <c r="D459" s="4"/>
      <c r="E459" s="24"/>
      <c r="F459" s="29"/>
      <c r="G459" s="4"/>
      <c r="H459" s="4"/>
      <c r="I459" s="52"/>
      <c r="K459" s="24"/>
      <c r="L459" s="4"/>
    </row>
    <row r="460">
      <c r="A460" s="4" t="s">
        <v>840</v>
      </c>
      <c r="B460" s="4">
        <v>1.0</v>
      </c>
      <c r="C460" s="4"/>
      <c r="D460" s="4"/>
      <c r="E460" s="24"/>
      <c r="F460" s="29"/>
      <c r="G460" s="4"/>
      <c r="H460" s="4"/>
      <c r="I460" s="52"/>
      <c r="K460" s="24"/>
      <c r="L460" s="4"/>
    </row>
    <row r="461">
      <c r="A461" s="4" t="s">
        <v>841</v>
      </c>
      <c r="B461" s="4">
        <v>1.0</v>
      </c>
      <c r="C461" s="4"/>
      <c r="D461" s="4"/>
      <c r="E461" s="24"/>
      <c r="F461" s="29"/>
      <c r="G461" s="4"/>
      <c r="H461" s="4"/>
      <c r="I461" s="52"/>
      <c r="K461" s="24"/>
      <c r="L461" s="4"/>
    </row>
    <row r="462">
      <c r="A462" s="4" t="s">
        <v>842</v>
      </c>
      <c r="B462" s="4">
        <v>1.0</v>
      </c>
      <c r="C462" s="4"/>
      <c r="D462" s="4"/>
      <c r="E462" s="24"/>
      <c r="F462" s="29"/>
      <c r="G462" s="4"/>
      <c r="H462" s="4"/>
      <c r="I462" s="52"/>
      <c r="K462" s="24"/>
      <c r="L462" s="4"/>
    </row>
    <row r="463">
      <c r="A463" s="4" t="s">
        <v>843</v>
      </c>
      <c r="B463" s="4">
        <v>1.0</v>
      </c>
      <c r="C463" s="4"/>
      <c r="D463" s="4"/>
      <c r="E463" s="24"/>
      <c r="F463" s="29"/>
      <c r="G463" s="4"/>
      <c r="H463" s="4"/>
      <c r="I463" s="52"/>
      <c r="K463" s="24"/>
      <c r="L463" s="4"/>
    </row>
    <row r="464">
      <c r="A464" s="4" t="s">
        <v>844</v>
      </c>
      <c r="B464" s="4">
        <v>1.0</v>
      </c>
      <c r="C464" s="4"/>
      <c r="D464" s="4"/>
      <c r="E464" s="24"/>
      <c r="F464" s="29"/>
      <c r="G464" s="4"/>
      <c r="H464" s="4"/>
      <c r="I464" s="52"/>
      <c r="K464" s="24"/>
      <c r="L464" s="4"/>
    </row>
    <row r="465">
      <c r="A465" s="4" t="s">
        <v>845</v>
      </c>
      <c r="B465" s="4">
        <v>1.0</v>
      </c>
      <c r="C465" s="4"/>
      <c r="D465" s="4"/>
      <c r="E465" s="24"/>
      <c r="F465" s="29"/>
      <c r="G465" s="4"/>
      <c r="H465" s="4"/>
      <c r="I465" s="52"/>
      <c r="K465" s="24"/>
      <c r="L465" s="4"/>
    </row>
    <row r="466">
      <c r="A466" s="4" t="s">
        <v>846</v>
      </c>
      <c r="B466" s="4">
        <v>1.0</v>
      </c>
      <c r="C466" s="4"/>
      <c r="D466" s="4"/>
      <c r="E466" s="24"/>
      <c r="F466" s="29"/>
      <c r="G466" s="4"/>
      <c r="H466" s="4"/>
      <c r="I466" s="52"/>
      <c r="K466" s="24"/>
      <c r="L466" s="4"/>
    </row>
    <row r="467">
      <c r="A467" s="4" t="s">
        <v>847</v>
      </c>
      <c r="B467" s="4">
        <v>1.0</v>
      </c>
      <c r="C467" s="4"/>
      <c r="D467" s="4"/>
      <c r="E467" s="24"/>
      <c r="F467" s="29"/>
      <c r="G467" s="4"/>
      <c r="H467" s="4"/>
      <c r="I467" s="52"/>
      <c r="K467" s="24"/>
      <c r="L467" s="4"/>
    </row>
    <row r="468">
      <c r="A468" s="4" t="s">
        <v>848</v>
      </c>
      <c r="B468" s="4">
        <v>1.0</v>
      </c>
      <c r="C468" s="4"/>
      <c r="D468" s="4"/>
      <c r="E468" s="24"/>
      <c r="F468" s="29"/>
      <c r="G468" s="4"/>
      <c r="H468" s="4"/>
      <c r="I468" s="52"/>
      <c r="K468" s="24"/>
      <c r="L468" s="4"/>
    </row>
    <row r="469">
      <c r="A469" s="4" t="s">
        <v>849</v>
      </c>
      <c r="B469" s="4">
        <v>1.0</v>
      </c>
      <c r="C469" s="4"/>
      <c r="D469" s="4"/>
      <c r="E469" s="24"/>
      <c r="F469" s="29"/>
      <c r="G469" s="4"/>
      <c r="H469" s="4"/>
      <c r="I469" s="52"/>
      <c r="K469" s="24"/>
      <c r="L469" s="4"/>
    </row>
    <row r="470">
      <c r="A470" s="4" t="s">
        <v>850</v>
      </c>
      <c r="B470" s="4">
        <v>1.0</v>
      </c>
      <c r="C470" s="4"/>
      <c r="D470" s="4"/>
      <c r="E470" s="24"/>
      <c r="F470" s="29"/>
      <c r="G470" s="4"/>
      <c r="H470" s="4"/>
      <c r="I470" s="52"/>
      <c r="K470" s="24"/>
      <c r="L470" s="4"/>
    </row>
    <row r="471">
      <c r="A471" s="4" t="s">
        <v>851</v>
      </c>
      <c r="B471" s="4">
        <v>1.0</v>
      </c>
      <c r="C471" s="4"/>
      <c r="D471" s="4"/>
      <c r="E471" s="24"/>
      <c r="F471" s="29"/>
      <c r="G471" s="4"/>
      <c r="H471" s="4"/>
      <c r="I471" s="52"/>
      <c r="K471" s="24"/>
      <c r="L471" s="4"/>
    </row>
    <row r="472">
      <c r="A472" s="4" t="s">
        <v>852</v>
      </c>
      <c r="B472" s="4">
        <v>1.0</v>
      </c>
      <c r="C472" s="4"/>
      <c r="D472" s="4"/>
      <c r="E472" s="24"/>
      <c r="F472" s="29"/>
      <c r="G472" s="4"/>
      <c r="H472" s="4"/>
      <c r="I472" s="52"/>
      <c r="K472" s="24"/>
      <c r="L472" s="4"/>
    </row>
    <row r="473">
      <c r="A473" s="4" t="s">
        <v>853</v>
      </c>
      <c r="B473" s="4">
        <v>1.0</v>
      </c>
      <c r="C473" s="4"/>
      <c r="D473" s="4"/>
      <c r="E473" s="24"/>
      <c r="F473" s="29"/>
      <c r="G473" s="4"/>
      <c r="H473" s="4"/>
      <c r="I473" s="52"/>
      <c r="K473" s="24"/>
      <c r="L473" s="4"/>
    </row>
    <row r="474">
      <c r="A474" s="4" t="s">
        <v>854</v>
      </c>
      <c r="B474" s="4">
        <v>1.0</v>
      </c>
      <c r="C474" s="4"/>
      <c r="D474" s="4"/>
      <c r="E474" s="24"/>
      <c r="F474" s="29"/>
      <c r="G474" s="4"/>
      <c r="H474" s="4"/>
      <c r="I474" s="52"/>
      <c r="K474" s="24"/>
      <c r="L474" s="4"/>
    </row>
    <row r="475">
      <c r="A475" s="4" t="s">
        <v>855</v>
      </c>
      <c r="B475" s="4">
        <v>1.0</v>
      </c>
      <c r="C475" s="4"/>
      <c r="D475" s="4"/>
      <c r="E475" s="24"/>
      <c r="F475" s="29"/>
      <c r="G475" s="4"/>
      <c r="H475" s="4"/>
      <c r="I475" s="52"/>
      <c r="K475" s="24"/>
      <c r="L475" s="4"/>
    </row>
    <row r="476">
      <c r="A476" s="4" t="s">
        <v>856</v>
      </c>
      <c r="B476" s="4">
        <v>1.0</v>
      </c>
      <c r="C476" s="4"/>
      <c r="D476" s="4"/>
      <c r="E476" s="24"/>
      <c r="F476" s="29"/>
      <c r="G476" s="4"/>
      <c r="H476" s="4"/>
      <c r="I476" s="52"/>
      <c r="K476" s="24"/>
      <c r="L476" s="4"/>
    </row>
    <row r="477">
      <c r="A477" s="4" t="s">
        <v>857</v>
      </c>
      <c r="B477" s="4">
        <v>1.0</v>
      </c>
      <c r="C477" s="4"/>
      <c r="D477" s="4"/>
      <c r="E477" s="24"/>
      <c r="F477" s="29"/>
      <c r="G477" s="4"/>
      <c r="H477" s="4"/>
      <c r="I477" s="52"/>
      <c r="K477" s="24"/>
      <c r="L477" s="4"/>
    </row>
    <row r="478">
      <c r="A478" s="4" t="s">
        <v>858</v>
      </c>
      <c r="B478" s="4">
        <v>1.0</v>
      </c>
      <c r="C478" s="4"/>
      <c r="D478" s="4"/>
      <c r="E478" s="24"/>
      <c r="F478" s="29"/>
      <c r="G478" s="4"/>
      <c r="H478" s="4"/>
      <c r="I478" s="52"/>
      <c r="K478" s="24"/>
      <c r="L478" s="4"/>
    </row>
    <row r="479">
      <c r="A479" s="4" t="s">
        <v>859</v>
      </c>
      <c r="B479" s="4">
        <v>1.0</v>
      </c>
      <c r="C479" s="4"/>
      <c r="D479" s="4"/>
      <c r="E479" s="24"/>
      <c r="F479" s="29"/>
      <c r="G479" s="4"/>
      <c r="H479" s="4"/>
      <c r="I479" s="52"/>
      <c r="K479" s="24"/>
      <c r="L479" s="4"/>
    </row>
    <row r="480">
      <c r="A480" s="4" t="s">
        <v>860</v>
      </c>
      <c r="B480" s="4">
        <v>1.0</v>
      </c>
      <c r="C480" s="4"/>
      <c r="D480" s="4"/>
      <c r="E480" s="24"/>
      <c r="F480" s="29"/>
      <c r="G480" s="4"/>
      <c r="H480" s="4"/>
      <c r="I480" s="52"/>
      <c r="K480" s="24"/>
      <c r="L480" s="4"/>
    </row>
    <row r="481">
      <c r="A481" s="4" t="s">
        <v>861</v>
      </c>
      <c r="B481" s="4">
        <v>1.0</v>
      </c>
      <c r="C481" s="4"/>
      <c r="D481" s="4"/>
      <c r="E481" s="24"/>
      <c r="F481" s="29"/>
      <c r="G481" s="4"/>
      <c r="H481" s="4"/>
      <c r="I481" s="52"/>
      <c r="K481" s="24"/>
      <c r="L481" s="4"/>
    </row>
    <row r="482">
      <c r="A482" s="4" t="s">
        <v>862</v>
      </c>
      <c r="B482" s="4">
        <v>1.0</v>
      </c>
      <c r="C482" s="4"/>
      <c r="D482" s="4"/>
      <c r="E482" s="24"/>
      <c r="F482" s="29"/>
      <c r="G482" s="4"/>
      <c r="H482" s="4"/>
      <c r="I482" s="52"/>
      <c r="K482" s="24"/>
      <c r="L482" s="4"/>
    </row>
    <row r="483">
      <c r="A483" s="4" t="s">
        <v>863</v>
      </c>
      <c r="B483" s="4">
        <v>1.0</v>
      </c>
      <c r="C483" s="4"/>
      <c r="D483" s="4"/>
      <c r="E483" s="24"/>
      <c r="F483" s="29"/>
      <c r="G483" s="4"/>
      <c r="H483" s="4"/>
      <c r="I483" s="52"/>
      <c r="K483" s="24"/>
      <c r="L483" s="4"/>
    </row>
    <row r="484">
      <c r="A484" s="4" t="s">
        <v>864</v>
      </c>
      <c r="B484" s="4">
        <v>1.0</v>
      </c>
      <c r="C484" s="4"/>
      <c r="D484" s="4"/>
      <c r="E484" s="24"/>
      <c r="F484" s="29"/>
      <c r="G484" s="4"/>
      <c r="H484" s="4"/>
      <c r="I484" s="52"/>
      <c r="K484" s="24"/>
      <c r="L484" s="4"/>
    </row>
    <row r="485">
      <c r="A485" s="4" t="s">
        <v>865</v>
      </c>
      <c r="B485" s="4">
        <v>1.0</v>
      </c>
      <c r="C485" s="4"/>
      <c r="D485" s="4"/>
      <c r="E485" s="24"/>
      <c r="F485" s="29"/>
      <c r="G485" s="4"/>
      <c r="H485" s="4"/>
      <c r="I485" s="52"/>
      <c r="K485" s="24"/>
      <c r="L485" s="4"/>
    </row>
    <row r="486">
      <c r="A486" s="4" t="s">
        <v>866</v>
      </c>
      <c r="B486" s="4">
        <v>1.0</v>
      </c>
      <c r="C486" s="4"/>
      <c r="D486" s="4"/>
      <c r="E486" s="24"/>
      <c r="F486" s="29"/>
      <c r="G486" s="4"/>
      <c r="H486" s="4"/>
      <c r="I486" s="52"/>
      <c r="K486" s="24"/>
      <c r="L486" s="4"/>
    </row>
    <row r="487">
      <c r="A487" s="4" t="s">
        <v>867</v>
      </c>
      <c r="B487" s="4">
        <v>1.0</v>
      </c>
      <c r="C487" s="4"/>
      <c r="D487" s="4"/>
      <c r="E487" s="24"/>
      <c r="F487" s="29"/>
      <c r="G487" s="4"/>
      <c r="H487" s="4"/>
      <c r="I487" s="52"/>
      <c r="K487" s="24"/>
      <c r="L487" s="4"/>
    </row>
    <row r="488">
      <c r="A488" s="4" t="s">
        <v>868</v>
      </c>
      <c r="B488" s="4">
        <v>1.0</v>
      </c>
      <c r="C488" s="4"/>
      <c r="D488" s="4"/>
      <c r="E488" s="24"/>
      <c r="F488" s="29"/>
      <c r="G488" s="4"/>
      <c r="H488" s="4"/>
      <c r="I488" s="52"/>
      <c r="K488" s="24"/>
      <c r="L488" s="4"/>
    </row>
    <row r="489">
      <c r="A489" s="4" t="s">
        <v>869</v>
      </c>
      <c r="B489" s="4">
        <v>1.0</v>
      </c>
      <c r="C489" s="4"/>
      <c r="D489" s="4"/>
      <c r="E489" s="24"/>
      <c r="F489" s="29"/>
      <c r="G489" s="4"/>
      <c r="H489" s="4"/>
      <c r="I489" s="52"/>
      <c r="K489" s="24"/>
      <c r="L489" s="4"/>
    </row>
    <row r="490">
      <c r="A490" s="4" t="s">
        <v>870</v>
      </c>
      <c r="B490" s="4">
        <v>1.0</v>
      </c>
      <c r="C490" s="4"/>
      <c r="D490" s="4"/>
      <c r="E490" s="24"/>
      <c r="F490" s="29"/>
      <c r="G490" s="4"/>
      <c r="H490" s="4"/>
      <c r="I490" s="52"/>
      <c r="K490" s="24"/>
      <c r="L490" s="4"/>
    </row>
    <row r="491">
      <c r="A491" s="4" t="s">
        <v>871</v>
      </c>
      <c r="B491" s="4">
        <v>1.0</v>
      </c>
      <c r="C491" s="4"/>
      <c r="D491" s="4"/>
      <c r="E491" s="24"/>
      <c r="F491" s="29"/>
      <c r="G491" s="4"/>
      <c r="H491" s="4"/>
      <c r="I491" s="52"/>
      <c r="K491" s="24"/>
      <c r="L491" s="4"/>
    </row>
    <row r="492">
      <c r="A492" s="4" t="s">
        <v>872</v>
      </c>
      <c r="B492" s="4">
        <v>1.0</v>
      </c>
      <c r="C492" s="4"/>
      <c r="D492" s="4"/>
      <c r="E492" s="24"/>
      <c r="F492" s="29"/>
      <c r="G492" s="4"/>
      <c r="H492" s="4"/>
      <c r="I492" s="52"/>
      <c r="K492" s="24"/>
      <c r="L492" s="4"/>
    </row>
    <row r="493">
      <c r="A493" s="4" t="s">
        <v>873</v>
      </c>
      <c r="B493" s="4">
        <v>1.0</v>
      </c>
      <c r="C493" s="4"/>
      <c r="D493" s="4"/>
      <c r="E493" s="24"/>
      <c r="F493" s="29"/>
      <c r="G493" s="4"/>
      <c r="H493" s="4"/>
      <c r="I493" s="52"/>
      <c r="K493" s="24"/>
      <c r="L493" s="4"/>
    </row>
    <row r="494">
      <c r="A494" s="4" t="s">
        <v>874</v>
      </c>
      <c r="B494" s="4">
        <v>1.0</v>
      </c>
      <c r="C494" s="4"/>
      <c r="D494" s="4"/>
      <c r="E494" s="24"/>
      <c r="F494" s="29"/>
      <c r="G494" s="4"/>
      <c r="H494" s="4"/>
      <c r="I494" s="52"/>
      <c r="K494" s="24"/>
      <c r="L494" s="4"/>
    </row>
    <row r="495">
      <c r="A495" s="4" t="s">
        <v>875</v>
      </c>
      <c r="B495" s="4">
        <v>1.0</v>
      </c>
      <c r="C495" s="4"/>
      <c r="D495" s="4"/>
      <c r="E495" s="24"/>
      <c r="F495" s="29"/>
      <c r="G495" s="4"/>
      <c r="H495" s="4"/>
      <c r="I495" s="52"/>
      <c r="K495" s="24"/>
      <c r="L495" s="4"/>
    </row>
    <row r="496">
      <c r="A496" s="4" t="s">
        <v>876</v>
      </c>
      <c r="B496" s="4">
        <v>1.0</v>
      </c>
      <c r="C496" s="4"/>
      <c r="D496" s="4"/>
      <c r="E496" s="24"/>
      <c r="F496" s="29"/>
      <c r="G496" s="4"/>
      <c r="H496" s="4"/>
      <c r="I496" s="52"/>
      <c r="K496" s="24"/>
      <c r="L496" s="4"/>
    </row>
    <row r="497">
      <c r="A497" s="4" t="s">
        <v>877</v>
      </c>
      <c r="B497" s="4">
        <v>1.0</v>
      </c>
      <c r="C497" s="4"/>
      <c r="D497" s="4"/>
      <c r="E497" s="24"/>
      <c r="F497" s="29"/>
      <c r="G497" s="4"/>
      <c r="H497" s="4"/>
      <c r="I497" s="52"/>
      <c r="K497" s="24"/>
      <c r="L497" s="4"/>
    </row>
    <row r="498">
      <c r="A498" s="4" t="s">
        <v>878</v>
      </c>
      <c r="B498" s="4">
        <v>1.0</v>
      </c>
      <c r="C498" s="4"/>
      <c r="D498" s="4"/>
      <c r="E498" s="24"/>
      <c r="F498" s="29"/>
      <c r="G498" s="4"/>
      <c r="H498" s="4"/>
      <c r="I498" s="52"/>
      <c r="K498" s="24"/>
      <c r="L498" s="4"/>
    </row>
    <row r="499">
      <c r="A499" s="4" t="s">
        <v>879</v>
      </c>
      <c r="B499" s="4">
        <v>1.0</v>
      </c>
      <c r="C499" s="4"/>
      <c r="D499" s="4"/>
      <c r="E499" s="24"/>
      <c r="F499" s="29"/>
      <c r="G499" s="4"/>
      <c r="H499" s="4"/>
      <c r="I499" s="52"/>
      <c r="K499" s="24"/>
      <c r="L499" s="4"/>
    </row>
    <row r="500">
      <c r="A500" s="4" t="s">
        <v>880</v>
      </c>
      <c r="B500" s="4">
        <v>1.0</v>
      </c>
      <c r="C500" s="4"/>
      <c r="D500" s="4"/>
      <c r="E500" s="24"/>
      <c r="F500" s="29"/>
      <c r="G500" s="4"/>
      <c r="H500" s="4"/>
      <c r="I500" s="52"/>
      <c r="K500" s="24"/>
      <c r="L500" s="4"/>
    </row>
    <row r="501">
      <c r="A501" s="4" t="s">
        <v>881</v>
      </c>
      <c r="B501" s="4">
        <v>1.0</v>
      </c>
      <c r="C501" s="4"/>
      <c r="D501" s="4"/>
      <c r="E501" s="24"/>
      <c r="F501" s="29"/>
      <c r="G501" s="4"/>
      <c r="H501" s="4"/>
      <c r="I501" s="52"/>
      <c r="K501" s="24"/>
      <c r="L501" s="4"/>
    </row>
    <row r="502">
      <c r="A502" s="4" t="s">
        <v>882</v>
      </c>
      <c r="B502" s="4">
        <v>1.0</v>
      </c>
      <c r="C502" s="4"/>
      <c r="D502" s="4"/>
      <c r="E502" s="24"/>
      <c r="F502" s="29"/>
      <c r="G502" s="4"/>
      <c r="H502" s="4"/>
      <c r="I502" s="52"/>
      <c r="K502" s="24"/>
      <c r="L502" s="4"/>
    </row>
    <row r="503">
      <c r="A503" s="4" t="s">
        <v>883</v>
      </c>
      <c r="B503" s="4">
        <v>1.0</v>
      </c>
      <c r="C503" s="4"/>
      <c r="D503" s="4"/>
      <c r="E503" s="24"/>
      <c r="F503" s="29"/>
      <c r="G503" s="4"/>
      <c r="H503" s="4"/>
      <c r="I503" s="52"/>
      <c r="K503" s="24"/>
      <c r="L503" s="4"/>
    </row>
    <row r="504">
      <c r="A504" s="4" t="s">
        <v>884</v>
      </c>
      <c r="B504" s="4">
        <v>1.0</v>
      </c>
      <c r="C504" s="4"/>
      <c r="D504" s="4"/>
      <c r="E504" s="24"/>
      <c r="F504" s="29"/>
      <c r="G504" s="4"/>
      <c r="H504" s="4"/>
      <c r="I504" s="52"/>
      <c r="K504" s="24"/>
      <c r="L504" s="4"/>
    </row>
    <row r="505">
      <c r="A505" s="4" t="s">
        <v>885</v>
      </c>
      <c r="B505" s="4">
        <v>1.0</v>
      </c>
      <c r="C505" s="4"/>
      <c r="D505" s="4"/>
      <c r="E505" s="24"/>
      <c r="F505" s="29"/>
      <c r="G505" s="4"/>
      <c r="H505" s="4"/>
      <c r="I505" s="52"/>
      <c r="K505" s="24"/>
      <c r="L505" s="4"/>
    </row>
    <row r="506">
      <c r="A506" s="4" t="s">
        <v>886</v>
      </c>
      <c r="B506" s="4">
        <v>1.0</v>
      </c>
      <c r="C506" s="4"/>
      <c r="D506" s="4"/>
      <c r="E506" s="24"/>
      <c r="F506" s="29"/>
      <c r="G506" s="4"/>
      <c r="H506" s="4"/>
      <c r="I506" s="52"/>
      <c r="K506" s="24"/>
      <c r="L506" s="4"/>
    </row>
    <row r="507">
      <c r="A507" s="4" t="s">
        <v>887</v>
      </c>
      <c r="B507" s="4">
        <v>1.0</v>
      </c>
      <c r="C507" s="4"/>
      <c r="D507" s="4"/>
      <c r="E507" s="24"/>
      <c r="F507" s="29"/>
      <c r="G507" s="4"/>
      <c r="H507" s="4"/>
      <c r="I507" s="52"/>
      <c r="K507" s="24"/>
      <c r="L507" s="4"/>
    </row>
    <row r="508">
      <c r="A508" s="4" t="s">
        <v>888</v>
      </c>
      <c r="B508" s="4">
        <v>1.0</v>
      </c>
      <c r="C508" s="4"/>
      <c r="D508" s="4"/>
      <c r="E508" s="24"/>
      <c r="F508" s="29"/>
      <c r="G508" s="4"/>
      <c r="H508" s="4"/>
      <c r="I508" s="52"/>
      <c r="K508" s="24"/>
      <c r="L508" s="4"/>
    </row>
    <row r="509">
      <c r="A509" s="4" t="s">
        <v>889</v>
      </c>
      <c r="B509" s="4">
        <v>1.0</v>
      </c>
      <c r="C509" s="4"/>
      <c r="D509" s="4"/>
      <c r="E509" s="24"/>
      <c r="F509" s="29"/>
      <c r="G509" s="4"/>
      <c r="H509" s="4"/>
      <c r="I509" s="52"/>
      <c r="K509" s="24"/>
      <c r="L509" s="4"/>
    </row>
    <row r="510">
      <c r="A510" s="4" t="s">
        <v>890</v>
      </c>
      <c r="B510" s="4">
        <v>1.0</v>
      </c>
      <c r="C510" s="4"/>
      <c r="D510" s="4"/>
      <c r="E510" s="24"/>
      <c r="F510" s="29"/>
      <c r="G510" s="4"/>
      <c r="H510" s="4"/>
      <c r="I510" s="52"/>
      <c r="K510" s="24"/>
      <c r="L510" s="4"/>
    </row>
    <row r="511">
      <c r="A511" s="4" t="s">
        <v>891</v>
      </c>
      <c r="B511" s="4">
        <v>1.0</v>
      </c>
      <c r="C511" s="4"/>
      <c r="D511" s="4"/>
      <c r="E511" s="24"/>
      <c r="F511" s="29"/>
      <c r="G511" s="4"/>
      <c r="H511" s="4"/>
      <c r="I511" s="52"/>
      <c r="K511" s="24"/>
      <c r="L511" s="4"/>
    </row>
    <row r="512">
      <c r="A512" s="4" t="s">
        <v>892</v>
      </c>
      <c r="B512" s="4">
        <v>1.0</v>
      </c>
      <c r="C512" s="4"/>
      <c r="D512" s="4"/>
      <c r="E512" s="24"/>
      <c r="F512" s="29"/>
      <c r="G512" s="4"/>
      <c r="H512" s="4"/>
      <c r="I512" s="52"/>
      <c r="K512" s="24"/>
      <c r="L512" s="4"/>
    </row>
    <row r="513">
      <c r="A513" s="4" t="s">
        <v>893</v>
      </c>
      <c r="B513" s="4">
        <v>1.0</v>
      </c>
      <c r="C513" s="4"/>
      <c r="D513" s="4"/>
      <c r="E513" s="24"/>
      <c r="F513" s="29"/>
      <c r="G513" s="4"/>
      <c r="H513" s="4"/>
      <c r="I513" s="52"/>
      <c r="K513" s="24"/>
      <c r="L513" s="4"/>
    </row>
    <row r="514">
      <c r="A514" s="4" t="s">
        <v>894</v>
      </c>
      <c r="B514" s="4">
        <v>1.0</v>
      </c>
      <c r="C514" s="4"/>
      <c r="D514" s="4"/>
      <c r="E514" s="24"/>
      <c r="F514" s="29"/>
      <c r="G514" s="4"/>
      <c r="H514" s="4"/>
      <c r="I514" s="52"/>
      <c r="K514" s="24"/>
      <c r="L514" s="4"/>
    </row>
    <row r="515">
      <c r="A515" s="4" t="s">
        <v>895</v>
      </c>
      <c r="B515" s="4">
        <v>1.0</v>
      </c>
      <c r="C515" s="4"/>
      <c r="D515" s="4"/>
      <c r="E515" s="24"/>
      <c r="F515" s="29"/>
      <c r="G515" s="4"/>
      <c r="H515" s="4"/>
      <c r="I515" s="52"/>
      <c r="K515" s="24"/>
      <c r="L515" s="4"/>
    </row>
    <row r="516">
      <c r="A516" s="4" t="s">
        <v>896</v>
      </c>
      <c r="B516" s="4">
        <v>1.0</v>
      </c>
      <c r="C516" s="4"/>
      <c r="D516" s="4"/>
      <c r="E516" s="24"/>
      <c r="F516" s="29"/>
      <c r="G516" s="4"/>
      <c r="H516" s="4"/>
      <c r="I516" s="52"/>
      <c r="K516" s="24"/>
      <c r="L516" s="4"/>
    </row>
    <row r="517">
      <c r="A517" s="4" t="s">
        <v>897</v>
      </c>
      <c r="B517" s="4">
        <v>1.0</v>
      </c>
      <c r="C517" s="4"/>
      <c r="D517" s="4"/>
      <c r="E517" s="24"/>
      <c r="F517" s="29"/>
      <c r="G517" s="4"/>
      <c r="H517" s="4"/>
      <c r="I517" s="52"/>
      <c r="K517" s="24"/>
      <c r="L517" s="4"/>
    </row>
    <row r="518">
      <c r="A518" s="4" t="s">
        <v>898</v>
      </c>
      <c r="B518" s="4">
        <v>1.0</v>
      </c>
      <c r="C518" s="4"/>
      <c r="D518" s="4"/>
      <c r="E518" s="24"/>
      <c r="F518" s="29"/>
      <c r="G518" s="4"/>
      <c r="H518" s="4"/>
      <c r="I518" s="52"/>
      <c r="K518" s="24"/>
      <c r="L518" s="4"/>
    </row>
    <row r="519">
      <c r="A519" s="4" t="s">
        <v>899</v>
      </c>
      <c r="B519" s="4">
        <v>1.0</v>
      </c>
      <c r="C519" s="4"/>
      <c r="D519" s="4"/>
      <c r="E519" s="24"/>
      <c r="F519" s="29"/>
      <c r="G519" s="4"/>
      <c r="H519" s="4"/>
      <c r="I519" s="52"/>
      <c r="K519" s="24"/>
      <c r="L519" s="4"/>
    </row>
    <row r="520">
      <c r="A520" s="4" t="s">
        <v>900</v>
      </c>
      <c r="B520" s="4">
        <v>1.0</v>
      </c>
      <c r="C520" s="4"/>
      <c r="D520" s="4"/>
      <c r="E520" s="24"/>
      <c r="F520" s="29"/>
      <c r="G520" s="4"/>
      <c r="H520" s="4"/>
      <c r="I520" s="52"/>
      <c r="K520" s="24"/>
      <c r="L520" s="4"/>
    </row>
    <row r="521">
      <c r="A521" s="4" t="s">
        <v>901</v>
      </c>
      <c r="B521" s="4">
        <v>1.0</v>
      </c>
      <c r="C521" s="4"/>
      <c r="D521" s="4"/>
      <c r="E521" s="24"/>
      <c r="F521" s="29"/>
      <c r="G521" s="4"/>
      <c r="H521" s="4"/>
      <c r="I521" s="52"/>
      <c r="K521" s="24"/>
      <c r="L521" s="4"/>
    </row>
    <row r="522">
      <c r="A522" s="4" t="s">
        <v>902</v>
      </c>
      <c r="B522" s="4">
        <v>1.0</v>
      </c>
      <c r="C522" s="4"/>
      <c r="D522" s="4"/>
      <c r="E522" s="24"/>
      <c r="F522" s="29"/>
      <c r="G522" s="4"/>
      <c r="H522" s="4"/>
      <c r="I522" s="52"/>
      <c r="K522" s="24"/>
      <c r="L522" s="4"/>
    </row>
    <row r="523">
      <c r="A523" s="4" t="s">
        <v>903</v>
      </c>
      <c r="B523" s="4">
        <v>1.0</v>
      </c>
      <c r="C523" s="4"/>
      <c r="D523" s="4"/>
      <c r="E523" s="24"/>
      <c r="F523" s="29"/>
      <c r="G523" s="4"/>
      <c r="H523" s="4"/>
      <c r="I523" s="52"/>
      <c r="K523" s="24"/>
      <c r="L523" s="4"/>
    </row>
    <row r="524">
      <c r="A524" s="4" t="s">
        <v>904</v>
      </c>
      <c r="B524" s="4">
        <v>1.0</v>
      </c>
      <c r="C524" s="4"/>
      <c r="D524" s="4"/>
      <c r="E524" s="24"/>
      <c r="F524" s="29"/>
      <c r="G524" s="4"/>
      <c r="H524" s="4"/>
      <c r="I524" s="52"/>
      <c r="K524" s="24"/>
      <c r="L524" s="4"/>
    </row>
    <row r="525">
      <c r="A525" s="4" t="s">
        <v>905</v>
      </c>
      <c r="B525" s="4">
        <v>1.0</v>
      </c>
      <c r="C525" s="4"/>
      <c r="D525" s="4"/>
      <c r="E525" s="24"/>
      <c r="F525" s="29"/>
      <c r="G525" s="4"/>
      <c r="H525" s="4"/>
      <c r="I525" s="52"/>
      <c r="K525" s="24"/>
      <c r="L525" s="4"/>
    </row>
    <row r="526">
      <c r="A526" s="4" t="s">
        <v>906</v>
      </c>
      <c r="B526" s="4">
        <v>1.0</v>
      </c>
      <c r="C526" s="4"/>
      <c r="D526" s="4"/>
      <c r="E526" s="24"/>
      <c r="F526" s="29"/>
      <c r="G526" s="4"/>
      <c r="H526" s="4"/>
      <c r="I526" s="52"/>
      <c r="K526" s="24"/>
      <c r="L526" s="4"/>
    </row>
    <row r="527">
      <c r="A527" s="4" t="s">
        <v>907</v>
      </c>
      <c r="B527" s="4">
        <v>1.0</v>
      </c>
      <c r="C527" s="4"/>
      <c r="D527" s="4"/>
      <c r="E527" s="24"/>
      <c r="F527" s="29"/>
      <c r="G527" s="4"/>
      <c r="H527" s="4"/>
      <c r="I527" s="52"/>
      <c r="K527" s="24"/>
      <c r="L527" s="4"/>
    </row>
    <row r="528">
      <c r="A528" s="4" t="s">
        <v>908</v>
      </c>
      <c r="B528" s="4">
        <v>1.0</v>
      </c>
      <c r="C528" s="4"/>
      <c r="D528" s="4"/>
      <c r="E528" s="24"/>
      <c r="F528" s="29"/>
      <c r="G528" s="4"/>
      <c r="H528" s="4"/>
      <c r="I528" s="52"/>
      <c r="K528" s="24"/>
      <c r="L528" s="4"/>
    </row>
    <row r="529">
      <c r="A529" s="4" t="s">
        <v>909</v>
      </c>
      <c r="B529" s="4">
        <v>1.0</v>
      </c>
      <c r="C529" s="4"/>
      <c r="D529" s="4"/>
      <c r="E529" s="24"/>
      <c r="F529" s="29"/>
      <c r="G529" s="4"/>
      <c r="H529" s="4"/>
      <c r="I529" s="52"/>
      <c r="K529" s="24"/>
      <c r="L529" s="4"/>
    </row>
    <row r="530">
      <c r="A530" s="4" t="s">
        <v>910</v>
      </c>
      <c r="B530" s="4">
        <v>1.0</v>
      </c>
      <c r="C530" s="4"/>
      <c r="D530" s="4"/>
      <c r="E530" s="24"/>
      <c r="F530" s="29"/>
      <c r="G530" s="4"/>
      <c r="H530" s="4"/>
      <c r="I530" s="52"/>
      <c r="K530" s="24"/>
      <c r="L530" s="4"/>
    </row>
    <row r="531">
      <c r="A531" s="4" t="s">
        <v>911</v>
      </c>
      <c r="B531" s="4">
        <v>1.0</v>
      </c>
      <c r="C531" s="4"/>
      <c r="D531" s="4"/>
      <c r="E531" s="24"/>
      <c r="F531" s="29"/>
      <c r="G531" s="4"/>
      <c r="H531" s="4"/>
      <c r="I531" s="52"/>
      <c r="K531" s="24"/>
      <c r="L531" s="4"/>
    </row>
    <row r="532">
      <c r="A532" s="4" t="s">
        <v>912</v>
      </c>
      <c r="B532" s="4">
        <v>1.0</v>
      </c>
      <c r="C532" s="4"/>
      <c r="D532" s="4"/>
      <c r="E532" s="24"/>
      <c r="F532" s="29"/>
      <c r="G532" s="4"/>
      <c r="H532" s="4"/>
      <c r="I532" s="52"/>
      <c r="K532" s="24"/>
      <c r="L532" s="4"/>
    </row>
    <row r="533">
      <c r="A533" s="4" t="s">
        <v>913</v>
      </c>
      <c r="B533" s="4">
        <v>1.0</v>
      </c>
      <c r="C533" s="4"/>
      <c r="D533" s="4"/>
      <c r="E533" s="24"/>
      <c r="F533" s="29"/>
      <c r="G533" s="4"/>
      <c r="H533" s="4"/>
      <c r="I533" s="52"/>
      <c r="K533" s="24"/>
      <c r="L533" s="4"/>
    </row>
    <row r="534">
      <c r="A534" s="4" t="s">
        <v>914</v>
      </c>
      <c r="B534" s="4">
        <v>1.0</v>
      </c>
      <c r="C534" s="4"/>
      <c r="D534" s="4"/>
      <c r="E534" s="24"/>
      <c r="F534" s="29"/>
      <c r="G534" s="4"/>
      <c r="H534" s="4"/>
      <c r="I534" s="52"/>
      <c r="K534" s="24"/>
      <c r="L534" s="4"/>
    </row>
    <row r="535">
      <c r="A535" s="4" t="s">
        <v>915</v>
      </c>
      <c r="B535" s="4">
        <v>1.0</v>
      </c>
      <c r="C535" s="4"/>
      <c r="D535" s="4"/>
      <c r="E535" s="24"/>
      <c r="F535" s="29"/>
      <c r="G535" s="4"/>
      <c r="H535" s="4"/>
      <c r="I535" s="52"/>
      <c r="K535" s="24"/>
      <c r="L535" s="4"/>
    </row>
    <row r="536">
      <c r="A536" s="4" t="s">
        <v>916</v>
      </c>
      <c r="B536" s="4">
        <v>1.0</v>
      </c>
      <c r="C536" s="4"/>
      <c r="D536" s="4"/>
      <c r="E536" s="24"/>
      <c r="F536" s="29"/>
      <c r="G536" s="4"/>
      <c r="H536" s="4"/>
      <c r="I536" s="52"/>
      <c r="K536" s="24"/>
      <c r="L536" s="4"/>
    </row>
    <row r="537">
      <c r="A537" s="4" t="s">
        <v>917</v>
      </c>
      <c r="B537" s="4">
        <v>1.0</v>
      </c>
      <c r="C537" s="4"/>
      <c r="D537" s="4"/>
      <c r="E537" s="24"/>
      <c r="F537" s="29"/>
      <c r="G537" s="4"/>
      <c r="H537" s="4"/>
      <c r="I537" s="52"/>
      <c r="K537" s="24"/>
      <c r="L537" s="4"/>
    </row>
    <row r="538">
      <c r="A538" s="4" t="s">
        <v>918</v>
      </c>
      <c r="B538" s="4">
        <v>1.0</v>
      </c>
      <c r="C538" s="4"/>
      <c r="D538" s="4"/>
      <c r="E538" s="24"/>
      <c r="F538" s="29"/>
      <c r="G538" s="4"/>
      <c r="H538" s="4"/>
      <c r="I538" s="52"/>
      <c r="K538" s="24"/>
      <c r="L538" s="4"/>
    </row>
    <row r="539">
      <c r="A539" s="4" t="s">
        <v>919</v>
      </c>
      <c r="B539" s="4">
        <v>1.0</v>
      </c>
      <c r="C539" s="4"/>
      <c r="D539" s="4"/>
      <c r="E539" s="24"/>
      <c r="F539" s="29"/>
      <c r="G539" s="4"/>
      <c r="H539" s="4"/>
      <c r="I539" s="52"/>
      <c r="K539" s="24"/>
      <c r="L539" s="4"/>
    </row>
    <row r="540">
      <c r="A540" s="4" t="s">
        <v>920</v>
      </c>
      <c r="B540" s="4">
        <v>1.0</v>
      </c>
      <c r="C540" s="4"/>
      <c r="D540" s="4"/>
      <c r="E540" s="24"/>
      <c r="F540" s="29"/>
      <c r="G540" s="4"/>
      <c r="H540" s="4"/>
      <c r="I540" s="52"/>
      <c r="K540" s="24"/>
      <c r="L540" s="4"/>
    </row>
    <row r="541">
      <c r="A541" s="4" t="s">
        <v>921</v>
      </c>
      <c r="B541" s="4">
        <v>1.0</v>
      </c>
      <c r="C541" s="4"/>
      <c r="D541" s="4"/>
      <c r="E541" s="24"/>
      <c r="F541" s="29"/>
      <c r="G541" s="4"/>
      <c r="H541" s="4"/>
      <c r="I541" s="52"/>
      <c r="K541" s="24"/>
      <c r="L541" s="4"/>
    </row>
    <row r="542">
      <c r="A542" s="4" t="s">
        <v>922</v>
      </c>
      <c r="B542" s="4">
        <v>1.0</v>
      </c>
      <c r="C542" s="4"/>
      <c r="D542" s="4"/>
      <c r="E542" s="24"/>
      <c r="F542" s="29"/>
      <c r="G542" s="4"/>
      <c r="H542" s="4"/>
      <c r="I542" s="52"/>
      <c r="K542" s="24"/>
      <c r="L542" s="4"/>
    </row>
    <row r="543">
      <c r="A543" s="4" t="s">
        <v>923</v>
      </c>
      <c r="B543" s="4">
        <v>1.0</v>
      </c>
      <c r="C543" s="4"/>
      <c r="D543" s="4"/>
      <c r="E543" s="24"/>
      <c r="F543" s="29"/>
      <c r="G543" s="4"/>
      <c r="H543" s="4"/>
      <c r="I543" s="52"/>
      <c r="K543" s="24"/>
      <c r="L543" s="4"/>
    </row>
    <row r="544">
      <c r="A544" s="4" t="s">
        <v>924</v>
      </c>
      <c r="B544" s="4">
        <v>1.0</v>
      </c>
      <c r="C544" s="4"/>
      <c r="D544" s="4"/>
      <c r="E544" s="24"/>
      <c r="F544" s="29"/>
      <c r="G544" s="4"/>
      <c r="H544" s="4"/>
      <c r="I544" s="52"/>
      <c r="K544" s="24"/>
      <c r="L544" s="4"/>
    </row>
    <row r="545">
      <c r="A545" s="4" t="s">
        <v>925</v>
      </c>
      <c r="B545" s="4">
        <v>1.0</v>
      </c>
      <c r="C545" s="4"/>
      <c r="D545" s="4"/>
      <c r="E545" s="24"/>
      <c r="F545" s="29"/>
      <c r="G545" s="4"/>
      <c r="H545" s="4"/>
      <c r="I545" s="52"/>
      <c r="K545" s="24"/>
      <c r="L545" s="4"/>
    </row>
    <row r="546">
      <c r="A546" s="4" t="s">
        <v>926</v>
      </c>
      <c r="B546" s="4">
        <v>1.0</v>
      </c>
      <c r="C546" s="4"/>
      <c r="D546" s="4"/>
      <c r="E546" s="24"/>
      <c r="F546" s="29"/>
      <c r="G546" s="4"/>
      <c r="H546" s="4"/>
      <c r="I546" s="52"/>
      <c r="K546" s="24"/>
      <c r="L546" s="4"/>
    </row>
    <row r="547">
      <c r="A547" s="4" t="s">
        <v>927</v>
      </c>
      <c r="B547" s="4">
        <v>1.0</v>
      </c>
      <c r="C547" s="4"/>
      <c r="D547" s="4"/>
      <c r="E547" s="24"/>
      <c r="F547" s="29"/>
      <c r="G547" s="4"/>
      <c r="H547" s="4"/>
      <c r="I547" s="52"/>
      <c r="K547" s="24"/>
      <c r="L547" s="4"/>
    </row>
    <row r="548">
      <c r="A548" s="4" t="s">
        <v>928</v>
      </c>
      <c r="B548" s="4">
        <v>1.0</v>
      </c>
      <c r="C548" s="4"/>
      <c r="D548" s="4"/>
      <c r="E548" s="24"/>
      <c r="F548" s="29"/>
      <c r="G548" s="4"/>
      <c r="H548" s="4"/>
      <c r="I548" s="52"/>
      <c r="K548" s="24"/>
      <c r="L548" s="4"/>
    </row>
    <row r="549">
      <c r="A549" s="4" t="s">
        <v>929</v>
      </c>
      <c r="B549" s="4">
        <v>1.0</v>
      </c>
      <c r="C549" s="4"/>
      <c r="D549" s="4"/>
      <c r="E549" s="24"/>
      <c r="F549" s="29"/>
      <c r="G549" s="4"/>
      <c r="H549" s="4"/>
      <c r="I549" s="52"/>
      <c r="K549" s="24"/>
      <c r="L549" s="4"/>
    </row>
    <row r="550">
      <c r="A550" s="4" t="s">
        <v>930</v>
      </c>
      <c r="B550" s="4">
        <v>1.0</v>
      </c>
      <c r="C550" s="4"/>
      <c r="D550" s="4"/>
      <c r="E550" s="24"/>
      <c r="F550" s="29"/>
      <c r="G550" s="4"/>
      <c r="H550" s="4"/>
      <c r="I550" s="52"/>
      <c r="K550" s="24"/>
      <c r="L550" s="4"/>
    </row>
    <row r="551">
      <c r="A551" s="4" t="s">
        <v>931</v>
      </c>
      <c r="B551" s="4">
        <v>1.0</v>
      </c>
      <c r="C551" s="4"/>
      <c r="D551" s="4"/>
      <c r="E551" s="24"/>
      <c r="F551" s="29"/>
      <c r="G551" s="4"/>
      <c r="H551" s="4"/>
      <c r="I551" s="52"/>
      <c r="K551" s="24"/>
      <c r="L551" s="4"/>
    </row>
    <row r="552">
      <c r="A552" s="4" t="s">
        <v>932</v>
      </c>
      <c r="B552" s="4">
        <v>1.0</v>
      </c>
      <c r="C552" s="4"/>
      <c r="D552" s="4"/>
      <c r="E552" s="52"/>
      <c r="F552" s="62"/>
      <c r="G552" s="4"/>
      <c r="H552" s="4"/>
      <c r="I552" s="52"/>
      <c r="K552" s="24"/>
      <c r="L552" s="4"/>
    </row>
    <row r="553">
      <c r="A553" s="4" t="s">
        <v>933</v>
      </c>
      <c r="B553" s="4">
        <v>1.0</v>
      </c>
      <c r="C553" s="4"/>
      <c r="D553" s="4"/>
      <c r="E553" s="24"/>
      <c r="F553" s="29"/>
      <c r="G553" s="4"/>
      <c r="H553" s="4"/>
      <c r="I553" s="52"/>
      <c r="K553" s="24"/>
      <c r="L553" s="4"/>
    </row>
    <row r="554">
      <c r="A554" s="4" t="s">
        <v>934</v>
      </c>
      <c r="B554" s="4">
        <v>1.0</v>
      </c>
      <c r="C554" s="4"/>
      <c r="D554" s="4"/>
      <c r="E554" s="24"/>
      <c r="F554" s="29"/>
      <c r="G554" s="4"/>
      <c r="H554" s="4"/>
      <c r="I554" s="52"/>
      <c r="K554" s="24"/>
      <c r="L554" s="4"/>
    </row>
    <row r="555">
      <c r="A555" s="4" t="s">
        <v>935</v>
      </c>
      <c r="B555" s="4">
        <v>1.0</v>
      </c>
      <c r="C555" s="4"/>
      <c r="D555" s="4"/>
      <c r="E555" s="24"/>
      <c r="F555" s="29"/>
      <c r="G555" s="4"/>
      <c r="H555" s="4"/>
      <c r="I555" s="52"/>
      <c r="K555" s="24"/>
      <c r="L555" s="4"/>
    </row>
    <row r="556">
      <c r="A556" s="4" t="s">
        <v>936</v>
      </c>
      <c r="B556" s="4">
        <v>1.0</v>
      </c>
      <c r="C556" s="4"/>
      <c r="D556" s="4"/>
      <c r="E556" s="24"/>
      <c r="F556" s="29"/>
      <c r="G556" s="4"/>
      <c r="H556" s="4"/>
      <c r="I556" s="52"/>
      <c r="K556" s="24"/>
      <c r="L556" s="4"/>
    </row>
    <row r="557">
      <c r="A557" s="4" t="s">
        <v>937</v>
      </c>
      <c r="B557" s="4">
        <v>1.0</v>
      </c>
      <c r="C557" s="4"/>
      <c r="D557" s="4"/>
      <c r="E557" s="24"/>
      <c r="F557" s="29"/>
      <c r="G557" s="4"/>
      <c r="H557" s="4"/>
      <c r="I557" s="52"/>
      <c r="K557" s="24"/>
      <c r="L557" s="4"/>
    </row>
    <row r="558">
      <c r="A558" s="4" t="s">
        <v>938</v>
      </c>
      <c r="B558" s="4">
        <v>1.0</v>
      </c>
      <c r="C558" s="4"/>
      <c r="D558" s="4"/>
      <c r="E558" s="24"/>
      <c r="F558" s="29"/>
      <c r="G558" s="4"/>
      <c r="H558" s="4"/>
      <c r="I558" s="52"/>
      <c r="K558" s="24"/>
      <c r="L558" s="4"/>
    </row>
    <row r="559">
      <c r="A559" s="4" t="s">
        <v>939</v>
      </c>
      <c r="B559" s="4">
        <v>1.0</v>
      </c>
      <c r="C559" s="4"/>
      <c r="D559" s="4"/>
      <c r="E559" s="24"/>
      <c r="F559" s="29"/>
      <c r="G559" s="4"/>
      <c r="H559" s="4"/>
      <c r="I559" s="52"/>
      <c r="K559" s="24"/>
      <c r="L559" s="4"/>
    </row>
    <row r="560">
      <c r="A560" s="4" t="s">
        <v>940</v>
      </c>
      <c r="B560" s="4">
        <v>1.0</v>
      </c>
      <c r="C560" s="4"/>
      <c r="D560" s="4"/>
      <c r="E560" s="24"/>
      <c r="F560" s="29"/>
      <c r="G560" s="4"/>
      <c r="H560" s="4"/>
      <c r="I560" s="52"/>
      <c r="K560" s="24"/>
      <c r="L560" s="4"/>
    </row>
    <row r="561">
      <c r="A561" s="4" t="s">
        <v>941</v>
      </c>
      <c r="B561" s="4">
        <v>1.0</v>
      </c>
      <c r="C561" s="4"/>
      <c r="D561" s="4"/>
      <c r="E561" s="24"/>
      <c r="F561" s="29"/>
      <c r="G561" s="4"/>
      <c r="H561" s="4"/>
      <c r="I561" s="52"/>
      <c r="K561" s="24"/>
      <c r="L561" s="4"/>
    </row>
    <row r="562">
      <c r="A562" s="4" t="s">
        <v>942</v>
      </c>
      <c r="B562" s="4">
        <v>1.0</v>
      </c>
      <c r="C562" s="4"/>
      <c r="D562" s="4"/>
      <c r="E562" s="24"/>
      <c r="F562" s="29"/>
      <c r="G562" s="4"/>
      <c r="H562" s="4"/>
      <c r="I562" s="52"/>
      <c r="K562" s="24"/>
      <c r="L562" s="4"/>
    </row>
    <row r="563">
      <c r="A563" s="4" t="s">
        <v>943</v>
      </c>
      <c r="B563" s="4">
        <v>1.0</v>
      </c>
      <c r="C563" s="4"/>
      <c r="D563" s="4"/>
      <c r="E563" s="24"/>
      <c r="F563" s="29"/>
      <c r="G563" s="4"/>
      <c r="H563" s="4"/>
      <c r="I563" s="52"/>
      <c r="K563" s="24"/>
      <c r="L563" s="4"/>
    </row>
    <row r="564">
      <c r="A564" s="4" t="s">
        <v>944</v>
      </c>
      <c r="B564" s="4">
        <v>1.0</v>
      </c>
      <c r="C564" s="4"/>
      <c r="D564" s="4"/>
      <c r="E564" s="24"/>
      <c r="F564" s="29"/>
      <c r="G564" s="4"/>
      <c r="H564" s="4"/>
      <c r="I564" s="52"/>
      <c r="K564" s="24"/>
      <c r="L564" s="4"/>
    </row>
    <row r="565">
      <c r="A565" s="4" t="s">
        <v>945</v>
      </c>
      <c r="B565" s="4">
        <v>1.0</v>
      </c>
      <c r="C565" s="4"/>
      <c r="D565" s="4"/>
      <c r="E565" s="24"/>
      <c r="F565" s="29"/>
      <c r="G565" s="4"/>
      <c r="H565" s="4"/>
      <c r="I565" s="52"/>
      <c r="K565" s="24"/>
      <c r="L565" s="4"/>
    </row>
    <row r="566">
      <c r="A566" s="4" t="s">
        <v>946</v>
      </c>
      <c r="B566" s="4">
        <v>1.0</v>
      </c>
      <c r="C566" s="4"/>
      <c r="D566" s="4"/>
      <c r="E566" s="24"/>
      <c r="F566" s="29"/>
      <c r="G566" s="4"/>
      <c r="H566" s="4"/>
      <c r="I566" s="52"/>
      <c r="K566" s="24"/>
      <c r="L566" s="4"/>
    </row>
    <row r="567">
      <c r="A567" s="4" t="s">
        <v>947</v>
      </c>
      <c r="B567" s="4">
        <v>1.0</v>
      </c>
      <c r="C567" s="4"/>
      <c r="D567" s="4"/>
      <c r="E567" s="24"/>
      <c r="F567" s="29"/>
      <c r="G567" s="4"/>
      <c r="H567" s="4"/>
      <c r="I567" s="52"/>
      <c r="K567" s="24"/>
      <c r="L567" s="4"/>
    </row>
    <row r="568">
      <c r="A568" s="4" t="s">
        <v>948</v>
      </c>
      <c r="B568" s="4">
        <v>1.0</v>
      </c>
      <c r="C568" s="4"/>
      <c r="D568" s="4"/>
      <c r="E568" s="24"/>
      <c r="F568" s="29"/>
      <c r="G568" s="4"/>
      <c r="H568" s="4"/>
      <c r="I568" s="52"/>
      <c r="K568" s="24"/>
      <c r="L568" s="4"/>
    </row>
    <row r="569">
      <c r="A569" s="4" t="s">
        <v>949</v>
      </c>
      <c r="B569" s="4">
        <v>1.0</v>
      </c>
      <c r="C569" s="4"/>
      <c r="D569" s="4"/>
      <c r="E569" s="24"/>
      <c r="F569" s="29"/>
      <c r="G569" s="4"/>
      <c r="H569" s="4"/>
      <c r="I569" s="52"/>
      <c r="K569" s="24"/>
      <c r="L569" s="4"/>
    </row>
    <row r="570">
      <c r="A570" s="4" t="s">
        <v>950</v>
      </c>
      <c r="B570" s="4">
        <v>1.0</v>
      </c>
      <c r="C570" s="4"/>
      <c r="D570" s="4"/>
      <c r="E570" s="24"/>
      <c r="F570" s="29"/>
      <c r="G570" s="4"/>
      <c r="H570" s="4"/>
      <c r="I570" s="52"/>
      <c r="K570" s="24"/>
      <c r="L570" s="4"/>
    </row>
    <row r="571">
      <c r="A571" s="4" t="s">
        <v>951</v>
      </c>
      <c r="B571" s="4">
        <v>1.0</v>
      </c>
      <c r="C571" s="4"/>
      <c r="D571" s="4"/>
      <c r="E571" s="24"/>
      <c r="F571" s="29"/>
      <c r="G571" s="4"/>
      <c r="H571" s="4"/>
      <c r="I571" s="52"/>
      <c r="K571" s="24"/>
      <c r="L571" s="4"/>
    </row>
    <row r="572">
      <c r="A572" s="4" t="s">
        <v>952</v>
      </c>
      <c r="B572" s="4">
        <v>1.0</v>
      </c>
      <c r="C572" s="4"/>
      <c r="D572" s="4"/>
      <c r="E572" s="24"/>
      <c r="F572" s="29"/>
      <c r="G572" s="4"/>
      <c r="H572" s="4"/>
      <c r="I572" s="52"/>
      <c r="K572" s="24"/>
      <c r="L572" s="4"/>
    </row>
    <row r="573">
      <c r="A573" s="4" t="s">
        <v>953</v>
      </c>
      <c r="B573" s="4">
        <v>1.0</v>
      </c>
      <c r="C573" s="4"/>
      <c r="D573" s="4"/>
      <c r="E573" s="24"/>
      <c r="F573" s="29"/>
      <c r="G573" s="4"/>
      <c r="H573" s="4"/>
      <c r="I573" s="52"/>
      <c r="K573" s="24"/>
      <c r="L573" s="4"/>
    </row>
    <row r="574">
      <c r="A574" s="4" t="s">
        <v>954</v>
      </c>
      <c r="B574" s="4">
        <v>1.0</v>
      </c>
      <c r="C574" s="4"/>
      <c r="D574" s="4"/>
      <c r="E574" s="24"/>
      <c r="F574" s="29"/>
      <c r="G574" s="4"/>
      <c r="H574" s="4"/>
      <c r="I574" s="52"/>
      <c r="K574" s="24"/>
      <c r="L574" s="4"/>
    </row>
    <row r="575">
      <c r="A575" s="4" t="s">
        <v>955</v>
      </c>
      <c r="B575" s="4">
        <v>1.0</v>
      </c>
      <c r="C575" s="4"/>
      <c r="D575" s="4"/>
      <c r="E575" s="24"/>
      <c r="F575" s="29"/>
      <c r="G575" s="4"/>
      <c r="H575" s="4"/>
      <c r="I575" s="52"/>
      <c r="K575" s="24"/>
      <c r="L575" s="4"/>
    </row>
    <row r="576">
      <c r="A576" s="4" t="s">
        <v>956</v>
      </c>
      <c r="B576" s="4">
        <v>1.0</v>
      </c>
      <c r="C576" s="4"/>
      <c r="D576" s="4"/>
      <c r="E576" s="24"/>
      <c r="F576" s="29"/>
      <c r="G576" s="4"/>
      <c r="H576" s="4"/>
      <c r="I576" s="52"/>
      <c r="K576" s="24"/>
      <c r="L576" s="4"/>
    </row>
    <row r="577">
      <c r="A577" s="4" t="s">
        <v>957</v>
      </c>
      <c r="B577" s="4">
        <v>1.0</v>
      </c>
      <c r="C577" s="4"/>
      <c r="D577" s="4"/>
      <c r="E577" s="24"/>
      <c r="F577" s="29"/>
      <c r="G577" s="4"/>
      <c r="H577" s="4"/>
      <c r="I577" s="52"/>
      <c r="K577" s="24"/>
      <c r="L577" s="4"/>
    </row>
    <row r="578">
      <c r="A578" s="4" t="s">
        <v>958</v>
      </c>
      <c r="B578" s="4">
        <v>1.0</v>
      </c>
      <c r="C578" s="4"/>
      <c r="D578" s="4"/>
      <c r="E578" s="24"/>
      <c r="F578" s="29"/>
      <c r="G578" s="4"/>
      <c r="H578" s="4"/>
      <c r="I578" s="52"/>
      <c r="K578" s="24"/>
      <c r="L578" s="4"/>
    </row>
    <row r="579">
      <c r="A579" s="4" t="s">
        <v>959</v>
      </c>
      <c r="B579" s="4">
        <v>1.0</v>
      </c>
      <c r="C579" s="4"/>
      <c r="D579" s="4"/>
      <c r="E579" s="24"/>
      <c r="F579" s="29"/>
      <c r="G579" s="4"/>
      <c r="H579" s="4"/>
      <c r="I579" s="52"/>
      <c r="K579" s="24"/>
      <c r="L579" s="4"/>
    </row>
    <row r="580">
      <c r="A580" s="4" t="s">
        <v>960</v>
      </c>
      <c r="B580" s="4">
        <v>1.0</v>
      </c>
      <c r="C580" s="4"/>
      <c r="D580" s="4"/>
      <c r="E580" s="24"/>
      <c r="F580" s="29"/>
      <c r="G580" s="4"/>
      <c r="H580" s="4"/>
      <c r="I580" s="52"/>
      <c r="K580" s="24"/>
      <c r="L580" s="4"/>
    </row>
    <row r="581">
      <c r="A581" s="4" t="s">
        <v>961</v>
      </c>
      <c r="B581" s="4">
        <v>1.0</v>
      </c>
      <c r="C581" s="4"/>
      <c r="D581" s="4"/>
      <c r="E581" s="24"/>
      <c r="F581" s="29"/>
      <c r="G581" s="4"/>
      <c r="H581" s="4"/>
      <c r="I581" s="52"/>
      <c r="K581" s="24"/>
      <c r="L581" s="4"/>
    </row>
    <row r="582">
      <c r="A582" s="4" t="s">
        <v>962</v>
      </c>
      <c r="B582" s="4">
        <v>1.0</v>
      </c>
      <c r="C582" s="4"/>
      <c r="D582" s="4"/>
      <c r="E582" s="24"/>
      <c r="F582" s="29"/>
      <c r="G582" s="4"/>
      <c r="H582" s="4"/>
      <c r="I582" s="52"/>
      <c r="K582" s="24"/>
      <c r="L582" s="4"/>
    </row>
    <row r="583">
      <c r="A583" s="4" t="s">
        <v>963</v>
      </c>
      <c r="B583" s="4">
        <v>1.0</v>
      </c>
      <c r="C583" s="4"/>
      <c r="D583" s="4"/>
      <c r="E583" s="24"/>
      <c r="F583" s="29"/>
      <c r="G583" s="4"/>
      <c r="H583" s="4"/>
      <c r="I583" s="52"/>
      <c r="K583" s="24"/>
      <c r="L583" s="4"/>
    </row>
    <row r="584">
      <c r="A584" s="4" t="s">
        <v>964</v>
      </c>
      <c r="B584" s="4">
        <v>1.0</v>
      </c>
      <c r="C584" s="4"/>
      <c r="D584" s="4"/>
      <c r="E584" s="24"/>
      <c r="F584" s="29"/>
      <c r="G584" s="4"/>
      <c r="H584" s="4"/>
      <c r="I584" s="52"/>
      <c r="K584" s="24"/>
      <c r="L584" s="4"/>
    </row>
    <row r="585">
      <c r="A585" s="4" t="s">
        <v>965</v>
      </c>
      <c r="B585" s="4">
        <v>1.0</v>
      </c>
      <c r="C585" s="4"/>
      <c r="D585" s="4"/>
      <c r="E585" s="24"/>
      <c r="F585" s="29"/>
      <c r="G585" s="4"/>
      <c r="H585" s="4"/>
      <c r="I585" s="52"/>
      <c r="K585" s="24"/>
      <c r="L585" s="4"/>
    </row>
    <row r="586">
      <c r="A586" s="4" t="s">
        <v>966</v>
      </c>
      <c r="B586" s="4">
        <v>1.0</v>
      </c>
      <c r="C586" s="4"/>
      <c r="D586" s="4"/>
      <c r="E586" s="24"/>
      <c r="F586" s="29"/>
      <c r="G586" s="4"/>
      <c r="H586" s="4"/>
      <c r="I586" s="52"/>
      <c r="K586" s="24"/>
      <c r="L586" s="4"/>
    </row>
    <row r="587">
      <c r="A587" s="4" t="s">
        <v>967</v>
      </c>
      <c r="B587" s="4">
        <v>1.0</v>
      </c>
      <c r="C587" s="4"/>
      <c r="D587" s="4"/>
      <c r="E587" s="24"/>
      <c r="F587" s="29"/>
      <c r="G587" s="4"/>
      <c r="H587" s="4"/>
      <c r="I587" s="52"/>
      <c r="K587" s="24"/>
      <c r="L587" s="4"/>
    </row>
    <row r="588">
      <c r="A588" s="4" t="s">
        <v>968</v>
      </c>
      <c r="B588" s="4">
        <v>1.0</v>
      </c>
      <c r="C588" s="4"/>
      <c r="D588" s="4"/>
      <c r="E588" s="24"/>
      <c r="F588" s="29"/>
      <c r="G588" s="4"/>
      <c r="H588" s="4"/>
      <c r="I588" s="52"/>
      <c r="K588" s="24"/>
      <c r="L588" s="4"/>
    </row>
    <row r="589">
      <c r="A589" s="4" t="s">
        <v>969</v>
      </c>
      <c r="B589" s="4">
        <v>1.0</v>
      </c>
      <c r="C589" s="4"/>
      <c r="D589" s="4"/>
      <c r="E589" s="24"/>
      <c r="F589" s="29"/>
      <c r="G589" s="4"/>
      <c r="H589" s="4"/>
      <c r="I589" s="52"/>
      <c r="K589" s="24"/>
      <c r="L589" s="4"/>
    </row>
    <row r="590">
      <c r="A590" s="4" t="s">
        <v>970</v>
      </c>
      <c r="B590" s="4">
        <v>1.0</v>
      </c>
      <c r="C590" s="4"/>
      <c r="D590" s="4"/>
      <c r="E590" s="24"/>
      <c r="F590" s="29"/>
      <c r="G590" s="4"/>
      <c r="H590" s="4"/>
      <c r="I590" s="52"/>
      <c r="K590" s="24"/>
      <c r="L590" s="4"/>
    </row>
    <row r="591">
      <c r="A591" s="4" t="s">
        <v>971</v>
      </c>
      <c r="B591" s="4">
        <v>1.0</v>
      </c>
      <c r="C591" s="4"/>
      <c r="D591" s="4"/>
      <c r="E591" s="24"/>
      <c r="F591" s="29"/>
      <c r="G591" s="4"/>
      <c r="H591" s="4"/>
      <c r="I591" s="52"/>
      <c r="K591" s="24"/>
      <c r="L591" s="4"/>
    </row>
    <row r="592">
      <c r="A592" s="4" t="s">
        <v>972</v>
      </c>
      <c r="B592" s="4">
        <v>1.0</v>
      </c>
      <c r="C592" s="4"/>
      <c r="D592" s="4"/>
      <c r="E592" s="24"/>
      <c r="F592" s="29"/>
      <c r="G592" s="4"/>
      <c r="H592" s="4"/>
      <c r="I592" s="52"/>
      <c r="K592" s="24"/>
      <c r="L592" s="4"/>
    </row>
    <row r="593">
      <c r="A593" s="4" t="s">
        <v>973</v>
      </c>
      <c r="B593" s="4">
        <v>1.0</v>
      </c>
      <c r="C593" s="4"/>
      <c r="D593" s="4"/>
      <c r="E593" s="24"/>
      <c r="F593" s="29"/>
      <c r="G593" s="4"/>
      <c r="H593" s="4"/>
      <c r="I593" s="52"/>
      <c r="K593" s="24"/>
      <c r="L593" s="4"/>
    </row>
    <row r="594">
      <c r="A594" s="4" t="s">
        <v>974</v>
      </c>
      <c r="B594" s="4">
        <v>1.0</v>
      </c>
      <c r="C594" s="4"/>
      <c r="D594" s="4"/>
      <c r="E594" s="24"/>
      <c r="F594" s="29"/>
      <c r="G594" s="4"/>
      <c r="H594" s="4"/>
      <c r="I594" s="52"/>
      <c r="K594" s="24"/>
      <c r="L594" s="4"/>
    </row>
    <row r="595">
      <c r="A595" s="4" t="s">
        <v>975</v>
      </c>
      <c r="B595" s="4">
        <v>1.0</v>
      </c>
      <c r="C595" s="4"/>
      <c r="D595" s="4"/>
      <c r="E595" s="24"/>
      <c r="F595" s="29"/>
      <c r="G595" s="4"/>
      <c r="H595" s="4"/>
      <c r="I595" s="52"/>
      <c r="K595" s="24"/>
      <c r="L595" s="4"/>
    </row>
    <row r="596">
      <c r="A596" s="4" t="s">
        <v>976</v>
      </c>
      <c r="B596" s="4">
        <v>1.0</v>
      </c>
      <c r="C596" s="4"/>
      <c r="D596" s="4"/>
      <c r="E596" s="24"/>
      <c r="F596" s="29"/>
      <c r="G596" s="4"/>
      <c r="H596" s="4"/>
      <c r="I596" s="52"/>
      <c r="K596" s="24"/>
      <c r="L596" s="4"/>
    </row>
    <row r="597">
      <c r="A597" s="4" t="s">
        <v>977</v>
      </c>
      <c r="B597" s="4">
        <v>1.0</v>
      </c>
      <c r="C597" s="4"/>
      <c r="D597" s="4"/>
      <c r="E597" s="24"/>
      <c r="F597" s="29"/>
      <c r="G597" s="4"/>
      <c r="H597" s="4"/>
      <c r="I597" s="52"/>
      <c r="K597" s="24"/>
      <c r="L597" s="4"/>
    </row>
    <row r="598">
      <c r="A598" s="4" t="s">
        <v>978</v>
      </c>
      <c r="B598" s="4">
        <v>1.0</v>
      </c>
      <c r="C598" s="4"/>
      <c r="D598" s="4"/>
      <c r="E598" s="24"/>
      <c r="F598" s="29"/>
      <c r="G598" s="4"/>
      <c r="H598" s="4"/>
      <c r="I598" s="52"/>
      <c r="K598" s="24"/>
      <c r="L598" s="4"/>
    </row>
    <row r="599">
      <c r="A599" s="4" t="s">
        <v>979</v>
      </c>
      <c r="B599" s="4">
        <v>1.0</v>
      </c>
      <c r="C599" s="4"/>
      <c r="D599" s="4"/>
      <c r="E599" s="24"/>
      <c r="F599" s="29"/>
      <c r="G599" s="4"/>
      <c r="H599" s="4"/>
      <c r="I599" s="52"/>
      <c r="K599" s="24"/>
      <c r="L599" s="4"/>
    </row>
    <row r="600">
      <c r="A600" s="4" t="s">
        <v>980</v>
      </c>
      <c r="B600" s="4">
        <v>1.0</v>
      </c>
      <c r="C600" s="4"/>
      <c r="D600" s="4"/>
      <c r="E600" s="24"/>
      <c r="F600" s="29"/>
      <c r="G600" s="4"/>
      <c r="H600" s="4"/>
      <c r="I600" s="52"/>
      <c r="K600" s="24"/>
      <c r="L600" s="4"/>
    </row>
    <row r="601">
      <c r="A601" s="4" t="s">
        <v>981</v>
      </c>
      <c r="B601" s="4">
        <v>1.0</v>
      </c>
      <c r="C601" s="4"/>
      <c r="D601" s="4"/>
      <c r="E601" s="24"/>
      <c r="F601" s="29"/>
      <c r="G601" s="4"/>
      <c r="H601" s="4"/>
      <c r="I601" s="52"/>
      <c r="K601" s="24"/>
      <c r="L601" s="4"/>
    </row>
    <row r="602">
      <c r="A602" s="4" t="s">
        <v>982</v>
      </c>
      <c r="B602" s="4">
        <v>1.0</v>
      </c>
      <c r="C602" s="4"/>
      <c r="D602" s="4"/>
      <c r="E602" s="24"/>
      <c r="F602" s="29"/>
      <c r="G602" s="4"/>
      <c r="H602" s="4"/>
      <c r="I602" s="52"/>
      <c r="K602" s="24"/>
      <c r="L602" s="4"/>
    </row>
    <row r="603">
      <c r="A603" s="4" t="s">
        <v>983</v>
      </c>
      <c r="B603" s="4">
        <v>1.0</v>
      </c>
      <c r="C603" s="4"/>
      <c r="D603" s="4"/>
      <c r="E603" s="24"/>
      <c r="F603" s="29"/>
      <c r="G603" s="4"/>
      <c r="H603" s="4"/>
      <c r="I603" s="52"/>
      <c r="K603" s="24"/>
      <c r="L603" s="4"/>
    </row>
    <row r="604">
      <c r="A604" s="4" t="s">
        <v>984</v>
      </c>
      <c r="B604" s="4">
        <v>1.0</v>
      </c>
      <c r="C604" s="4"/>
      <c r="D604" s="4"/>
      <c r="E604" s="24"/>
      <c r="F604" s="29"/>
      <c r="G604" s="4"/>
      <c r="H604" s="4"/>
      <c r="I604" s="52"/>
      <c r="K604" s="24"/>
      <c r="L604" s="4"/>
    </row>
    <row r="605">
      <c r="A605" s="4" t="s">
        <v>985</v>
      </c>
      <c r="B605" s="4">
        <v>1.0</v>
      </c>
      <c r="C605" s="4"/>
      <c r="D605" s="4"/>
      <c r="E605" s="24"/>
      <c r="F605" s="29"/>
      <c r="G605" s="4"/>
      <c r="H605" s="4"/>
      <c r="I605" s="52"/>
      <c r="K605" s="24"/>
      <c r="L605" s="4"/>
    </row>
    <row r="606">
      <c r="A606" s="4" t="s">
        <v>986</v>
      </c>
      <c r="B606" s="4">
        <v>1.0</v>
      </c>
      <c r="C606" s="4"/>
      <c r="D606" s="4"/>
      <c r="E606" s="24"/>
      <c r="F606" s="29"/>
      <c r="G606" s="4"/>
      <c r="H606" s="4"/>
      <c r="I606" s="52"/>
      <c r="K606" s="24"/>
      <c r="L606" s="4"/>
    </row>
    <row r="607">
      <c r="A607" s="4" t="s">
        <v>987</v>
      </c>
      <c r="B607" s="4">
        <v>1.0</v>
      </c>
      <c r="C607" s="4"/>
      <c r="D607" s="4"/>
      <c r="E607" s="24"/>
      <c r="F607" s="29"/>
      <c r="G607" s="4"/>
      <c r="H607" s="4"/>
      <c r="I607" s="52"/>
      <c r="K607" s="24"/>
      <c r="L607" s="4"/>
    </row>
    <row r="608">
      <c r="A608" s="4" t="s">
        <v>988</v>
      </c>
      <c r="B608" s="4">
        <v>1.0</v>
      </c>
      <c r="C608" s="4"/>
      <c r="D608" s="4"/>
      <c r="E608" s="24"/>
      <c r="F608" s="29"/>
      <c r="G608" s="4"/>
      <c r="H608" s="4"/>
      <c r="I608" s="52"/>
      <c r="K608" s="24"/>
      <c r="L608" s="4"/>
    </row>
    <row r="609">
      <c r="A609" s="4" t="s">
        <v>989</v>
      </c>
      <c r="B609" s="4">
        <v>1.0</v>
      </c>
      <c r="C609" s="4"/>
      <c r="D609" s="4"/>
      <c r="E609" s="24"/>
      <c r="F609" s="29"/>
      <c r="G609" s="4"/>
      <c r="H609" s="4"/>
      <c r="I609" s="52"/>
      <c r="K609" s="24"/>
      <c r="L609" s="4"/>
    </row>
    <row r="610">
      <c r="A610" s="4" t="s">
        <v>990</v>
      </c>
      <c r="B610" s="4">
        <v>1.0</v>
      </c>
      <c r="C610" s="4"/>
      <c r="D610" s="4"/>
      <c r="E610" s="24"/>
      <c r="F610" s="29"/>
      <c r="G610" s="4"/>
      <c r="H610" s="4"/>
      <c r="I610" s="52"/>
      <c r="K610" s="24"/>
      <c r="L610" s="4"/>
    </row>
    <row r="611">
      <c r="A611" s="4" t="s">
        <v>991</v>
      </c>
      <c r="B611" s="4">
        <v>1.0</v>
      </c>
      <c r="C611" s="4"/>
      <c r="D611" s="4"/>
      <c r="E611" s="24"/>
      <c r="F611" s="29"/>
      <c r="G611" s="4"/>
      <c r="H611" s="4"/>
      <c r="I611" s="52"/>
      <c r="K611" s="24"/>
      <c r="L611" s="4"/>
    </row>
    <row r="612">
      <c r="A612" s="4" t="s">
        <v>992</v>
      </c>
      <c r="B612" s="4">
        <v>1.0</v>
      </c>
      <c r="C612" s="4"/>
      <c r="D612" s="4"/>
      <c r="E612" s="24"/>
      <c r="F612" s="29"/>
      <c r="G612" s="4"/>
      <c r="H612" s="4"/>
      <c r="I612" s="52"/>
      <c r="K612" s="24"/>
      <c r="L612" s="4"/>
    </row>
    <row r="613">
      <c r="A613" s="4" t="s">
        <v>993</v>
      </c>
      <c r="B613" s="4">
        <v>1.0</v>
      </c>
      <c r="C613" s="4"/>
      <c r="D613" s="4"/>
      <c r="E613" s="24"/>
      <c r="F613" s="29"/>
      <c r="G613" s="4"/>
      <c r="H613" s="4"/>
      <c r="I613" s="52"/>
      <c r="K613" s="24"/>
      <c r="L613" s="4"/>
    </row>
    <row r="614">
      <c r="A614" s="4" t="s">
        <v>994</v>
      </c>
      <c r="B614" s="4">
        <v>1.0</v>
      </c>
      <c r="C614" s="4"/>
      <c r="D614" s="4"/>
      <c r="E614" s="24"/>
      <c r="F614" s="29"/>
      <c r="G614" s="4"/>
      <c r="H614" s="4"/>
      <c r="I614" s="52"/>
      <c r="K614" s="24"/>
      <c r="L614" s="4"/>
    </row>
    <row r="615">
      <c r="A615" s="4" t="s">
        <v>995</v>
      </c>
      <c r="B615" s="4">
        <v>1.0</v>
      </c>
      <c r="C615" s="4"/>
      <c r="D615" s="4"/>
      <c r="E615" s="24"/>
      <c r="F615" s="29"/>
      <c r="G615" s="4"/>
      <c r="H615" s="4"/>
      <c r="I615" s="52"/>
      <c r="K615" s="24"/>
      <c r="L615" s="4"/>
    </row>
    <row r="616">
      <c r="A616" s="4" t="s">
        <v>996</v>
      </c>
      <c r="B616" s="4">
        <v>1.0</v>
      </c>
      <c r="C616" s="4"/>
      <c r="D616" s="4"/>
      <c r="E616" s="24"/>
      <c r="F616" s="29"/>
      <c r="G616" s="4"/>
      <c r="H616" s="4"/>
      <c r="I616" s="52"/>
      <c r="K616" s="24"/>
      <c r="L616" s="4"/>
    </row>
    <row r="617">
      <c r="A617" s="4" t="s">
        <v>997</v>
      </c>
      <c r="B617" s="4">
        <v>1.0</v>
      </c>
      <c r="C617" s="4"/>
      <c r="D617" s="4"/>
      <c r="E617" s="24"/>
      <c r="F617" s="29"/>
      <c r="G617" s="4"/>
      <c r="H617" s="4"/>
      <c r="I617" s="52"/>
      <c r="K617" s="24"/>
      <c r="L617" s="4"/>
    </row>
    <row r="618">
      <c r="A618" s="4" t="s">
        <v>998</v>
      </c>
      <c r="B618" s="4">
        <v>1.0</v>
      </c>
      <c r="C618" s="4"/>
      <c r="D618" s="4"/>
      <c r="E618" s="24"/>
      <c r="F618" s="29"/>
      <c r="G618" s="4"/>
      <c r="H618" s="4"/>
      <c r="I618" s="52"/>
      <c r="K618" s="24"/>
      <c r="L618" s="4"/>
    </row>
    <row r="619">
      <c r="A619" s="4" t="s">
        <v>999</v>
      </c>
      <c r="B619" s="4">
        <v>1.0</v>
      </c>
      <c r="C619" s="4"/>
      <c r="D619" s="4"/>
      <c r="E619" s="24"/>
      <c r="F619" s="29"/>
      <c r="G619" s="4"/>
      <c r="H619" s="4"/>
      <c r="I619" s="52"/>
      <c r="K619" s="24"/>
      <c r="L619" s="4"/>
    </row>
    <row r="620">
      <c r="A620" s="4" t="s">
        <v>1000</v>
      </c>
      <c r="B620" s="4">
        <v>1.0</v>
      </c>
      <c r="C620" s="4"/>
      <c r="D620" s="4"/>
      <c r="E620" s="24"/>
      <c r="F620" s="29"/>
      <c r="G620" s="4"/>
      <c r="H620" s="4"/>
      <c r="I620" s="52"/>
      <c r="K620" s="24"/>
      <c r="L620" s="4"/>
    </row>
    <row r="621">
      <c r="A621" s="4" t="s">
        <v>1001</v>
      </c>
      <c r="B621" s="4">
        <v>1.0</v>
      </c>
      <c r="C621" s="4"/>
      <c r="D621" s="4"/>
      <c r="E621" s="24"/>
      <c r="F621" s="29"/>
      <c r="G621" s="4"/>
      <c r="H621" s="4"/>
      <c r="I621" s="52"/>
      <c r="K621" s="24"/>
      <c r="L621" s="4"/>
    </row>
    <row r="622">
      <c r="A622" s="4" t="s">
        <v>1002</v>
      </c>
      <c r="B622" s="4">
        <v>1.0</v>
      </c>
      <c r="C622" s="4"/>
      <c r="D622" s="4"/>
      <c r="E622" s="24"/>
      <c r="F622" s="29"/>
      <c r="G622" s="4"/>
      <c r="H622" s="4"/>
      <c r="I622" s="52"/>
      <c r="K622" s="24"/>
      <c r="L622" s="4"/>
    </row>
    <row r="623">
      <c r="A623" s="4" t="s">
        <v>1003</v>
      </c>
      <c r="B623" s="4">
        <v>1.0</v>
      </c>
      <c r="C623" s="4"/>
      <c r="D623" s="4"/>
      <c r="E623" s="24"/>
      <c r="F623" s="29"/>
      <c r="G623" s="4"/>
      <c r="H623" s="4"/>
      <c r="I623" s="52"/>
      <c r="K623" s="24"/>
      <c r="L623" s="4"/>
    </row>
    <row r="624">
      <c r="A624" s="4" t="s">
        <v>1004</v>
      </c>
      <c r="B624" s="4">
        <v>1.0</v>
      </c>
      <c r="C624" s="4"/>
      <c r="D624" s="4"/>
      <c r="E624" s="24"/>
      <c r="F624" s="29"/>
      <c r="G624" s="4"/>
      <c r="H624" s="4"/>
      <c r="I624" s="52"/>
      <c r="K624" s="24"/>
      <c r="L624" s="4"/>
    </row>
    <row r="625">
      <c r="A625" s="4" t="s">
        <v>1005</v>
      </c>
      <c r="B625" s="4">
        <v>1.0</v>
      </c>
      <c r="C625" s="4"/>
      <c r="D625" s="4"/>
      <c r="E625" s="24"/>
      <c r="F625" s="29"/>
      <c r="G625" s="4"/>
      <c r="H625" s="4"/>
      <c r="I625" s="52"/>
      <c r="K625" s="24"/>
      <c r="L625" s="4"/>
    </row>
    <row r="626">
      <c r="A626" s="4" t="s">
        <v>1006</v>
      </c>
      <c r="B626" s="4">
        <v>1.0</v>
      </c>
      <c r="C626" s="4"/>
      <c r="D626" s="4"/>
      <c r="E626" s="24"/>
      <c r="F626" s="29"/>
      <c r="G626" s="4"/>
      <c r="H626" s="4"/>
      <c r="I626" s="52"/>
      <c r="K626" s="24"/>
      <c r="L626" s="4"/>
    </row>
    <row r="627">
      <c r="A627" s="4" t="s">
        <v>1007</v>
      </c>
      <c r="B627" s="4">
        <v>1.0</v>
      </c>
      <c r="C627" s="4"/>
      <c r="D627" s="4"/>
      <c r="E627" s="24"/>
      <c r="F627" s="29"/>
      <c r="G627" s="4"/>
      <c r="H627" s="4"/>
      <c r="I627" s="52"/>
      <c r="K627" s="24"/>
      <c r="L627" s="4"/>
    </row>
    <row r="628">
      <c r="A628" s="4" t="s">
        <v>1008</v>
      </c>
      <c r="B628" s="4">
        <v>1.0</v>
      </c>
      <c r="C628" s="4"/>
      <c r="D628" s="4"/>
      <c r="E628" s="24"/>
      <c r="F628" s="29"/>
      <c r="G628" s="4"/>
      <c r="H628" s="4"/>
      <c r="I628" s="52"/>
      <c r="K628" s="24"/>
      <c r="L628" s="4"/>
    </row>
    <row r="629">
      <c r="A629" s="4" t="s">
        <v>1009</v>
      </c>
      <c r="B629" s="4">
        <v>1.0</v>
      </c>
      <c r="C629" s="4"/>
      <c r="D629" s="4"/>
      <c r="E629" s="24"/>
      <c r="F629" s="29"/>
      <c r="G629" s="4"/>
      <c r="H629" s="4"/>
      <c r="I629" s="52"/>
      <c r="K629" s="24"/>
      <c r="L629" s="4"/>
    </row>
    <row r="630">
      <c r="A630" s="4" t="s">
        <v>1010</v>
      </c>
      <c r="B630" s="4">
        <v>1.0</v>
      </c>
      <c r="C630" s="4"/>
      <c r="D630" s="4"/>
      <c r="E630" s="24"/>
      <c r="F630" s="29"/>
      <c r="G630" s="4"/>
      <c r="H630" s="4"/>
      <c r="I630" s="52"/>
      <c r="K630" s="24"/>
      <c r="L630" s="4"/>
    </row>
    <row r="631">
      <c r="A631" s="4" t="s">
        <v>1011</v>
      </c>
      <c r="B631" s="4">
        <v>1.0</v>
      </c>
      <c r="C631" s="4"/>
      <c r="D631" s="4"/>
      <c r="E631" s="24"/>
      <c r="F631" s="29"/>
      <c r="G631" s="4"/>
      <c r="H631" s="4"/>
      <c r="I631" s="52"/>
      <c r="K631" s="24"/>
      <c r="L631" s="4"/>
    </row>
    <row r="632">
      <c r="A632" s="4" t="s">
        <v>1012</v>
      </c>
      <c r="B632" s="4">
        <v>1.0</v>
      </c>
      <c r="C632" s="4"/>
      <c r="D632" s="4"/>
      <c r="E632" s="24"/>
      <c r="F632" s="29"/>
      <c r="G632" s="4"/>
      <c r="H632" s="4"/>
      <c r="I632" s="52"/>
      <c r="K632" s="24"/>
      <c r="L632" s="4"/>
    </row>
    <row r="633">
      <c r="A633" s="4" t="s">
        <v>1013</v>
      </c>
      <c r="B633" s="4">
        <v>1.0</v>
      </c>
      <c r="C633" s="4"/>
      <c r="D633" s="4"/>
      <c r="E633" s="24"/>
      <c r="F633" s="29"/>
      <c r="G633" s="4"/>
      <c r="H633" s="4"/>
      <c r="I633" s="52"/>
      <c r="K633" s="24"/>
      <c r="L633" s="4"/>
    </row>
    <row r="634">
      <c r="A634" s="4" t="s">
        <v>1014</v>
      </c>
      <c r="B634" s="4">
        <v>1.0</v>
      </c>
      <c r="C634" s="4"/>
      <c r="D634" s="4"/>
      <c r="E634" s="24"/>
      <c r="F634" s="29"/>
      <c r="G634" s="4"/>
      <c r="H634" s="4"/>
      <c r="I634" s="52"/>
      <c r="K634" s="24"/>
      <c r="L634" s="4"/>
    </row>
    <row r="635">
      <c r="A635" s="4" t="s">
        <v>1015</v>
      </c>
      <c r="B635" s="4">
        <v>1.0</v>
      </c>
      <c r="C635" s="4"/>
      <c r="D635" s="4"/>
      <c r="E635" s="24"/>
      <c r="F635" s="29"/>
      <c r="G635" s="4"/>
      <c r="H635" s="4"/>
      <c r="I635" s="52"/>
      <c r="K635" s="24"/>
      <c r="L635" s="4"/>
    </row>
    <row r="636">
      <c r="A636" s="4" t="s">
        <v>1016</v>
      </c>
      <c r="B636" s="4">
        <v>1.0</v>
      </c>
      <c r="C636" s="4"/>
      <c r="D636" s="4"/>
      <c r="E636" s="24"/>
      <c r="F636" s="29"/>
      <c r="G636" s="4"/>
      <c r="H636" s="4"/>
      <c r="I636" s="52"/>
      <c r="K636" s="24"/>
      <c r="L636" s="4"/>
    </row>
    <row r="637">
      <c r="A637" s="4" t="s">
        <v>1017</v>
      </c>
      <c r="B637" s="4">
        <v>1.0</v>
      </c>
      <c r="C637" s="4"/>
      <c r="D637" s="4"/>
      <c r="E637" s="24"/>
      <c r="F637" s="29"/>
      <c r="G637" s="4"/>
      <c r="H637" s="4"/>
      <c r="I637" s="52"/>
      <c r="K637" s="24"/>
      <c r="L637" s="4"/>
    </row>
    <row r="638">
      <c r="A638" s="4" t="s">
        <v>1018</v>
      </c>
      <c r="B638" s="4">
        <v>1.0</v>
      </c>
      <c r="C638" s="4"/>
      <c r="D638" s="4"/>
      <c r="E638" s="24"/>
      <c r="F638" s="29"/>
      <c r="G638" s="4"/>
      <c r="H638" s="4"/>
      <c r="I638" s="52"/>
      <c r="K638" s="24"/>
      <c r="L638" s="4"/>
    </row>
    <row r="639">
      <c r="A639" s="4" t="s">
        <v>1019</v>
      </c>
      <c r="B639" s="4">
        <v>1.0</v>
      </c>
      <c r="C639" s="4"/>
      <c r="D639" s="4"/>
      <c r="E639" s="24"/>
      <c r="F639" s="29"/>
      <c r="G639" s="4"/>
      <c r="H639" s="4"/>
      <c r="I639" s="52"/>
      <c r="K639" s="24"/>
      <c r="L639" s="4"/>
    </row>
    <row r="640">
      <c r="A640" s="4" t="s">
        <v>1020</v>
      </c>
      <c r="B640" s="4">
        <v>1.0</v>
      </c>
      <c r="C640" s="4"/>
      <c r="D640" s="4"/>
      <c r="E640" s="24"/>
      <c r="F640" s="29"/>
      <c r="G640" s="4"/>
      <c r="H640" s="4"/>
      <c r="I640" s="52"/>
      <c r="K640" s="24"/>
      <c r="L640" s="4"/>
    </row>
    <row r="641">
      <c r="A641" s="4" t="s">
        <v>1021</v>
      </c>
      <c r="B641" s="4">
        <v>1.0</v>
      </c>
      <c r="C641" s="4"/>
      <c r="D641" s="4"/>
      <c r="E641" s="24"/>
      <c r="F641" s="29"/>
      <c r="G641" s="4"/>
      <c r="H641" s="4"/>
      <c r="I641" s="52"/>
      <c r="K641" s="24"/>
      <c r="L641" s="4"/>
    </row>
    <row r="642">
      <c r="A642" s="4" t="s">
        <v>1022</v>
      </c>
      <c r="B642" s="4">
        <v>1.0</v>
      </c>
      <c r="C642" s="4"/>
      <c r="D642" s="4"/>
      <c r="E642" s="24"/>
      <c r="F642" s="29"/>
      <c r="G642" s="4"/>
      <c r="H642" s="4"/>
      <c r="I642" s="52"/>
      <c r="K642" s="24"/>
      <c r="L642" s="4"/>
    </row>
    <row r="643">
      <c r="A643" s="4" t="s">
        <v>1023</v>
      </c>
      <c r="B643" s="4">
        <v>1.0</v>
      </c>
      <c r="C643" s="4"/>
      <c r="D643" s="4"/>
      <c r="E643" s="24"/>
      <c r="F643" s="29"/>
      <c r="G643" s="4"/>
      <c r="H643" s="4"/>
      <c r="I643" s="52"/>
      <c r="K643" s="24"/>
      <c r="L643" s="4"/>
    </row>
    <row r="644">
      <c r="A644" s="4" t="s">
        <v>1024</v>
      </c>
      <c r="B644" s="4">
        <v>1.0</v>
      </c>
      <c r="C644" s="4"/>
      <c r="D644" s="4"/>
      <c r="E644" s="24"/>
      <c r="F644" s="29"/>
      <c r="G644" s="4"/>
      <c r="H644" s="4"/>
      <c r="I644" s="52"/>
      <c r="K644" s="24"/>
      <c r="L644" s="4"/>
    </row>
    <row r="645">
      <c r="A645" s="4" t="s">
        <v>1025</v>
      </c>
      <c r="B645" s="4">
        <v>1.0</v>
      </c>
      <c r="C645" s="4"/>
      <c r="D645" s="4"/>
      <c r="E645" s="24"/>
      <c r="F645" s="29"/>
      <c r="G645" s="4"/>
      <c r="H645" s="4"/>
      <c r="I645" s="52"/>
      <c r="K645" s="24"/>
      <c r="L645" s="4"/>
    </row>
    <row r="646">
      <c r="A646" s="4" t="s">
        <v>1026</v>
      </c>
      <c r="B646" s="4">
        <v>1.0</v>
      </c>
      <c r="C646" s="4"/>
      <c r="D646" s="4"/>
      <c r="E646" s="24"/>
      <c r="F646" s="29"/>
      <c r="G646" s="4"/>
      <c r="H646" s="4"/>
      <c r="I646" s="52"/>
      <c r="K646" s="24"/>
      <c r="L646" s="4"/>
    </row>
    <row r="647">
      <c r="A647" s="4" t="s">
        <v>1027</v>
      </c>
      <c r="B647" s="4">
        <v>1.0</v>
      </c>
      <c r="C647" s="4"/>
      <c r="D647" s="4"/>
      <c r="E647" s="24"/>
      <c r="F647" s="29"/>
      <c r="G647" s="4"/>
      <c r="H647" s="4"/>
      <c r="I647" s="52"/>
      <c r="K647" s="24"/>
      <c r="L647" s="4"/>
    </row>
    <row r="648">
      <c r="A648" s="4" t="s">
        <v>1028</v>
      </c>
      <c r="B648" s="4">
        <v>1.0</v>
      </c>
      <c r="C648" s="4"/>
      <c r="D648" s="4"/>
      <c r="E648" s="24"/>
      <c r="F648" s="29"/>
      <c r="G648" s="4"/>
      <c r="H648" s="4"/>
      <c r="I648" s="52"/>
      <c r="K648" s="24"/>
      <c r="L648" s="4"/>
    </row>
    <row r="649">
      <c r="A649" s="4" t="s">
        <v>1029</v>
      </c>
      <c r="B649" s="4">
        <v>1.0</v>
      </c>
      <c r="C649" s="4"/>
      <c r="D649" s="4"/>
      <c r="E649" s="24"/>
      <c r="F649" s="29"/>
      <c r="G649" s="4"/>
      <c r="H649" s="4"/>
      <c r="I649" s="52"/>
      <c r="K649" s="24"/>
      <c r="L649" s="4"/>
    </row>
    <row r="650">
      <c r="A650" s="4" t="s">
        <v>1030</v>
      </c>
      <c r="B650" s="4">
        <v>1.0</v>
      </c>
      <c r="C650" s="4"/>
      <c r="D650" s="4"/>
      <c r="E650" s="24"/>
      <c r="F650" s="29"/>
      <c r="G650" s="4"/>
      <c r="H650" s="4"/>
      <c r="I650" s="52"/>
      <c r="K650" s="24"/>
      <c r="L650" s="4"/>
    </row>
    <row r="651">
      <c r="A651" s="4" t="s">
        <v>1031</v>
      </c>
      <c r="B651" s="4">
        <v>1.0</v>
      </c>
      <c r="C651" s="4"/>
      <c r="D651" s="4"/>
      <c r="E651" s="24"/>
      <c r="F651" s="29"/>
      <c r="G651" s="4"/>
      <c r="H651" s="4"/>
      <c r="I651" s="52"/>
      <c r="K651" s="24"/>
      <c r="L651" s="4"/>
    </row>
    <row r="652">
      <c r="A652" s="4" t="s">
        <v>1032</v>
      </c>
      <c r="B652" s="4">
        <v>1.0</v>
      </c>
      <c r="C652" s="4"/>
      <c r="D652" s="4"/>
      <c r="E652" s="24"/>
      <c r="F652" s="29"/>
      <c r="G652" s="4"/>
      <c r="H652" s="4"/>
      <c r="I652" s="52"/>
      <c r="K652" s="24"/>
      <c r="L652" s="4"/>
    </row>
    <row r="653">
      <c r="A653" s="4" t="s">
        <v>1033</v>
      </c>
      <c r="B653" s="4">
        <v>1.0</v>
      </c>
      <c r="C653" s="4"/>
      <c r="D653" s="4"/>
      <c r="E653" s="24"/>
      <c r="F653" s="29"/>
      <c r="G653" s="4"/>
      <c r="H653" s="4"/>
      <c r="I653" s="52"/>
      <c r="K653" s="24"/>
      <c r="L653" s="4"/>
    </row>
    <row r="654">
      <c r="A654" s="4" t="s">
        <v>1034</v>
      </c>
      <c r="B654" s="4">
        <v>1.0</v>
      </c>
      <c r="C654" s="4"/>
      <c r="D654" s="4"/>
      <c r="E654" s="24"/>
      <c r="F654" s="29"/>
      <c r="G654" s="4"/>
      <c r="H654" s="4"/>
      <c r="I654" s="52"/>
      <c r="K654" s="24"/>
      <c r="L654" s="4"/>
    </row>
    <row r="655">
      <c r="A655" s="4" t="s">
        <v>1035</v>
      </c>
      <c r="B655" s="4">
        <v>1.0</v>
      </c>
      <c r="C655" s="4"/>
      <c r="D655" s="4"/>
      <c r="E655" s="24"/>
      <c r="F655" s="29"/>
      <c r="G655" s="4"/>
      <c r="H655" s="4"/>
      <c r="I655" s="52"/>
      <c r="K655" s="24"/>
      <c r="L655" s="4"/>
    </row>
    <row r="656">
      <c r="A656" s="4" t="s">
        <v>1036</v>
      </c>
      <c r="B656" s="4">
        <v>1.0</v>
      </c>
      <c r="C656" s="4"/>
      <c r="D656" s="4"/>
      <c r="E656" s="24"/>
      <c r="F656" s="29"/>
      <c r="G656" s="4"/>
      <c r="H656" s="4"/>
      <c r="I656" s="52"/>
      <c r="K656" s="24"/>
      <c r="L656" s="4"/>
    </row>
    <row r="657">
      <c r="A657" s="4" t="s">
        <v>1037</v>
      </c>
      <c r="B657" s="4">
        <v>1.0</v>
      </c>
      <c r="C657" s="4"/>
      <c r="D657" s="4"/>
      <c r="E657" s="24"/>
      <c r="F657" s="29"/>
      <c r="G657" s="4"/>
      <c r="H657" s="4"/>
      <c r="I657" s="52"/>
      <c r="K657" s="24"/>
      <c r="L657" s="4"/>
    </row>
    <row r="658">
      <c r="A658" s="4" t="s">
        <v>1038</v>
      </c>
      <c r="B658" s="4">
        <v>1.0</v>
      </c>
      <c r="C658" s="4"/>
      <c r="D658" s="4"/>
      <c r="E658" s="24"/>
      <c r="F658" s="29"/>
      <c r="G658" s="4"/>
      <c r="H658" s="4"/>
      <c r="I658" s="52"/>
      <c r="K658" s="24"/>
      <c r="L658" s="4"/>
    </row>
    <row r="659">
      <c r="A659" s="4" t="s">
        <v>1039</v>
      </c>
      <c r="B659" s="4">
        <v>1.0</v>
      </c>
      <c r="C659" s="4"/>
      <c r="D659" s="4"/>
      <c r="E659" s="24"/>
      <c r="F659" s="29"/>
      <c r="G659" s="4"/>
      <c r="H659" s="4"/>
      <c r="I659" s="52"/>
      <c r="K659" s="24"/>
      <c r="L659" s="4"/>
    </row>
    <row r="660">
      <c r="A660" s="4" t="s">
        <v>1040</v>
      </c>
      <c r="B660" s="4">
        <v>1.0</v>
      </c>
      <c r="C660" s="4"/>
      <c r="D660" s="4"/>
      <c r="E660" s="24"/>
      <c r="F660" s="29"/>
      <c r="G660" s="4"/>
      <c r="H660" s="4"/>
      <c r="I660" s="52"/>
      <c r="K660" s="24"/>
      <c r="L660" s="4"/>
    </row>
    <row r="661">
      <c r="A661" s="4" t="s">
        <v>1041</v>
      </c>
      <c r="B661" s="4">
        <v>1.0</v>
      </c>
      <c r="C661" s="4"/>
      <c r="D661" s="4"/>
      <c r="E661" s="24"/>
      <c r="F661" s="29"/>
      <c r="G661" s="4"/>
      <c r="H661" s="4"/>
      <c r="I661" s="52"/>
      <c r="K661" s="24"/>
      <c r="L661" s="4"/>
    </row>
    <row r="662">
      <c r="A662" s="4" t="s">
        <v>1042</v>
      </c>
      <c r="B662" s="4">
        <v>1.0</v>
      </c>
      <c r="C662" s="4"/>
      <c r="D662" s="4"/>
      <c r="E662" s="24"/>
      <c r="F662" s="29"/>
      <c r="G662" s="4"/>
      <c r="H662" s="4"/>
      <c r="I662" s="52"/>
      <c r="K662" s="24"/>
      <c r="L662" s="4"/>
    </row>
    <row r="663">
      <c r="A663" s="4" t="s">
        <v>1043</v>
      </c>
      <c r="B663" s="4">
        <v>1.0</v>
      </c>
      <c r="C663" s="4"/>
      <c r="D663" s="4"/>
      <c r="E663" s="24"/>
      <c r="F663" s="29"/>
      <c r="G663" s="4"/>
      <c r="H663" s="4"/>
      <c r="I663" s="52"/>
      <c r="K663" s="24"/>
      <c r="L663" s="4"/>
    </row>
    <row r="664">
      <c r="A664" s="4" t="s">
        <v>1044</v>
      </c>
      <c r="B664" s="4">
        <v>1.0</v>
      </c>
      <c r="C664" s="4"/>
      <c r="D664" s="4"/>
      <c r="E664" s="24"/>
      <c r="F664" s="29"/>
      <c r="G664" s="4"/>
      <c r="H664" s="4"/>
      <c r="I664" s="52"/>
      <c r="K664" s="24"/>
      <c r="L664" s="4"/>
    </row>
    <row r="665">
      <c r="A665" s="4" t="s">
        <v>1045</v>
      </c>
      <c r="B665" s="4">
        <v>1.0</v>
      </c>
      <c r="C665" s="4"/>
      <c r="D665" s="4"/>
      <c r="E665" s="24"/>
      <c r="F665" s="29"/>
      <c r="G665" s="4"/>
      <c r="H665" s="4"/>
      <c r="I665" s="52"/>
      <c r="K665" s="24"/>
      <c r="L665" s="4"/>
    </row>
    <row r="666">
      <c r="A666" s="4" t="s">
        <v>1046</v>
      </c>
      <c r="B666" s="4">
        <v>1.0</v>
      </c>
      <c r="C666" s="4"/>
      <c r="D666" s="4"/>
      <c r="E666" s="24"/>
      <c r="F666" s="29"/>
      <c r="G666" s="4"/>
      <c r="H666" s="4"/>
      <c r="I666" s="52"/>
      <c r="K666" s="24"/>
      <c r="L666" s="4"/>
    </row>
    <row r="667">
      <c r="A667" s="4" t="s">
        <v>1047</v>
      </c>
      <c r="B667" s="4">
        <v>1.0</v>
      </c>
      <c r="C667" s="4"/>
      <c r="D667" s="4"/>
      <c r="E667" s="24"/>
      <c r="F667" s="29"/>
      <c r="G667" s="4"/>
      <c r="H667" s="4"/>
      <c r="I667" s="52"/>
      <c r="K667" s="24"/>
      <c r="L667" s="4"/>
    </row>
    <row r="668">
      <c r="A668" s="4" t="s">
        <v>1048</v>
      </c>
      <c r="B668" s="4">
        <v>1.0</v>
      </c>
      <c r="C668" s="4"/>
      <c r="D668" s="4"/>
      <c r="E668" s="24"/>
      <c r="F668" s="29"/>
      <c r="G668" s="4"/>
      <c r="H668" s="4"/>
      <c r="I668" s="52"/>
      <c r="K668" s="24"/>
      <c r="L668" s="4"/>
    </row>
    <row r="669">
      <c r="A669" s="4" t="s">
        <v>1049</v>
      </c>
      <c r="B669" s="4">
        <v>1.0</v>
      </c>
      <c r="C669" s="4"/>
      <c r="D669" s="4"/>
      <c r="E669" s="24"/>
      <c r="F669" s="29"/>
      <c r="G669" s="4"/>
      <c r="H669" s="4"/>
      <c r="I669" s="52"/>
      <c r="K669" s="24"/>
      <c r="L669" s="4"/>
    </row>
    <row r="670">
      <c r="A670" s="4" t="s">
        <v>1050</v>
      </c>
      <c r="B670" s="4">
        <v>1.0</v>
      </c>
      <c r="C670" s="4"/>
      <c r="D670" s="4"/>
      <c r="E670" s="24"/>
      <c r="F670" s="29"/>
      <c r="G670" s="4"/>
      <c r="H670" s="4"/>
      <c r="I670" s="52"/>
      <c r="K670" s="24"/>
      <c r="L670" s="4"/>
    </row>
    <row r="671">
      <c r="A671" s="4" t="s">
        <v>1051</v>
      </c>
      <c r="B671" s="4">
        <v>1.0</v>
      </c>
      <c r="C671" s="4"/>
      <c r="D671" s="4"/>
      <c r="E671" s="24"/>
      <c r="F671" s="29"/>
      <c r="G671" s="4"/>
      <c r="H671" s="4"/>
      <c r="I671" s="52"/>
      <c r="K671" s="24"/>
      <c r="L671" s="4"/>
    </row>
    <row r="672">
      <c r="A672" s="4" t="s">
        <v>1052</v>
      </c>
      <c r="B672" s="4">
        <v>1.0</v>
      </c>
      <c r="C672" s="4"/>
      <c r="D672" s="4"/>
      <c r="E672" s="24"/>
      <c r="F672" s="29"/>
      <c r="G672" s="4"/>
      <c r="H672" s="4"/>
      <c r="I672" s="52"/>
      <c r="K672" s="24"/>
      <c r="L672" s="4"/>
    </row>
    <row r="673">
      <c r="A673" s="4" t="s">
        <v>1053</v>
      </c>
      <c r="B673" s="4">
        <v>1.0</v>
      </c>
      <c r="C673" s="4"/>
      <c r="D673" s="4"/>
      <c r="E673" s="24"/>
      <c r="F673" s="29"/>
      <c r="G673" s="4"/>
      <c r="H673" s="4"/>
      <c r="I673" s="52"/>
      <c r="K673" s="24"/>
      <c r="L673" s="4"/>
    </row>
    <row r="674">
      <c r="A674" s="4" t="s">
        <v>1054</v>
      </c>
      <c r="B674" s="4">
        <v>1.0</v>
      </c>
      <c r="C674" s="4"/>
      <c r="D674" s="4"/>
      <c r="E674" s="24"/>
      <c r="F674" s="29"/>
      <c r="G674" s="4"/>
      <c r="H674" s="4"/>
      <c r="I674" s="52"/>
      <c r="K674" s="24"/>
      <c r="L674" s="4"/>
    </row>
    <row r="675">
      <c r="A675" s="4" t="s">
        <v>1055</v>
      </c>
      <c r="B675" s="4">
        <v>1.0</v>
      </c>
      <c r="C675" s="4"/>
      <c r="D675" s="4"/>
      <c r="E675" s="24"/>
      <c r="F675" s="29"/>
      <c r="G675" s="4"/>
      <c r="H675" s="4"/>
      <c r="I675" s="52"/>
      <c r="K675" s="24"/>
      <c r="L675" s="4"/>
    </row>
    <row r="676">
      <c r="A676" s="4" t="s">
        <v>1056</v>
      </c>
      <c r="B676" s="4">
        <v>1.0</v>
      </c>
      <c r="C676" s="4"/>
      <c r="D676" s="4"/>
      <c r="E676" s="24"/>
      <c r="F676" s="29"/>
      <c r="G676" s="4"/>
      <c r="H676" s="4"/>
      <c r="I676" s="52"/>
      <c r="K676" s="24"/>
      <c r="L676" s="4"/>
    </row>
    <row r="677">
      <c r="A677" s="4" t="s">
        <v>1057</v>
      </c>
      <c r="B677" s="4">
        <v>1.0</v>
      </c>
      <c r="C677" s="4"/>
      <c r="D677" s="4"/>
      <c r="E677" s="24"/>
      <c r="F677" s="29"/>
      <c r="G677" s="4"/>
      <c r="H677" s="4"/>
      <c r="I677" s="52"/>
      <c r="K677" s="24"/>
      <c r="L677" s="4"/>
    </row>
    <row r="678">
      <c r="A678" s="4" t="s">
        <v>1058</v>
      </c>
      <c r="B678" s="4">
        <v>1.0</v>
      </c>
      <c r="C678" s="4"/>
      <c r="D678" s="4"/>
      <c r="E678" s="24"/>
      <c r="F678" s="29"/>
      <c r="G678" s="4"/>
      <c r="H678" s="4"/>
      <c r="I678" s="52"/>
      <c r="K678" s="24"/>
      <c r="L678" s="4"/>
    </row>
    <row r="679">
      <c r="A679" s="4" t="s">
        <v>1059</v>
      </c>
      <c r="B679" s="4">
        <v>1.0</v>
      </c>
      <c r="C679" s="4"/>
      <c r="D679" s="4"/>
      <c r="E679" s="24"/>
      <c r="F679" s="29"/>
      <c r="G679" s="4"/>
      <c r="H679" s="4"/>
      <c r="I679" s="52"/>
      <c r="K679" s="24"/>
      <c r="L679" s="4"/>
    </row>
    <row r="680">
      <c r="A680" s="4" t="s">
        <v>1060</v>
      </c>
      <c r="B680" s="4">
        <v>1.0</v>
      </c>
      <c r="C680" s="4"/>
      <c r="D680" s="4"/>
      <c r="E680" s="24"/>
      <c r="F680" s="29"/>
      <c r="G680" s="4"/>
      <c r="H680" s="4"/>
      <c r="I680" s="52"/>
      <c r="K680" s="24"/>
      <c r="L680" s="4"/>
    </row>
    <row r="681">
      <c r="A681" s="4" t="s">
        <v>1061</v>
      </c>
      <c r="B681" s="4">
        <v>1.0</v>
      </c>
      <c r="C681" s="4"/>
      <c r="D681" s="4"/>
      <c r="E681" s="24"/>
      <c r="F681" s="29"/>
      <c r="G681" s="4"/>
      <c r="H681" s="4"/>
      <c r="I681" s="52"/>
      <c r="K681" s="24"/>
      <c r="L681" s="4"/>
    </row>
    <row r="682">
      <c r="A682" s="4" t="s">
        <v>1062</v>
      </c>
      <c r="B682" s="4">
        <v>1.0</v>
      </c>
      <c r="C682" s="4"/>
      <c r="D682" s="4"/>
      <c r="E682" s="24"/>
      <c r="F682" s="29"/>
      <c r="G682" s="4"/>
      <c r="H682" s="4"/>
      <c r="I682" s="52"/>
      <c r="K682" s="24"/>
      <c r="L682" s="4"/>
    </row>
    <row r="683">
      <c r="A683" s="4" t="s">
        <v>1063</v>
      </c>
      <c r="B683" s="4">
        <v>1.0</v>
      </c>
      <c r="C683" s="4"/>
      <c r="D683" s="4"/>
      <c r="E683" s="24"/>
      <c r="F683" s="29"/>
      <c r="G683" s="4"/>
      <c r="H683" s="4"/>
      <c r="I683" s="52"/>
      <c r="K683" s="24"/>
      <c r="L683" s="4"/>
    </row>
    <row r="684">
      <c r="A684" s="4" t="s">
        <v>1064</v>
      </c>
      <c r="B684" s="4">
        <v>1.0</v>
      </c>
      <c r="C684" s="4"/>
      <c r="D684" s="4"/>
      <c r="E684" s="24"/>
      <c r="F684" s="29"/>
      <c r="G684" s="4"/>
      <c r="H684" s="4"/>
      <c r="I684" s="52"/>
      <c r="K684" s="24"/>
      <c r="L684" s="4"/>
    </row>
    <row r="685">
      <c r="A685" s="4" t="s">
        <v>1065</v>
      </c>
      <c r="B685" s="4">
        <v>1.0</v>
      </c>
      <c r="C685" s="4"/>
      <c r="D685" s="4"/>
      <c r="E685" s="24"/>
      <c r="F685" s="29"/>
      <c r="G685" s="4"/>
      <c r="H685" s="4"/>
      <c r="I685" s="52"/>
      <c r="K685" s="24"/>
      <c r="L685" s="4"/>
    </row>
    <row r="686">
      <c r="A686" s="4" t="s">
        <v>1066</v>
      </c>
      <c r="B686" s="4">
        <v>1.0</v>
      </c>
      <c r="C686" s="4"/>
      <c r="D686" s="4"/>
      <c r="E686" s="24"/>
      <c r="F686" s="29"/>
      <c r="G686" s="4"/>
      <c r="H686" s="4"/>
      <c r="I686" s="52"/>
      <c r="K686" s="24"/>
      <c r="L686" s="4"/>
    </row>
    <row r="687">
      <c r="A687" s="4" t="s">
        <v>1067</v>
      </c>
      <c r="B687" s="4">
        <v>1.0</v>
      </c>
      <c r="C687" s="4"/>
      <c r="D687" s="4"/>
      <c r="E687" s="24"/>
      <c r="F687" s="29"/>
      <c r="G687" s="4"/>
      <c r="H687" s="4"/>
      <c r="I687" s="52"/>
      <c r="K687" s="24"/>
      <c r="L687" s="4"/>
    </row>
    <row r="688">
      <c r="A688" s="4" t="s">
        <v>1068</v>
      </c>
      <c r="B688" s="4">
        <v>1.0</v>
      </c>
      <c r="C688" s="4"/>
      <c r="D688" s="4"/>
      <c r="E688" s="24"/>
      <c r="F688" s="29"/>
      <c r="G688" s="4"/>
      <c r="H688" s="4"/>
      <c r="I688" s="52"/>
      <c r="K688" s="24"/>
      <c r="L688" s="4"/>
    </row>
    <row r="689">
      <c r="A689" s="4" t="s">
        <v>1069</v>
      </c>
      <c r="B689" s="4">
        <v>1.0</v>
      </c>
      <c r="C689" s="4"/>
      <c r="D689" s="4"/>
      <c r="E689" s="24"/>
      <c r="F689" s="29"/>
      <c r="G689" s="4"/>
      <c r="H689" s="4"/>
      <c r="I689" s="52"/>
      <c r="K689" s="24"/>
      <c r="L689" s="4"/>
    </row>
    <row r="690">
      <c r="A690" s="4" t="s">
        <v>1070</v>
      </c>
      <c r="B690" s="4">
        <v>1.0</v>
      </c>
      <c r="C690" s="4"/>
      <c r="D690" s="4"/>
      <c r="E690" s="24"/>
      <c r="F690" s="29"/>
      <c r="G690" s="4"/>
      <c r="H690" s="4"/>
      <c r="I690" s="52"/>
      <c r="K690" s="24"/>
      <c r="L690" s="4"/>
    </row>
    <row r="691">
      <c r="A691" s="4" t="s">
        <v>1071</v>
      </c>
      <c r="B691" s="4">
        <v>1.0</v>
      </c>
      <c r="C691" s="4"/>
      <c r="D691" s="4"/>
      <c r="E691" s="24"/>
      <c r="F691" s="29"/>
      <c r="G691" s="4"/>
      <c r="H691" s="4"/>
      <c r="I691" s="52"/>
      <c r="K691" s="24"/>
      <c r="L691" s="4"/>
    </row>
    <row r="692">
      <c r="A692" s="4" t="s">
        <v>1072</v>
      </c>
      <c r="B692" s="4">
        <v>1.0</v>
      </c>
      <c r="C692" s="4"/>
      <c r="D692" s="4"/>
      <c r="E692" s="24"/>
      <c r="F692" s="29"/>
      <c r="G692" s="4"/>
      <c r="H692" s="4"/>
      <c r="I692" s="52"/>
      <c r="K692" s="24"/>
      <c r="L692" s="4"/>
    </row>
    <row r="693">
      <c r="A693" s="4" t="s">
        <v>1073</v>
      </c>
      <c r="B693" s="4">
        <v>1.0</v>
      </c>
      <c r="C693" s="4"/>
      <c r="D693" s="4"/>
      <c r="E693" s="52"/>
      <c r="F693" s="62"/>
      <c r="G693" s="4"/>
      <c r="H693" s="4"/>
      <c r="I693" s="52"/>
      <c r="K693" s="24"/>
      <c r="L693" s="4"/>
    </row>
    <row r="694">
      <c r="A694" s="4" t="s">
        <v>1074</v>
      </c>
      <c r="B694" s="4">
        <v>1.0</v>
      </c>
      <c r="C694" s="4"/>
      <c r="D694" s="4"/>
      <c r="E694" s="24"/>
      <c r="F694" s="29"/>
      <c r="G694" s="4"/>
      <c r="H694" s="4"/>
      <c r="I694" s="52"/>
      <c r="K694" s="24"/>
      <c r="L694" s="4"/>
    </row>
    <row r="695">
      <c r="A695" s="4" t="s">
        <v>1075</v>
      </c>
      <c r="B695" s="4">
        <v>1.0</v>
      </c>
      <c r="C695" s="4"/>
      <c r="D695" s="4"/>
      <c r="E695" s="24"/>
      <c r="F695" s="29"/>
      <c r="G695" s="4"/>
      <c r="H695" s="4"/>
      <c r="I695" s="52"/>
      <c r="K695" s="24"/>
      <c r="L695" s="4"/>
    </row>
    <row r="696">
      <c r="A696" s="4" t="s">
        <v>1076</v>
      </c>
      <c r="B696" s="4">
        <v>1.0</v>
      </c>
      <c r="C696" s="4"/>
      <c r="D696" s="4"/>
      <c r="E696" s="24"/>
      <c r="F696" s="29"/>
      <c r="G696" s="4"/>
      <c r="H696" s="4"/>
      <c r="I696" s="52"/>
      <c r="K696" s="24"/>
      <c r="L696" s="4"/>
    </row>
    <row r="697">
      <c r="A697" s="4" t="s">
        <v>1077</v>
      </c>
      <c r="B697" s="4">
        <v>1.0</v>
      </c>
      <c r="C697" s="4"/>
      <c r="D697" s="4"/>
      <c r="E697" s="24"/>
      <c r="F697" s="29"/>
      <c r="G697" s="4"/>
      <c r="H697" s="4"/>
      <c r="I697" s="52"/>
      <c r="K697" s="24"/>
      <c r="L697" s="4"/>
    </row>
    <row r="698">
      <c r="A698" s="4" t="s">
        <v>1078</v>
      </c>
      <c r="B698" s="4">
        <v>1.0</v>
      </c>
      <c r="C698" s="4"/>
      <c r="D698" s="4"/>
      <c r="E698" s="24"/>
      <c r="F698" s="29"/>
      <c r="G698" s="4"/>
      <c r="H698" s="4"/>
      <c r="I698" s="52"/>
      <c r="K698" s="24"/>
      <c r="L698" s="4"/>
    </row>
    <row r="699">
      <c r="A699" s="4" t="s">
        <v>1079</v>
      </c>
      <c r="B699" s="4">
        <v>1.0</v>
      </c>
      <c r="C699" s="4"/>
      <c r="D699" s="4"/>
      <c r="E699" s="24"/>
      <c r="F699" s="29"/>
      <c r="G699" s="4"/>
      <c r="H699" s="4"/>
      <c r="I699" s="52"/>
      <c r="K699" s="24"/>
      <c r="L699" s="4"/>
    </row>
    <row r="700">
      <c r="A700" s="4" t="s">
        <v>1080</v>
      </c>
      <c r="B700" s="4">
        <v>1.0</v>
      </c>
      <c r="C700" s="4"/>
      <c r="D700" s="4"/>
      <c r="E700" s="24"/>
      <c r="F700" s="29"/>
      <c r="G700" s="4"/>
      <c r="H700" s="4"/>
      <c r="I700" s="52"/>
      <c r="K700" s="24"/>
      <c r="L700" s="4"/>
    </row>
    <row r="701">
      <c r="A701" s="4" t="s">
        <v>1081</v>
      </c>
      <c r="B701" s="4">
        <v>1.0</v>
      </c>
      <c r="C701" s="4"/>
      <c r="D701" s="4"/>
      <c r="E701" s="24"/>
      <c r="F701" s="29"/>
      <c r="G701" s="4"/>
      <c r="H701" s="4"/>
      <c r="I701" s="52"/>
      <c r="K701" s="24"/>
      <c r="L701" s="4"/>
    </row>
    <row r="702">
      <c r="A702" s="4" t="s">
        <v>1082</v>
      </c>
      <c r="B702" s="4">
        <v>1.0</v>
      </c>
      <c r="C702" s="4"/>
      <c r="D702" s="4"/>
      <c r="E702" s="24"/>
      <c r="F702" s="29"/>
      <c r="G702" s="4"/>
      <c r="H702" s="4"/>
      <c r="I702" s="52"/>
      <c r="K702" s="24"/>
      <c r="L702" s="4"/>
    </row>
    <row r="703">
      <c r="A703" s="4" t="s">
        <v>1083</v>
      </c>
      <c r="B703" s="4">
        <v>1.0</v>
      </c>
      <c r="C703" s="4"/>
      <c r="D703" s="4"/>
      <c r="E703" s="24"/>
      <c r="F703" s="29"/>
      <c r="G703" s="4"/>
      <c r="H703" s="4"/>
      <c r="I703" s="52"/>
      <c r="K703" s="24"/>
      <c r="L703" s="4"/>
    </row>
    <row r="704">
      <c r="A704" s="4" t="s">
        <v>1084</v>
      </c>
      <c r="B704" s="4">
        <v>1.0</v>
      </c>
      <c r="C704" s="4"/>
      <c r="D704" s="4"/>
      <c r="E704" s="24"/>
      <c r="F704" s="29"/>
      <c r="G704" s="4"/>
      <c r="H704" s="4"/>
      <c r="I704" s="52"/>
      <c r="K704" s="24"/>
      <c r="L704" s="4"/>
    </row>
    <row r="705">
      <c r="A705" s="4" t="s">
        <v>1085</v>
      </c>
      <c r="B705" s="4">
        <v>1.0</v>
      </c>
      <c r="C705" s="4"/>
      <c r="D705" s="4"/>
      <c r="E705" s="24"/>
      <c r="F705" s="29"/>
      <c r="G705" s="4"/>
      <c r="H705" s="4"/>
      <c r="I705" s="52"/>
      <c r="K705" s="24"/>
      <c r="L705" s="4"/>
    </row>
    <row r="706">
      <c r="A706" s="4" t="s">
        <v>1086</v>
      </c>
      <c r="B706" s="4">
        <v>1.0</v>
      </c>
      <c r="C706" s="4"/>
      <c r="D706" s="4"/>
      <c r="E706" s="24"/>
      <c r="F706" s="29"/>
      <c r="G706" s="4"/>
      <c r="H706" s="4"/>
      <c r="I706" s="52"/>
      <c r="K706" s="24"/>
      <c r="L706" s="4"/>
    </row>
    <row r="707">
      <c r="A707" s="4" t="s">
        <v>1087</v>
      </c>
      <c r="B707" s="4">
        <v>1.0</v>
      </c>
      <c r="C707" s="4"/>
      <c r="D707" s="4"/>
      <c r="E707" s="24"/>
      <c r="F707" s="29"/>
      <c r="G707" s="4"/>
      <c r="H707" s="4"/>
      <c r="I707" s="52"/>
      <c r="K707" s="24"/>
      <c r="L707" s="4"/>
    </row>
    <row r="708">
      <c r="A708" s="4" t="s">
        <v>1088</v>
      </c>
      <c r="B708" s="4">
        <v>1.0</v>
      </c>
      <c r="C708" s="4"/>
      <c r="D708" s="4"/>
      <c r="E708" s="24"/>
      <c r="F708" s="29"/>
      <c r="G708" s="4"/>
      <c r="H708" s="4"/>
      <c r="I708" s="52"/>
      <c r="K708" s="24"/>
      <c r="L708" s="4"/>
    </row>
    <row r="709">
      <c r="A709" s="4" t="s">
        <v>1089</v>
      </c>
      <c r="B709" s="4">
        <v>1.0</v>
      </c>
      <c r="C709" s="4"/>
      <c r="D709" s="4"/>
      <c r="E709" s="24"/>
      <c r="F709" s="29"/>
      <c r="G709" s="4"/>
      <c r="H709" s="4"/>
      <c r="I709" s="52"/>
      <c r="K709" s="24"/>
      <c r="L709" s="4"/>
    </row>
    <row r="710">
      <c r="A710" s="4" t="s">
        <v>1090</v>
      </c>
      <c r="B710" s="4">
        <v>1.0</v>
      </c>
      <c r="C710" s="4"/>
      <c r="D710" s="4"/>
      <c r="E710" s="24"/>
      <c r="F710" s="29"/>
      <c r="G710" s="4"/>
      <c r="H710" s="4"/>
      <c r="I710" s="52"/>
      <c r="K710" s="24"/>
      <c r="L710" s="4"/>
    </row>
    <row r="711">
      <c r="A711" s="4" t="s">
        <v>1091</v>
      </c>
      <c r="B711" s="4">
        <v>1.0</v>
      </c>
      <c r="C711" s="4"/>
      <c r="D711" s="4"/>
      <c r="E711" s="24"/>
      <c r="F711" s="29"/>
      <c r="G711" s="4"/>
      <c r="H711" s="4"/>
      <c r="I711" s="52"/>
      <c r="K711" s="24"/>
      <c r="L711" s="4"/>
    </row>
    <row r="712">
      <c r="A712" s="4" t="s">
        <v>1092</v>
      </c>
      <c r="B712" s="4">
        <v>1.0</v>
      </c>
      <c r="C712" s="4"/>
      <c r="D712" s="4"/>
      <c r="E712" s="24"/>
      <c r="F712" s="29"/>
      <c r="G712" s="4"/>
      <c r="H712" s="4"/>
      <c r="I712" s="52"/>
      <c r="K712" s="24"/>
      <c r="L712" s="4"/>
    </row>
    <row r="713">
      <c r="A713" s="4" t="s">
        <v>1093</v>
      </c>
      <c r="B713" s="4">
        <v>1.0</v>
      </c>
      <c r="C713" s="4"/>
      <c r="D713" s="4"/>
      <c r="E713" s="24"/>
      <c r="F713" s="29"/>
      <c r="G713" s="4"/>
      <c r="H713" s="4"/>
      <c r="I713" s="52"/>
      <c r="K713" s="24"/>
      <c r="L713" s="4"/>
    </row>
    <row r="714">
      <c r="A714" s="4" t="s">
        <v>1094</v>
      </c>
      <c r="B714" s="4">
        <v>1.0</v>
      </c>
      <c r="C714" s="4"/>
      <c r="D714" s="4"/>
      <c r="E714" s="24"/>
      <c r="F714" s="29"/>
      <c r="G714" s="4"/>
      <c r="H714" s="4"/>
      <c r="I714" s="52"/>
      <c r="K714" s="24"/>
      <c r="L714" s="4"/>
    </row>
    <row r="715">
      <c r="A715" s="4" t="s">
        <v>1095</v>
      </c>
      <c r="B715" s="4">
        <v>1.0</v>
      </c>
      <c r="C715" s="4"/>
      <c r="D715" s="4"/>
      <c r="E715" s="24"/>
      <c r="F715" s="29"/>
      <c r="G715" s="4"/>
      <c r="H715" s="4"/>
      <c r="I715" s="52"/>
      <c r="K715" s="24"/>
      <c r="L715" s="4"/>
    </row>
    <row r="716">
      <c r="A716" s="4" t="s">
        <v>1096</v>
      </c>
      <c r="B716" s="4">
        <v>1.0</v>
      </c>
      <c r="C716" s="4"/>
      <c r="D716" s="4"/>
      <c r="E716" s="24"/>
      <c r="F716" s="29"/>
      <c r="G716" s="4"/>
      <c r="H716" s="4"/>
      <c r="I716" s="52"/>
      <c r="K716" s="24"/>
      <c r="L716" s="4"/>
    </row>
    <row r="717">
      <c r="A717" s="4" t="s">
        <v>1097</v>
      </c>
      <c r="B717" s="4">
        <v>1.0</v>
      </c>
      <c r="C717" s="4"/>
      <c r="D717" s="4"/>
      <c r="E717" s="24"/>
      <c r="F717" s="29"/>
      <c r="G717" s="4"/>
      <c r="H717" s="4"/>
      <c r="I717" s="52"/>
      <c r="K717" s="24"/>
      <c r="L717" s="4"/>
    </row>
    <row r="718">
      <c r="A718" s="4" t="s">
        <v>1098</v>
      </c>
      <c r="B718" s="4">
        <v>1.0</v>
      </c>
      <c r="C718" s="4"/>
      <c r="D718" s="4"/>
      <c r="E718" s="24"/>
      <c r="F718" s="29"/>
      <c r="G718" s="4"/>
      <c r="H718" s="4"/>
      <c r="I718" s="52"/>
      <c r="K718" s="24"/>
      <c r="L718" s="4"/>
    </row>
    <row r="719">
      <c r="A719" s="4" t="s">
        <v>1099</v>
      </c>
      <c r="B719" s="4">
        <v>1.0</v>
      </c>
      <c r="C719" s="4"/>
      <c r="D719" s="4"/>
      <c r="E719" s="24"/>
      <c r="F719" s="29"/>
      <c r="G719" s="4"/>
      <c r="H719" s="4"/>
      <c r="I719" s="52"/>
      <c r="K719" s="24"/>
      <c r="L719" s="4"/>
    </row>
    <row r="720">
      <c r="A720" s="4" t="s">
        <v>1100</v>
      </c>
      <c r="B720" s="4">
        <v>1.0</v>
      </c>
      <c r="C720" s="4"/>
      <c r="D720" s="4"/>
      <c r="E720" s="24"/>
      <c r="F720" s="29"/>
      <c r="G720" s="4"/>
      <c r="H720" s="4"/>
      <c r="I720" s="52"/>
      <c r="K720" s="24"/>
      <c r="L720" s="4"/>
    </row>
    <row r="721">
      <c r="A721" s="4" t="s">
        <v>1101</v>
      </c>
      <c r="B721" s="4">
        <v>1.0</v>
      </c>
      <c r="C721" s="4"/>
      <c r="D721" s="4"/>
      <c r="E721" s="24"/>
      <c r="F721" s="29"/>
      <c r="G721" s="4"/>
      <c r="H721" s="4"/>
      <c r="I721" s="52"/>
      <c r="K721" s="24"/>
      <c r="L721" s="4"/>
    </row>
    <row r="722">
      <c r="A722" s="4" t="s">
        <v>1102</v>
      </c>
      <c r="B722" s="4">
        <v>1.0</v>
      </c>
      <c r="C722" s="4"/>
      <c r="D722" s="4"/>
      <c r="E722" s="24"/>
      <c r="F722" s="29"/>
      <c r="G722" s="4"/>
      <c r="H722" s="4"/>
      <c r="I722" s="52"/>
      <c r="K722" s="24"/>
      <c r="L722" s="4"/>
    </row>
    <row r="723">
      <c r="A723" s="4" t="s">
        <v>1103</v>
      </c>
      <c r="B723" s="4">
        <v>1.0</v>
      </c>
      <c r="C723" s="4"/>
      <c r="D723" s="4"/>
      <c r="E723" s="24"/>
      <c r="F723" s="29"/>
      <c r="G723" s="4"/>
      <c r="H723" s="4"/>
      <c r="I723" s="52"/>
      <c r="K723" s="24"/>
      <c r="L723" s="4"/>
    </row>
    <row r="724">
      <c r="A724" s="4" t="s">
        <v>1104</v>
      </c>
      <c r="B724" s="4">
        <v>1.0</v>
      </c>
      <c r="C724" s="4"/>
      <c r="D724" s="4"/>
      <c r="E724" s="24"/>
      <c r="F724" s="29"/>
      <c r="G724" s="4"/>
      <c r="H724" s="4"/>
      <c r="I724" s="52"/>
      <c r="K724" s="24"/>
      <c r="L724" s="4"/>
    </row>
    <row r="725">
      <c r="A725" s="4" t="s">
        <v>1105</v>
      </c>
      <c r="B725" s="4">
        <v>1.0</v>
      </c>
      <c r="C725" s="4"/>
      <c r="D725" s="4"/>
      <c r="E725" s="24"/>
      <c r="F725" s="29"/>
      <c r="G725" s="4"/>
      <c r="H725" s="4"/>
      <c r="I725" s="52"/>
      <c r="K725" s="24"/>
      <c r="L725" s="4"/>
    </row>
    <row r="726">
      <c r="A726" s="4" t="s">
        <v>1106</v>
      </c>
      <c r="B726" s="4">
        <v>1.0</v>
      </c>
      <c r="C726" s="4"/>
      <c r="D726" s="4"/>
      <c r="E726" s="24"/>
      <c r="F726" s="29"/>
      <c r="G726" s="4"/>
      <c r="H726" s="4"/>
      <c r="I726" s="52"/>
      <c r="K726" s="24"/>
      <c r="L726" s="4"/>
    </row>
    <row r="727">
      <c r="A727" s="4" t="s">
        <v>1107</v>
      </c>
      <c r="B727" s="4">
        <v>1.0</v>
      </c>
      <c r="C727" s="4"/>
      <c r="D727" s="4"/>
      <c r="E727" s="24"/>
      <c r="F727" s="29"/>
      <c r="G727" s="4"/>
      <c r="H727" s="4"/>
      <c r="I727" s="52"/>
      <c r="K727" s="24"/>
      <c r="L727" s="4"/>
    </row>
    <row r="728">
      <c r="A728" s="4" t="s">
        <v>1108</v>
      </c>
      <c r="B728" s="4">
        <v>1.0</v>
      </c>
      <c r="C728" s="4"/>
      <c r="D728" s="4"/>
      <c r="E728" s="24"/>
      <c r="F728" s="29"/>
      <c r="G728" s="4"/>
      <c r="H728" s="4"/>
      <c r="I728" s="52"/>
      <c r="K728" s="24"/>
      <c r="L728" s="4"/>
    </row>
    <row r="729">
      <c r="A729" s="4" t="s">
        <v>1109</v>
      </c>
      <c r="B729" s="4">
        <v>1.0</v>
      </c>
      <c r="C729" s="4"/>
      <c r="D729" s="4"/>
      <c r="E729" s="24"/>
      <c r="F729" s="29"/>
      <c r="G729" s="4"/>
      <c r="H729" s="4"/>
      <c r="I729" s="52"/>
      <c r="K729" s="24"/>
      <c r="L729" s="4"/>
    </row>
    <row r="730">
      <c r="A730" s="4" t="s">
        <v>1110</v>
      </c>
      <c r="B730" s="4">
        <v>1.0</v>
      </c>
      <c r="C730" s="4"/>
      <c r="D730" s="4"/>
      <c r="E730" s="24"/>
      <c r="F730" s="29"/>
      <c r="G730" s="4"/>
      <c r="H730" s="4"/>
      <c r="I730" s="52"/>
      <c r="K730" s="24"/>
      <c r="L730" s="4"/>
    </row>
    <row r="731">
      <c r="A731" s="4" t="s">
        <v>1111</v>
      </c>
      <c r="B731" s="4">
        <v>1.0</v>
      </c>
      <c r="C731" s="4"/>
      <c r="D731" s="4"/>
      <c r="E731" s="24"/>
      <c r="F731" s="29"/>
      <c r="G731" s="4"/>
      <c r="H731" s="4"/>
      <c r="I731" s="52"/>
      <c r="K731" s="24"/>
      <c r="L731" s="4"/>
    </row>
    <row r="732">
      <c r="A732" s="4" t="s">
        <v>1112</v>
      </c>
      <c r="B732" s="4">
        <v>1.0</v>
      </c>
      <c r="C732" s="4"/>
      <c r="D732" s="4"/>
      <c r="E732" s="24"/>
      <c r="F732" s="29"/>
      <c r="G732" s="4"/>
      <c r="H732" s="4"/>
      <c r="I732" s="52"/>
      <c r="K732" s="24"/>
      <c r="L732" s="4"/>
    </row>
    <row r="733">
      <c r="A733" s="4" t="s">
        <v>1113</v>
      </c>
      <c r="B733" s="4">
        <v>1.0</v>
      </c>
      <c r="C733" s="4"/>
      <c r="D733" s="4"/>
      <c r="E733" s="24"/>
      <c r="F733" s="29"/>
      <c r="G733" s="4"/>
      <c r="H733" s="4"/>
      <c r="I733" s="52"/>
      <c r="K733" s="24"/>
      <c r="L733" s="4"/>
    </row>
    <row r="734">
      <c r="A734" s="4" t="s">
        <v>1114</v>
      </c>
      <c r="B734" s="4">
        <v>1.0</v>
      </c>
      <c r="C734" s="4"/>
      <c r="D734" s="4"/>
      <c r="E734" s="24"/>
      <c r="F734" s="29"/>
      <c r="G734" s="4"/>
      <c r="H734" s="4"/>
      <c r="I734" s="52"/>
      <c r="K734" s="24"/>
      <c r="L734" s="4"/>
    </row>
    <row r="735">
      <c r="A735" s="4" t="s">
        <v>1115</v>
      </c>
      <c r="B735" s="4">
        <v>1.0</v>
      </c>
      <c r="C735" s="4"/>
      <c r="D735" s="4"/>
      <c r="E735" s="24"/>
      <c r="F735" s="29"/>
      <c r="G735" s="4"/>
      <c r="H735" s="4"/>
      <c r="I735" s="52"/>
      <c r="K735" s="24"/>
      <c r="L735" s="4"/>
    </row>
    <row r="736">
      <c r="A736" s="4" t="s">
        <v>1116</v>
      </c>
      <c r="B736" s="4">
        <v>1.0</v>
      </c>
      <c r="C736" s="4"/>
      <c r="D736" s="4"/>
      <c r="E736" s="24"/>
      <c r="F736" s="29"/>
      <c r="G736" s="4"/>
      <c r="H736" s="4"/>
      <c r="I736" s="52"/>
      <c r="K736" s="24"/>
      <c r="L736" s="4"/>
    </row>
    <row r="737">
      <c r="A737" s="4" t="s">
        <v>1117</v>
      </c>
      <c r="B737" s="4">
        <v>1.0</v>
      </c>
      <c r="C737" s="4"/>
      <c r="D737" s="4"/>
      <c r="E737" s="24"/>
      <c r="F737" s="29"/>
      <c r="G737" s="4"/>
      <c r="H737" s="4"/>
      <c r="I737" s="52"/>
      <c r="K737" s="24"/>
      <c r="L737" s="4"/>
    </row>
    <row r="738">
      <c r="A738" s="4" t="s">
        <v>1118</v>
      </c>
      <c r="B738" s="4">
        <v>1.0</v>
      </c>
      <c r="C738" s="4"/>
      <c r="D738" s="4"/>
      <c r="E738" s="24"/>
      <c r="F738" s="29"/>
      <c r="G738" s="4"/>
      <c r="H738" s="4"/>
      <c r="I738" s="52"/>
      <c r="K738" s="24"/>
      <c r="L738" s="4"/>
    </row>
    <row r="739">
      <c r="A739" s="4" t="s">
        <v>1119</v>
      </c>
      <c r="B739" s="4">
        <v>1.0</v>
      </c>
      <c r="C739" s="4"/>
      <c r="D739" s="4"/>
      <c r="E739" s="24"/>
      <c r="F739" s="29"/>
      <c r="G739" s="4"/>
      <c r="H739" s="4"/>
      <c r="I739" s="52"/>
      <c r="K739" s="24"/>
      <c r="L739" s="4"/>
    </row>
    <row r="740">
      <c r="A740" s="4" t="s">
        <v>1120</v>
      </c>
      <c r="B740" s="4">
        <v>1.0</v>
      </c>
      <c r="C740" s="4"/>
      <c r="D740" s="4"/>
      <c r="E740" s="24"/>
      <c r="F740" s="29"/>
      <c r="G740" s="4"/>
      <c r="H740" s="4"/>
      <c r="I740" s="52"/>
      <c r="K740" s="24"/>
      <c r="L740" s="4"/>
    </row>
    <row r="741">
      <c r="A741" s="4" t="s">
        <v>1121</v>
      </c>
      <c r="B741" s="4">
        <v>1.0</v>
      </c>
      <c r="C741" s="4"/>
      <c r="D741" s="4"/>
      <c r="E741" s="24"/>
      <c r="F741" s="29"/>
      <c r="G741" s="4"/>
      <c r="H741" s="4"/>
      <c r="I741" s="52"/>
      <c r="K741" s="24"/>
      <c r="L741" s="4"/>
    </row>
    <row r="742">
      <c r="A742" s="4" t="s">
        <v>1122</v>
      </c>
      <c r="B742" s="4">
        <v>1.0</v>
      </c>
      <c r="C742" s="4"/>
      <c r="D742" s="4"/>
      <c r="E742" s="24"/>
      <c r="F742" s="29"/>
      <c r="G742" s="4"/>
      <c r="H742" s="4"/>
      <c r="I742" s="52"/>
      <c r="K742" s="24"/>
      <c r="L742" s="4"/>
    </row>
    <row r="743">
      <c r="A743" s="4" t="s">
        <v>1123</v>
      </c>
      <c r="B743" s="4">
        <v>1.0</v>
      </c>
      <c r="C743" s="4"/>
      <c r="D743" s="4"/>
      <c r="E743" s="24"/>
      <c r="F743" s="29"/>
      <c r="G743" s="4"/>
      <c r="H743" s="4"/>
      <c r="I743" s="52"/>
      <c r="K743" s="24"/>
      <c r="L743" s="4"/>
    </row>
    <row r="744">
      <c r="A744" s="4" t="s">
        <v>1124</v>
      </c>
      <c r="B744" s="4">
        <v>1.0</v>
      </c>
      <c r="C744" s="4"/>
      <c r="D744" s="4"/>
      <c r="E744" s="24"/>
      <c r="F744" s="29"/>
      <c r="G744" s="4"/>
      <c r="H744" s="4"/>
      <c r="I744" s="52"/>
      <c r="K744" s="24"/>
      <c r="L744" s="4"/>
    </row>
    <row r="745">
      <c r="A745" s="4" t="s">
        <v>1125</v>
      </c>
      <c r="B745" s="4">
        <v>1.0</v>
      </c>
      <c r="C745" s="4"/>
      <c r="D745" s="4"/>
      <c r="E745" s="24"/>
      <c r="F745" s="29"/>
      <c r="G745" s="4"/>
      <c r="H745" s="4"/>
      <c r="I745" s="52"/>
      <c r="K745" s="24"/>
      <c r="L745" s="4"/>
    </row>
    <row r="746">
      <c r="A746" s="4" t="s">
        <v>1126</v>
      </c>
      <c r="B746" s="4">
        <v>1.0</v>
      </c>
      <c r="C746" s="4"/>
      <c r="D746" s="4"/>
      <c r="E746" s="24"/>
      <c r="F746" s="29"/>
      <c r="G746" s="4"/>
      <c r="H746" s="4"/>
      <c r="I746" s="52"/>
      <c r="K746" s="24"/>
      <c r="L746" s="4"/>
    </row>
    <row r="747">
      <c r="A747" s="4" t="s">
        <v>1127</v>
      </c>
      <c r="B747" s="4">
        <v>1.0</v>
      </c>
      <c r="C747" s="4"/>
      <c r="D747" s="4"/>
      <c r="E747" s="24"/>
      <c r="F747" s="29"/>
      <c r="G747" s="4"/>
      <c r="H747" s="4"/>
      <c r="I747" s="52"/>
      <c r="K747" s="24"/>
      <c r="L747" s="4"/>
    </row>
    <row r="748">
      <c r="A748" s="4" t="s">
        <v>1128</v>
      </c>
      <c r="B748" s="4">
        <v>1.0</v>
      </c>
      <c r="C748" s="4"/>
      <c r="D748" s="4"/>
      <c r="E748" s="24"/>
      <c r="F748" s="29"/>
      <c r="G748" s="4"/>
      <c r="H748" s="4"/>
      <c r="I748" s="52"/>
      <c r="K748" s="24"/>
      <c r="L748" s="4"/>
    </row>
    <row r="749">
      <c r="A749" s="4" t="s">
        <v>1129</v>
      </c>
      <c r="B749" s="4">
        <v>1.0</v>
      </c>
      <c r="C749" s="4"/>
      <c r="D749" s="4"/>
      <c r="E749" s="24"/>
      <c r="F749" s="29"/>
      <c r="G749" s="4"/>
      <c r="H749" s="4"/>
      <c r="I749" s="52"/>
      <c r="K749" s="24"/>
      <c r="L749" s="4"/>
    </row>
    <row r="750">
      <c r="A750" s="4" t="s">
        <v>1130</v>
      </c>
      <c r="B750" s="4">
        <v>1.0</v>
      </c>
      <c r="C750" s="4"/>
      <c r="D750" s="4"/>
      <c r="E750" s="24"/>
      <c r="F750" s="29"/>
      <c r="G750" s="4"/>
      <c r="H750" s="4"/>
      <c r="I750" s="52"/>
      <c r="K750" s="24"/>
      <c r="L750" s="4"/>
    </row>
    <row r="751">
      <c r="A751" s="4" t="s">
        <v>1131</v>
      </c>
      <c r="B751" s="4">
        <v>1.0</v>
      </c>
      <c r="C751" s="4"/>
      <c r="D751" s="4"/>
      <c r="E751" s="24"/>
      <c r="F751" s="29"/>
      <c r="G751" s="4"/>
      <c r="H751" s="4"/>
      <c r="I751" s="52"/>
      <c r="K751" s="24"/>
      <c r="L751" s="4"/>
    </row>
    <row r="752">
      <c r="A752" s="4" t="s">
        <v>1132</v>
      </c>
      <c r="B752" s="4">
        <v>1.0</v>
      </c>
      <c r="C752" s="4"/>
      <c r="D752" s="4"/>
      <c r="E752" s="24"/>
      <c r="F752" s="29"/>
      <c r="G752" s="4"/>
      <c r="H752" s="4"/>
      <c r="I752" s="52"/>
      <c r="K752" s="24"/>
      <c r="L752" s="4"/>
    </row>
    <row r="753">
      <c r="A753" s="4" t="s">
        <v>1133</v>
      </c>
      <c r="B753" s="4">
        <v>1.0</v>
      </c>
      <c r="C753" s="4"/>
      <c r="D753" s="4"/>
      <c r="E753" s="24"/>
      <c r="F753" s="29"/>
      <c r="G753" s="4"/>
      <c r="H753" s="4"/>
      <c r="I753" s="52"/>
      <c r="K753" s="24"/>
      <c r="L753" s="4"/>
    </row>
    <row r="754">
      <c r="A754" s="4" t="s">
        <v>1134</v>
      </c>
      <c r="B754" s="4">
        <v>1.0</v>
      </c>
      <c r="C754" s="4"/>
      <c r="D754" s="4"/>
      <c r="E754" s="24"/>
      <c r="F754" s="29"/>
      <c r="G754" s="4"/>
      <c r="H754" s="4"/>
      <c r="I754" s="52"/>
      <c r="K754" s="24"/>
      <c r="L754" s="4"/>
    </row>
    <row r="755">
      <c r="A755" s="4" t="s">
        <v>1135</v>
      </c>
      <c r="B755" s="4">
        <v>1.0</v>
      </c>
      <c r="C755" s="4"/>
      <c r="D755" s="4"/>
      <c r="E755" s="24"/>
      <c r="F755" s="29"/>
      <c r="G755" s="4"/>
      <c r="H755" s="4"/>
      <c r="I755" s="52"/>
      <c r="K755" s="24"/>
      <c r="L755" s="4"/>
    </row>
    <row r="756">
      <c r="A756" s="4" t="s">
        <v>1136</v>
      </c>
      <c r="B756" s="4">
        <v>1.0</v>
      </c>
      <c r="C756" s="4"/>
      <c r="D756" s="4"/>
      <c r="E756" s="24"/>
      <c r="F756" s="29"/>
      <c r="G756" s="4"/>
      <c r="H756" s="4"/>
      <c r="I756" s="52"/>
      <c r="K756" s="24"/>
      <c r="L756" s="4"/>
    </row>
    <row r="757">
      <c r="A757" s="4" t="s">
        <v>1137</v>
      </c>
      <c r="B757" s="4">
        <v>1.0</v>
      </c>
      <c r="C757" s="4"/>
      <c r="D757" s="4"/>
      <c r="E757" s="24"/>
      <c r="F757" s="29"/>
      <c r="G757" s="4"/>
      <c r="H757" s="4"/>
      <c r="I757" s="52"/>
      <c r="K757" s="24"/>
      <c r="L757" s="4"/>
    </row>
    <row r="758">
      <c r="A758" s="4" t="s">
        <v>1138</v>
      </c>
      <c r="B758" s="4">
        <v>1.0</v>
      </c>
      <c r="C758" s="4"/>
      <c r="D758" s="4"/>
      <c r="E758" s="24"/>
      <c r="F758" s="29"/>
      <c r="G758" s="4"/>
      <c r="H758" s="4"/>
      <c r="I758" s="52"/>
      <c r="K758" s="24"/>
      <c r="L758" s="4"/>
    </row>
    <row r="759">
      <c r="A759" s="4" t="s">
        <v>1139</v>
      </c>
      <c r="B759" s="4">
        <v>1.0</v>
      </c>
      <c r="C759" s="4"/>
      <c r="D759" s="4"/>
      <c r="E759" s="24"/>
      <c r="F759" s="29"/>
      <c r="G759" s="4"/>
      <c r="H759" s="4"/>
      <c r="I759" s="52"/>
      <c r="K759" s="24"/>
      <c r="L759" s="4"/>
    </row>
    <row r="760">
      <c r="A760" s="4" t="s">
        <v>1140</v>
      </c>
      <c r="B760" s="4">
        <v>1.0</v>
      </c>
      <c r="C760" s="4"/>
      <c r="D760" s="4"/>
      <c r="E760" s="24"/>
      <c r="F760" s="29"/>
      <c r="G760" s="4"/>
      <c r="H760" s="4"/>
      <c r="I760" s="52"/>
      <c r="K760" s="24"/>
      <c r="L760" s="4"/>
    </row>
    <row r="761">
      <c r="A761" s="4" t="s">
        <v>1141</v>
      </c>
      <c r="B761" s="4">
        <v>1.0</v>
      </c>
      <c r="C761" s="4"/>
      <c r="D761" s="4"/>
      <c r="E761" s="24"/>
      <c r="F761" s="29"/>
      <c r="G761" s="4"/>
      <c r="H761" s="4"/>
      <c r="I761" s="52"/>
      <c r="K761" s="24"/>
      <c r="L761" s="4"/>
    </row>
    <row r="762">
      <c r="A762" s="4" t="s">
        <v>1142</v>
      </c>
      <c r="B762" s="4">
        <v>1.0</v>
      </c>
      <c r="C762" s="4"/>
      <c r="D762" s="4"/>
      <c r="E762" s="24"/>
      <c r="F762" s="29"/>
      <c r="G762" s="4"/>
      <c r="H762" s="4"/>
      <c r="I762" s="52"/>
      <c r="K762" s="24"/>
      <c r="L762" s="4"/>
    </row>
    <row r="763">
      <c r="A763" s="4" t="s">
        <v>1143</v>
      </c>
      <c r="B763" s="4">
        <v>1.0</v>
      </c>
      <c r="C763" s="4"/>
      <c r="D763" s="4"/>
      <c r="E763" s="24"/>
      <c r="F763" s="29"/>
      <c r="G763" s="4"/>
      <c r="H763" s="4"/>
      <c r="I763" s="52"/>
      <c r="K763" s="24"/>
      <c r="L763" s="4"/>
    </row>
    <row r="764">
      <c r="A764" s="4" t="s">
        <v>1144</v>
      </c>
      <c r="B764" s="4">
        <v>1.0</v>
      </c>
      <c r="C764" s="4"/>
      <c r="D764" s="4"/>
      <c r="E764" s="24"/>
      <c r="F764" s="29"/>
      <c r="G764" s="4"/>
      <c r="H764" s="4"/>
      <c r="I764" s="52"/>
      <c r="K764" s="24"/>
      <c r="L764" s="4"/>
    </row>
    <row r="765">
      <c r="A765" s="4" t="s">
        <v>1145</v>
      </c>
      <c r="B765" s="4">
        <v>1.0</v>
      </c>
      <c r="C765" s="4"/>
      <c r="D765" s="4"/>
      <c r="E765" s="24"/>
      <c r="F765" s="29"/>
      <c r="G765" s="4"/>
      <c r="H765" s="4"/>
      <c r="I765" s="52"/>
      <c r="K765" s="24"/>
      <c r="L765" s="4"/>
    </row>
    <row r="766">
      <c r="A766" s="4" t="s">
        <v>1146</v>
      </c>
      <c r="B766" s="4">
        <v>1.0</v>
      </c>
      <c r="C766" s="4"/>
      <c r="D766" s="4"/>
      <c r="E766" s="24"/>
      <c r="F766" s="29"/>
      <c r="G766" s="4"/>
      <c r="H766" s="4"/>
      <c r="I766" s="52"/>
      <c r="K766" s="24"/>
      <c r="L766" s="4"/>
    </row>
    <row r="767">
      <c r="A767" s="4" t="s">
        <v>1147</v>
      </c>
      <c r="B767" s="4">
        <v>1.0</v>
      </c>
      <c r="C767" s="4"/>
      <c r="D767" s="4"/>
      <c r="E767" s="24"/>
      <c r="F767" s="29"/>
      <c r="G767" s="4"/>
      <c r="H767" s="4"/>
      <c r="I767" s="52"/>
      <c r="K767" s="24"/>
      <c r="L767" s="4"/>
    </row>
    <row r="768">
      <c r="A768" s="4" t="s">
        <v>1148</v>
      </c>
      <c r="B768" s="4">
        <v>1.0</v>
      </c>
      <c r="C768" s="4"/>
      <c r="D768" s="4"/>
      <c r="E768" s="24"/>
      <c r="F768" s="29"/>
      <c r="G768" s="4"/>
      <c r="H768" s="4"/>
      <c r="I768" s="52"/>
      <c r="K768" s="24"/>
      <c r="L768" s="4"/>
    </row>
    <row r="769">
      <c r="A769" s="4" t="s">
        <v>1149</v>
      </c>
      <c r="B769" s="4">
        <v>1.0</v>
      </c>
      <c r="C769" s="4"/>
      <c r="D769" s="4"/>
      <c r="E769" s="24"/>
      <c r="F769" s="29"/>
      <c r="G769" s="4"/>
      <c r="H769" s="4"/>
      <c r="I769" s="52"/>
      <c r="K769" s="24"/>
      <c r="L769" s="4"/>
    </row>
    <row r="770">
      <c r="A770" s="4" t="s">
        <v>1150</v>
      </c>
      <c r="B770" s="4">
        <v>1.0</v>
      </c>
      <c r="C770" s="4"/>
      <c r="D770" s="4"/>
      <c r="E770" s="24"/>
      <c r="F770" s="29"/>
      <c r="G770" s="4"/>
      <c r="H770" s="4"/>
      <c r="I770" s="52"/>
      <c r="K770" s="24"/>
      <c r="L770" s="4"/>
    </row>
    <row r="771">
      <c r="A771" s="4" t="s">
        <v>1151</v>
      </c>
      <c r="B771" s="4">
        <v>1.0</v>
      </c>
      <c r="C771" s="4"/>
      <c r="D771" s="4"/>
      <c r="E771" s="24"/>
      <c r="F771" s="29"/>
      <c r="G771" s="4"/>
      <c r="H771" s="4"/>
      <c r="I771" s="52"/>
      <c r="K771" s="24"/>
      <c r="L771" s="4"/>
    </row>
    <row r="772">
      <c r="A772" s="4" t="s">
        <v>1152</v>
      </c>
      <c r="B772" s="4">
        <v>1.0</v>
      </c>
      <c r="C772" s="4"/>
      <c r="D772" s="4"/>
      <c r="E772" s="24"/>
      <c r="F772" s="29"/>
      <c r="G772" s="4"/>
      <c r="H772" s="4"/>
      <c r="I772" s="52"/>
      <c r="K772" s="24"/>
      <c r="L772" s="4"/>
    </row>
    <row r="773">
      <c r="A773" s="4" t="s">
        <v>1153</v>
      </c>
      <c r="B773" s="4">
        <v>1.0</v>
      </c>
      <c r="C773" s="4"/>
      <c r="D773" s="4"/>
      <c r="E773" s="24"/>
      <c r="F773" s="29"/>
      <c r="G773" s="4"/>
      <c r="H773" s="4"/>
      <c r="I773" s="52"/>
      <c r="K773" s="24"/>
      <c r="L773" s="4"/>
    </row>
    <row r="774">
      <c r="A774" s="4" t="s">
        <v>1154</v>
      </c>
      <c r="B774" s="4">
        <v>1.0</v>
      </c>
      <c r="C774" s="4"/>
      <c r="D774" s="4"/>
      <c r="E774" s="24"/>
      <c r="F774" s="29"/>
      <c r="G774" s="4"/>
      <c r="H774" s="4"/>
      <c r="I774" s="52"/>
      <c r="K774" s="24"/>
      <c r="L774" s="4"/>
    </row>
    <row r="775">
      <c r="A775" s="4" t="s">
        <v>1155</v>
      </c>
      <c r="B775" s="4">
        <v>1.0</v>
      </c>
      <c r="C775" s="4"/>
      <c r="D775" s="4"/>
      <c r="E775" s="24"/>
      <c r="F775" s="29"/>
      <c r="G775" s="4"/>
      <c r="H775" s="4"/>
      <c r="I775" s="52"/>
      <c r="K775" s="24"/>
      <c r="L775" s="4"/>
    </row>
    <row r="776">
      <c r="A776" s="4" t="s">
        <v>1156</v>
      </c>
      <c r="B776" s="4">
        <v>1.0</v>
      </c>
      <c r="C776" s="4"/>
      <c r="D776" s="4"/>
      <c r="E776" s="24"/>
      <c r="F776" s="29"/>
      <c r="G776" s="4"/>
      <c r="H776" s="4"/>
      <c r="I776" s="52"/>
      <c r="K776" s="24"/>
      <c r="L776" s="4"/>
    </row>
    <row r="777">
      <c r="A777" s="4" t="s">
        <v>1157</v>
      </c>
      <c r="B777" s="4">
        <v>1.0</v>
      </c>
      <c r="C777" s="4"/>
      <c r="D777" s="4"/>
      <c r="E777" s="24"/>
      <c r="F777" s="29"/>
      <c r="G777" s="4"/>
      <c r="H777" s="4"/>
      <c r="I777" s="52"/>
      <c r="K777" s="24"/>
      <c r="L777" s="4"/>
    </row>
    <row r="778">
      <c r="A778" s="4" t="s">
        <v>1158</v>
      </c>
      <c r="B778" s="4">
        <v>1.0</v>
      </c>
      <c r="C778" s="4"/>
      <c r="D778" s="4"/>
      <c r="E778" s="24"/>
      <c r="F778" s="29"/>
      <c r="G778" s="4"/>
      <c r="H778" s="4"/>
      <c r="I778" s="52"/>
      <c r="K778" s="24"/>
      <c r="L778" s="4"/>
    </row>
    <row r="779">
      <c r="A779" s="4" t="s">
        <v>1159</v>
      </c>
      <c r="B779" s="4">
        <v>1.0</v>
      </c>
      <c r="C779" s="4"/>
      <c r="D779" s="4"/>
      <c r="E779" s="24"/>
      <c r="F779" s="29"/>
      <c r="G779" s="4"/>
      <c r="H779" s="4"/>
      <c r="I779" s="52"/>
      <c r="K779" s="24"/>
      <c r="L779" s="4"/>
    </row>
    <row r="780">
      <c r="A780" s="4" t="s">
        <v>1160</v>
      </c>
      <c r="B780" s="4">
        <v>1.0</v>
      </c>
      <c r="C780" s="4"/>
      <c r="D780" s="4"/>
      <c r="E780" s="24"/>
      <c r="F780" s="29"/>
      <c r="G780" s="4"/>
      <c r="H780" s="4"/>
      <c r="I780" s="52"/>
      <c r="K780" s="24"/>
      <c r="L780" s="4"/>
    </row>
    <row r="781">
      <c r="A781" s="4" t="s">
        <v>1161</v>
      </c>
      <c r="B781" s="4">
        <v>1.0</v>
      </c>
      <c r="C781" s="4"/>
      <c r="D781" s="4"/>
      <c r="E781" s="24"/>
      <c r="F781" s="29"/>
      <c r="G781" s="4"/>
      <c r="H781" s="4"/>
      <c r="I781" s="52"/>
      <c r="K781" s="24"/>
      <c r="L781" s="4"/>
    </row>
    <row r="782">
      <c r="A782" s="4" t="s">
        <v>1162</v>
      </c>
      <c r="B782" s="4">
        <v>1.0</v>
      </c>
      <c r="C782" s="4"/>
      <c r="D782" s="4"/>
      <c r="E782" s="24"/>
      <c r="F782" s="29"/>
      <c r="G782" s="4"/>
      <c r="H782" s="4"/>
      <c r="I782" s="52"/>
      <c r="K782" s="24"/>
      <c r="L782" s="4"/>
    </row>
    <row r="783">
      <c r="A783" s="4" t="s">
        <v>1163</v>
      </c>
      <c r="B783" s="4">
        <v>1.0</v>
      </c>
      <c r="C783" s="4"/>
      <c r="D783" s="4"/>
      <c r="E783" s="24"/>
      <c r="F783" s="29"/>
      <c r="G783" s="4"/>
      <c r="H783" s="4"/>
      <c r="I783" s="52"/>
      <c r="K783" s="24"/>
      <c r="L783" s="4"/>
    </row>
    <row r="784">
      <c r="A784" s="4" t="s">
        <v>1164</v>
      </c>
      <c r="B784" s="4">
        <v>1.0</v>
      </c>
      <c r="C784" s="4"/>
      <c r="D784" s="4"/>
      <c r="E784" s="24"/>
      <c r="F784" s="29"/>
      <c r="G784" s="4"/>
      <c r="H784" s="4"/>
      <c r="I784" s="52"/>
      <c r="K784" s="24"/>
      <c r="L784" s="4"/>
    </row>
    <row r="785">
      <c r="A785" s="4" t="s">
        <v>1165</v>
      </c>
      <c r="B785" s="4">
        <v>1.0</v>
      </c>
      <c r="C785" s="4"/>
      <c r="D785" s="4"/>
      <c r="E785" s="24"/>
      <c r="F785" s="29"/>
      <c r="G785" s="4"/>
      <c r="H785" s="4"/>
      <c r="I785" s="52"/>
      <c r="K785" s="24"/>
      <c r="L785" s="4"/>
    </row>
    <row r="786">
      <c r="A786" s="4" t="s">
        <v>1166</v>
      </c>
      <c r="B786" s="4">
        <v>1.0</v>
      </c>
      <c r="C786" s="4"/>
      <c r="D786" s="4"/>
      <c r="E786" s="24"/>
      <c r="F786" s="29"/>
      <c r="G786" s="4"/>
      <c r="H786" s="4"/>
      <c r="I786" s="52"/>
      <c r="K786" s="24"/>
      <c r="L786" s="4"/>
    </row>
    <row r="787">
      <c r="A787" s="4" t="s">
        <v>1167</v>
      </c>
      <c r="B787" s="4">
        <v>1.0</v>
      </c>
      <c r="C787" s="4"/>
      <c r="D787" s="4"/>
      <c r="E787" s="24"/>
      <c r="F787" s="29"/>
      <c r="G787" s="4"/>
      <c r="H787" s="4"/>
      <c r="I787" s="52"/>
      <c r="K787" s="24"/>
      <c r="L787" s="4"/>
    </row>
    <row r="788">
      <c r="A788" s="4" t="s">
        <v>1168</v>
      </c>
      <c r="B788" s="4">
        <v>1.0</v>
      </c>
      <c r="C788" s="4"/>
      <c r="D788" s="4"/>
      <c r="E788" s="24"/>
      <c r="F788" s="29"/>
      <c r="G788" s="4"/>
      <c r="H788" s="4"/>
      <c r="I788" s="52"/>
      <c r="K788" s="24"/>
      <c r="L788" s="4"/>
    </row>
    <row r="789">
      <c r="A789" s="4" t="s">
        <v>1169</v>
      </c>
      <c r="B789" s="4">
        <v>1.0</v>
      </c>
      <c r="C789" s="4"/>
      <c r="D789" s="4"/>
      <c r="E789" s="24"/>
      <c r="F789" s="29"/>
      <c r="G789" s="4"/>
      <c r="H789" s="4"/>
      <c r="I789" s="52"/>
      <c r="K789" s="24"/>
      <c r="L789" s="4"/>
    </row>
    <row r="790">
      <c r="A790" s="4" t="s">
        <v>1170</v>
      </c>
      <c r="B790" s="4">
        <v>1.0</v>
      </c>
      <c r="C790" s="4"/>
      <c r="D790" s="4"/>
      <c r="E790" s="24"/>
      <c r="F790" s="29"/>
      <c r="G790" s="4"/>
      <c r="H790" s="4"/>
      <c r="I790" s="52"/>
      <c r="K790" s="24"/>
      <c r="L790" s="4"/>
    </row>
    <row r="791">
      <c r="A791" s="4" t="s">
        <v>1171</v>
      </c>
      <c r="B791" s="4">
        <v>1.0</v>
      </c>
      <c r="C791" s="4"/>
      <c r="D791" s="4"/>
      <c r="E791" s="24"/>
      <c r="F791" s="29"/>
      <c r="G791" s="4"/>
      <c r="H791" s="4"/>
      <c r="I791" s="52"/>
      <c r="K791" s="24"/>
      <c r="L791" s="4"/>
    </row>
    <row r="792">
      <c r="A792" s="4" t="s">
        <v>1172</v>
      </c>
      <c r="B792" s="4">
        <v>1.0</v>
      </c>
      <c r="C792" s="4"/>
      <c r="D792" s="4"/>
      <c r="E792" s="24"/>
      <c r="F792" s="29"/>
      <c r="G792" s="4"/>
      <c r="H792" s="4"/>
      <c r="I792" s="52"/>
      <c r="K792" s="24"/>
      <c r="L792" s="4"/>
    </row>
    <row r="793">
      <c r="A793" s="4" t="s">
        <v>1173</v>
      </c>
      <c r="B793" s="4">
        <v>1.0</v>
      </c>
      <c r="C793" s="4"/>
      <c r="D793" s="4"/>
      <c r="E793" s="24"/>
      <c r="F793" s="29"/>
      <c r="G793" s="4"/>
      <c r="H793" s="4"/>
      <c r="I793" s="52"/>
      <c r="K793" s="24"/>
      <c r="L793" s="4"/>
    </row>
    <row r="794">
      <c r="A794" s="4" t="s">
        <v>1174</v>
      </c>
      <c r="B794" s="4">
        <v>1.0</v>
      </c>
      <c r="C794" s="4"/>
      <c r="D794" s="4"/>
      <c r="E794" s="24"/>
      <c r="F794" s="29"/>
      <c r="G794" s="4"/>
      <c r="H794" s="4"/>
      <c r="I794" s="52"/>
      <c r="K794" s="24"/>
      <c r="L794" s="4"/>
    </row>
    <row r="795">
      <c r="A795" s="4" t="s">
        <v>1175</v>
      </c>
      <c r="B795" s="4">
        <v>1.0</v>
      </c>
      <c r="C795" s="4"/>
      <c r="D795" s="4"/>
      <c r="E795" s="24"/>
      <c r="F795" s="29"/>
      <c r="G795" s="4"/>
      <c r="H795" s="4"/>
      <c r="I795" s="52"/>
      <c r="K795" s="24"/>
      <c r="L795" s="4"/>
    </row>
    <row r="796">
      <c r="A796" s="4" t="s">
        <v>1176</v>
      </c>
      <c r="B796" s="4">
        <v>1.0</v>
      </c>
      <c r="C796" s="4"/>
      <c r="D796" s="4"/>
      <c r="E796" s="52"/>
      <c r="F796" s="62"/>
      <c r="G796" s="4"/>
      <c r="H796" s="4"/>
      <c r="I796" s="52"/>
      <c r="K796" s="24"/>
      <c r="L796" s="4"/>
    </row>
    <row r="797">
      <c r="A797" s="4" t="s">
        <v>1177</v>
      </c>
      <c r="B797" s="4">
        <v>1.0</v>
      </c>
      <c r="C797" s="4"/>
      <c r="D797" s="4"/>
      <c r="E797" s="24"/>
      <c r="F797" s="29"/>
      <c r="G797" s="4"/>
      <c r="H797" s="4"/>
      <c r="I797" s="52"/>
      <c r="K797" s="24"/>
      <c r="L797" s="4"/>
    </row>
    <row r="798">
      <c r="A798" s="4" t="s">
        <v>1178</v>
      </c>
      <c r="B798" s="4">
        <v>1.0</v>
      </c>
      <c r="C798" s="4"/>
      <c r="D798" s="4"/>
      <c r="E798" s="24"/>
      <c r="F798" s="29"/>
      <c r="G798" s="4"/>
      <c r="H798" s="4"/>
      <c r="I798" s="52"/>
      <c r="K798" s="24"/>
      <c r="L798" s="4"/>
    </row>
    <row r="799">
      <c r="A799" s="4" t="s">
        <v>1179</v>
      </c>
      <c r="B799" s="4">
        <v>1.0</v>
      </c>
      <c r="C799" s="4"/>
      <c r="D799" s="4"/>
      <c r="E799" s="24"/>
      <c r="F799" s="29"/>
      <c r="G799" s="4"/>
      <c r="H799" s="4"/>
      <c r="I799" s="52"/>
      <c r="K799" s="24"/>
      <c r="L799" s="4"/>
    </row>
    <row r="800">
      <c r="A800" s="4" t="s">
        <v>1180</v>
      </c>
      <c r="B800" s="4">
        <v>1.0</v>
      </c>
      <c r="C800" s="4"/>
      <c r="D800" s="4"/>
      <c r="E800" s="24"/>
      <c r="F800" s="29"/>
      <c r="G800" s="4"/>
      <c r="H800" s="4"/>
      <c r="I800" s="52"/>
      <c r="K800" s="24"/>
      <c r="L800" s="4"/>
    </row>
    <row r="801">
      <c r="A801" s="4" t="s">
        <v>1181</v>
      </c>
      <c r="B801" s="4">
        <v>1.0</v>
      </c>
      <c r="C801" s="4"/>
      <c r="D801" s="4"/>
      <c r="E801" s="24"/>
      <c r="F801" s="29"/>
      <c r="G801" s="4"/>
      <c r="H801" s="4"/>
      <c r="I801" s="52"/>
      <c r="K801" s="24"/>
      <c r="L801" s="4"/>
    </row>
    <row r="802">
      <c r="A802" s="4" t="s">
        <v>1182</v>
      </c>
      <c r="B802" s="4">
        <v>1.0</v>
      </c>
      <c r="C802" s="4"/>
      <c r="D802" s="4"/>
      <c r="E802" s="24"/>
      <c r="F802" s="29"/>
      <c r="G802" s="4"/>
      <c r="H802" s="4"/>
      <c r="I802" s="52"/>
      <c r="K802" s="24"/>
      <c r="L802" s="4"/>
    </row>
    <row r="803">
      <c r="A803" s="4" t="s">
        <v>1183</v>
      </c>
      <c r="B803" s="4">
        <v>1.0</v>
      </c>
      <c r="C803" s="4"/>
      <c r="D803" s="4"/>
      <c r="E803" s="24"/>
      <c r="F803" s="29"/>
      <c r="G803" s="4"/>
      <c r="H803" s="4"/>
      <c r="I803" s="52"/>
      <c r="K803" s="24"/>
      <c r="L803" s="4"/>
    </row>
    <row r="804">
      <c r="A804" s="4" t="s">
        <v>1184</v>
      </c>
      <c r="B804" s="4">
        <v>1.0</v>
      </c>
      <c r="C804" s="4"/>
      <c r="D804" s="4"/>
      <c r="E804" s="24"/>
      <c r="F804" s="29"/>
      <c r="G804" s="4"/>
      <c r="H804" s="4"/>
      <c r="I804" s="52"/>
      <c r="K804" s="24"/>
      <c r="L804" s="4"/>
    </row>
    <row r="805">
      <c r="A805" s="4" t="s">
        <v>1185</v>
      </c>
      <c r="B805" s="4">
        <v>1.0</v>
      </c>
      <c r="C805" s="4"/>
      <c r="D805" s="4"/>
      <c r="E805" s="24"/>
      <c r="F805" s="29"/>
      <c r="G805" s="4"/>
      <c r="H805" s="4"/>
      <c r="I805" s="52"/>
      <c r="K805" s="24"/>
      <c r="L805" s="4"/>
    </row>
    <row r="806">
      <c r="A806" s="4" t="s">
        <v>1186</v>
      </c>
      <c r="B806" s="4">
        <v>1.0</v>
      </c>
      <c r="C806" s="4"/>
      <c r="D806" s="4"/>
      <c r="E806" s="24"/>
      <c r="F806" s="29"/>
      <c r="G806" s="4"/>
      <c r="H806" s="4"/>
      <c r="I806" s="52"/>
      <c r="K806" s="24"/>
      <c r="L806" s="4"/>
    </row>
    <row r="807">
      <c r="A807" s="4" t="s">
        <v>1187</v>
      </c>
      <c r="B807" s="4">
        <v>1.0</v>
      </c>
      <c r="C807" s="4"/>
      <c r="D807" s="4"/>
      <c r="E807" s="24"/>
      <c r="F807" s="29"/>
      <c r="G807" s="4"/>
      <c r="H807" s="4"/>
      <c r="I807" s="52"/>
      <c r="K807" s="24"/>
      <c r="L807" s="4"/>
    </row>
    <row r="808">
      <c r="A808" s="4" t="s">
        <v>1188</v>
      </c>
      <c r="B808" s="4">
        <v>1.0</v>
      </c>
      <c r="C808" s="4"/>
      <c r="D808" s="4"/>
      <c r="E808" s="24"/>
      <c r="F808" s="29"/>
      <c r="G808" s="4"/>
      <c r="H808" s="4"/>
      <c r="I808" s="52"/>
      <c r="K808" s="24"/>
      <c r="L808" s="4"/>
    </row>
    <row r="809">
      <c r="A809" s="4" t="s">
        <v>1189</v>
      </c>
      <c r="B809" s="4">
        <v>1.0</v>
      </c>
      <c r="C809" s="4"/>
      <c r="D809" s="4"/>
      <c r="E809" s="24"/>
      <c r="F809" s="29"/>
      <c r="G809" s="4"/>
      <c r="H809" s="4"/>
      <c r="I809" s="52"/>
      <c r="K809" s="24"/>
      <c r="L809" s="4"/>
    </row>
    <row r="810">
      <c r="A810" s="4" t="s">
        <v>1190</v>
      </c>
      <c r="B810" s="4">
        <v>1.0</v>
      </c>
      <c r="C810" s="4"/>
      <c r="D810" s="4"/>
      <c r="E810" s="24"/>
      <c r="F810" s="29"/>
      <c r="G810" s="4"/>
      <c r="H810" s="4"/>
      <c r="I810" s="52"/>
      <c r="K810" s="24"/>
      <c r="L810" s="4"/>
    </row>
    <row r="811">
      <c r="A811" s="4" t="s">
        <v>1191</v>
      </c>
      <c r="B811" s="4">
        <v>1.0</v>
      </c>
      <c r="C811" s="4"/>
      <c r="D811" s="4"/>
      <c r="E811" s="24"/>
      <c r="F811" s="29"/>
      <c r="G811" s="4"/>
      <c r="H811" s="4"/>
      <c r="I811" s="52"/>
      <c r="K811" s="24"/>
      <c r="L811" s="4"/>
    </row>
    <row r="812">
      <c r="A812" s="4" t="s">
        <v>1192</v>
      </c>
      <c r="B812" s="4">
        <v>1.0</v>
      </c>
      <c r="C812" s="4"/>
      <c r="D812" s="4"/>
      <c r="E812" s="24"/>
      <c r="F812" s="29"/>
      <c r="G812" s="4"/>
      <c r="H812" s="4"/>
      <c r="I812" s="52"/>
      <c r="K812" s="24"/>
      <c r="L812" s="4"/>
    </row>
    <row r="813">
      <c r="A813" s="4" t="s">
        <v>1193</v>
      </c>
      <c r="B813" s="4">
        <v>1.0</v>
      </c>
      <c r="C813" s="4"/>
      <c r="D813" s="4"/>
      <c r="E813" s="24"/>
      <c r="F813" s="29"/>
      <c r="G813" s="4"/>
      <c r="H813" s="4"/>
      <c r="I813" s="52"/>
      <c r="K813" s="24"/>
      <c r="L813" s="4"/>
    </row>
    <row r="814">
      <c r="A814" s="4" t="s">
        <v>1194</v>
      </c>
      <c r="B814" s="4">
        <v>1.0</v>
      </c>
      <c r="C814" s="4"/>
      <c r="D814" s="4"/>
      <c r="E814" s="24"/>
      <c r="F814" s="29"/>
      <c r="G814" s="4"/>
      <c r="H814" s="4"/>
      <c r="I814" s="52"/>
      <c r="K814" s="24"/>
      <c r="L814" s="4"/>
    </row>
    <row r="815">
      <c r="A815" s="4" t="s">
        <v>1195</v>
      </c>
      <c r="B815" s="4">
        <v>1.0</v>
      </c>
      <c r="C815" s="4"/>
      <c r="D815" s="4"/>
      <c r="E815" s="24"/>
      <c r="F815" s="29"/>
      <c r="G815" s="4"/>
      <c r="H815" s="4"/>
      <c r="I815" s="52"/>
      <c r="K815" s="24"/>
      <c r="L815" s="4"/>
    </row>
    <row r="816">
      <c r="A816" s="4" t="s">
        <v>1196</v>
      </c>
      <c r="B816" s="4">
        <v>1.0</v>
      </c>
      <c r="C816" s="4"/>
      <c r="D816" s="4"/>
      <c r="E816" s="24"/>
      <c r="F816" s="29"/>
      <c r="G816" s="4"/>
      <c r="H816" s="4"/>
      <c r="I816" s="52"/>
      <c r="K816" s="24"/>
      <c r="L816" s="4"/>
    </row>
    <row r="817">
      <c r="A817" s="4" t="s">
        <v>1197</v>
      </c>
      <c r="B817" s="4">
        <v>1.0</v>
      </c>
      <c r="C817" s="4"/>
      <c r="D817" s="4"/>
      <c r="E817" s="24"/>
      <c r="F817" s="29"/>
      <c r="G817" s="4"/>
      <c r="H817" s="4"/>
      <c r="I817" s="52"/>
      <c r="K817" s="24"/>
      <c r="L817" s="4"/>
    </row>
    <row r="818">
      <c r="A818" s="4" t="s">
        <v>1198</v>
      </c>
      <c r="B818" s="4">
        <v>1.0</v>
      </c>
      <c r="C818" s="4"/>
      <c r="D818" s="4"/>
      <c r="E818" s="24"/>
      <c r="F818" s="29"/>
      <c r="G818" s="4"/>
      <c r="H818" s="4"/>
      <c r="I818" s="52"/>
      <c r="K818" s="24"/>
      <c r="L818" s="4"/>
    </row>
    <row r="819">
      <c r="A819" s="4" t="s">
        <v>1199</v>
      </c>
      <c r="B819" s="4">
        <v>1.0</v>
      </c>
      <c r="C819" s="4"/>
      <c r="D819" s="4"/>
      <c r="E819" s="24"/>
      <c r="F819" s="29"/>
      <c r="G819" s="4"/>
      <c r="H819" s="4"/>
      <c r="I819" s="52"/>
      <c r="K819" s="24"/>
      <c r="L819" s="4"/>
    </row>
    <row r="820">
      <c r="A820" s="4" t="s">
        <v>1200</v>
      </c>
      <c r="B820" s="4">
        <v>1.0</v>
      </c>
      <c r="C820" s="4"/>
      <c r="D820" s="4"/>
      <c r="E820" s="24"/>
      <c r="F820" s="29"/>
      <c r="G820" s="4"/>
      <c r="H820" s="4"/>
      <c r="I820" s="52"/>
      <c r="K820" s="24"/>
      <c r="L820" s="4"/>
    </row>
    <row r="821">
      <c r="A821" s="4" t="s">
        <v>1201</v>
      </c>
      <c r="B821" s="4">
        <v>1.0</v>
      </c>
      <c r="C821" s="4"/>
      <c r="D821" s="4"/>
      <c r="E821" s="24"/>
      <c r="F821" s="29"/>
      <c r="G821" s="4"/>
      <c r="H821" s="4"/>
      <c r="I821" s="52"/>
      <c r="K821" s="24"/>
      <c r="L821" s="4"/>
    </row>
    <row r="822">
      <c r="A822" s="4" t="s">
        <v>1202</v>
      </c>
      <c r="B822" s="4">
        <v>1.0</v>
      </c>
      <c r="C822" s="4"/>
      <c r="D822" s="4"/>
      <c r="E822" s="24"/>
      <c r="F822" s="29"/>
      <c r="G822" s="4"/>
      <c r="H822" s="4"/>
      <c r="I822" s="52"/>
      <c r="K822" s="24"/>
      <c r="L822" s="4"/>
    </row>
    <row r="823">
      <c r="A823" s="4" t="s">
        <v>1203</v>
      </c>
      <c r="B823" s="4">
        <v>1.0</v>
      </c>
      <c r="C823" s="4"/>
      <c r="D823" s="4"/>
      <c r="E823" s="24"/>
      <c r="F823" s="29"/>
      <c r="G823" s="4"/>
      <c r="H823" s="4"/>
      <c r="I823" s="52"/>
      <c r="K823" s="24"/>
      <c r="L823" s="4"/>
    </row>
    <row r="824">
      <c r="A824" s="4" t="s">
        <v>1204</v>
      </c>
      <c r="B824" s="4">
        <v>1.0</v>
      </c>
      <c r="C824" s="4"/>
      <c r="D824" s="4"/>
      <c r="E824" s="24"/>
      <c r="F824" s="29"/>
      <c r="G824" s="4"/>
      <c r="H824" s="4"/>
      <c r="I824" s="52"/>
      <c r="K824" s="24"/>
      <c r="L824" s="4"/>
    </row>
    <row r="825">
      <c r="A825" s="4" t="s">
        <v>1205</v>
      </c>
      <c r="B825" s="4">
        <v>1.0</v>
      </c>
      <c r="C825" s="4"/>
      <c r="D825" s="4"/>
      <c r="E825" s="24"/>
      <c r="F825" s="29"/>
      <c r="G825" s="4"/>
      <c r="H825" s="4"/>
      <c r="I825" s="52"/>
      <c r="K825" s="4"/>
      <c r="L825" s="4"/>
    </row>
    <row r="826">
      <c r="A826" s="4" t="s">
        <v>1206</v>
      </c>
      <c r="B826" s="4">
        <v>1.0</v>
      </c>
      <c r="C826" s="4"/>
      <c r="D826" s="4"/>
      <c r="E826" s="24"/>
      <c r="F826" s="29"/>
      <c r="G826" s="4"/>
      <c r="H826" s="4"/>
      <c r="I826" s="52"/>
      <c r="K826" s="4"/>
      <c r="L826" s="4"/>
    </row>
    <row r="827">
      <c r="A827" s="4" t="s">
        <v>1207</v>
      </c>
      <c r="B827" s="4">
        <v>1.0</v>
      </c>
      <c r="C827" s="4"/>
      <c r="D827" s="4"/>
      <c r="E827" s="24"/>
      <c r="F827" s="29"/>
      <c r="G827" s="4"/>
      <c r="H827" s="4"/>
      <c r="I827" s="52"/>
      <c r="K827" s="4"/>
      <c r="L827" s="4"/>
    </row>
    <row r="828">
      <c r="A828" s="4" t="s">
        <v>1208</v>
      </c>
      <c r="B828" s="4">
        <v>1.0</v>
      </c>
      <c r="C828" s="4"/>
      <c r="D828" s="4"/>
      <c r="E828" s="24"/>
      <c r="F828" s="29"/>
      <c r="G828" s="4"/>
      <c r="H828" s="4"/>
      <c r="I828" s="52"/>
      <c r="K828" s="4"/>
      <c r="L828" s="4"/>
    </row>
    <row r="829">
      <c r="A829" s="4" t="s">
        <v>1209</v>
      </c>
      <c r="B829" s="4">
        <v>1.0</v>
      </c>
      <c r="C829" s="4"/>
      <c r="D829" s="4"/>
      <c r="E829" s="24"/>
      <c r="F829" s="29"/>
      <c r="G829" s="4"/>
      <c r="H829" s="4"/>
      <c r="I829" s="52"/>
      <c r="K829" s="4"/>
      <c r="L829" s="4"/>
    </row>
    <row r="830">
      <c r="A830" s="4" t="s">
        <v>1210</v>
      </c>
      <c r="B830" s="4">
        <v>1.0</v>
      </c>
      <c r="C830" s="4"/>
      <c r="D830" s="4"/>
      <c r="E830" s="24"/>
      <c r="F830" s="29"/>
      <c r="G830" s="4"/>
      <c r="H830" s="4"/>
      <c r="I830" s="52"/>
      <c r="K830" s="4"/>
      <c r="L830" s="4"/>
    </row>
    <row r="831">
      <c r="A831" s="4" t="s">
        <v>1211</v>
      </c>
      <c r="B831" s="4">
        <v>1.0</v>
      </c>
      <c r="C831" s="4"/>
      <c r="D831" s="4"/>
      <c r="E831" s="24"/>
      <c r="F831" s="29"/>
      <c r="G831" s="4"/>
      <c r="H831" s="4"/>
      <c r="I831" s="52"/>
      <c r="K831" s="4"/>
      <c r="L831" s="4"/>
    </row>
    <row r="832">
      <c r="A832" s="4" t="s">
        <v>1212</v>
      </c>
      <c r="B832" s="4">
        <v>1.0</v>
      </c>
      <c r="C832" s="4"/>
      <c r="D832" s="4"/>
      <c r="E832" s="24"/>
      <c r="F832" s="29"/>
      <c r="G832" s="4"/>
      <c r="H832" s="4"/>
      <c r="I832" s="52"/>
      <c r="K832" s="4"/>
      <c r="L832" s="4"/>
    </row>
    <row r="833">
      <c r="A833" s="4" t="s">
        <v>1213</v>
      </c>
      <c r="B833" s="4">
        <v>1.0</v>
      </c>
      <c r="C833" s="4"/>
      <c r="D833" s="4"/>
      <c r="E833" s="24"/>
      <c r="F833" s="29"/>
      <c r="G833" s="4"/>
      <c r="H833" s="4"/>
      <c r="I833" s="52"/>
      <c r="K833" s="4"/>
      <c r="L833" s="4"/>
    </row>
    <row r="834">
      <c r="A834" s="4" t="s">
        <v>1214</v>
      </c>
      <c r="B834" s="4">
        <v>1.0</v>
      </c>
      <c r="C834" s="4"/>
      <c r="D834" s="4"/>
      <c r="E834" s="24"/>
      <c r="F834" s="29"/>
      <c r="G834" s="4"/>
      <c r="H834" s="4"/>
      <c r="I834" s="52"/>
      <c r="K834" s="4"/>
      <c r="L834" s="4"/>
    </row>
    <row r="835">
      <c r="A835" s="4" t="s">
        <v>1215</v>
      </c>
      <c r="B835" s="4">
        <v>1.0</v>
      </c>
      <c r="C835" s="4"/>
      <c r="D835" s="4"/>
      <c r="E835" s="24"/>
      <c r="F835" s="29"/>
      <c r="G835" s="4"/>
      <c r="H835" s="4"/>
      <c r="I835" s="52"/>
      <c r="K835" s="4"/>
      <c r="L835" s="4"/>
    </row>
    <row r="836">
      <c r="A836" s="4" t="s">
        <v>1216</v>
      </c>
      <c r="B836" s="4">
        <v>1.0</v>
      </c>
      <c r="C836" s="4"/>
      <c r="D836" s="4"/>
      <c r="E836" s="24"/>
      <c r="F836" s="29"/>
      <c r="G836" s="52"/>
      <c r="H836" s="29"/>
      <c r="I836" s="13"/>
      <c r="K836" s="52"/>
      <c r="L836" s="4"/>
    </row>
    <row r="837">
      <c r="A837" s="4" t="s">
        <v>1217</v>
      </c>
      <c r="B837" s="4">
        <v>1.0</v>
      </c>
      <c r="C837" s="4"/>
      <c r="D837" s="4"/>
      <c r="E837" s="24"/>
      <c r="F837" s="29"/>
      <c r="G837" s="52"/>
      <c r="H837" s="29"/>
      <c r="I837" s="13"/>
      <c r="K837" s="52"/>
      <c r="L837" s="4"/>
    </row>
    <row r="838">
      <c r="A838" s="4" t="s">
        <v>1218</v>
      </c>
      <c r="B838" s="4">
        <v>1.0</v>
      </c>
      <c r="C838" s="4"/>
      <c r="D838" s="4"/>
      <c r="E838" s="24"/>
      <c r="F838" s="29"/>
      <c r="G838" s="52"/>
      <c r="H838" s="29"/>
      <c r="I838" s="13"/>
      <c r="K838" s="52"/>
      <c r="L838" s="4"/>
    </row>
    <row r="839">
      <c r="A839" s="4" t="s">
        <v>1219</v>
      </c>
      <c r="B839" s="4">
        <v>1.0</v>
      </c>
      <c r="C839" s="4"/>
      <c r="D839" s="4"/>
      <c r="E839" s="24"/>
      <c r="F839" s="29"/>
      <c r="G839" s="52"/>
      <c r="H839" s="29"/>
      <c r="I839" s="13"/>
      <c r="K839" s="52"/>
      <c r="L839" s="4"/>
    </row>
    <row r="840">
      <c r="A840" s="4" t="s">
        <v>1220</v>
      </c>
      <c r="B840" s="4">
        <v>1.0</v>
      </c>
      <c r="C840" s="4"/>
      <c r="D840" s="4"/>
      <c r="E840" s="24"/>
      <c r="F840" s="29"/>
      <c r="G840" s="52"/>
      <c r="H840" s="5"/>
      <c r="I840" s="13"/>
      <c r="K840" s="52"/>
      <c r="L840" s="4"/>
    </row>
    <row r="841">
      <c r="A841" s="4" t="s">
        <v>1221</v>
      </c>
      <c r="B841" s="4">
        <v>1.0</v>
      </c>
      <c r="C841" s="4"/>
      <c r="D841" s="4"/>
      <c r="E841" s="24"/>
      <c r="F841" s="29"/>
      <c r="G841" s="52"/>
      <c r="H841" s="5"/>
      <c r="I841" s="13"/>
      <c r="K841" s="52"/>
      <c r="L841" s="4"/>
    </row>
    <row r="842">
      <c r="A842" s="4" t="s">
        <v>128</v>
      </c>
      <c r="B842" s="8">
        <v>1.0</v>
      </c>
      <c r="C842" s="4"/>
      <c r="D842" s="4"/>
      <c r="E842" s="4"/>
      <c r="F842" s="4"/>
      <c r="G842" s="4"/>
      <c r="H842" s="4"/>
      <c r="I842" s="52"/>
      <c r="J842" s="4"/>
      <c r="K842" s="4"/>
      <c r="L842" s="4"/>
    </row>
    <row r="843">
      <c r="A843" s="49" t="s">
        <v>1222</v>
      </c>
      <c r="B843" s="8">
        <v>1.0</v>
      </c>
    </row>
    <row r="844">
      <c r="A844" s="49" t="s">
        <v>1223</v>
      </c>
      <c r="B844" s="8">
        <v>1.0</v>
      </c>
    </row>
    <row r="845">
      <c r="A845" s="49" t="s">
        <v>1224</v>
      </c>
      <c r="B845" s="8">
        <v>1.0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7" t="s">
        <v>1225</v>
      </c>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drawing r:id="rId1"/>
</worksheet>
</file>