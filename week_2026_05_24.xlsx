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im Sheet" sheetId="1" r:id="rId5"/>
    <sheet state="visible" name="Tasks to Send Back" sheetId="2" r:id="rId6"/>
    <sheet state="visible" name="Model Decomp" sheetId="3" r:id="rId7"/>
    <sheet state="visible" name="repository" sheetId="4" r:id="rId8"/>
    <sheet state="visible" name="New Onboards" sheetId="5" r:id="rId9"/>
    <sheet state="visible" name="Non-Decomp Summary" sheetId="6" r:id="rId10"/>
    <sheet state="visible" name="Model Decomp Summary" sheetId="7" r:id="rId11"/>
    <sheet state="visible" name="Old Newly Onboarded" sheetId="8" r:id="rId12"/>
    <sheet state="visible" name="Decomp Rubrics" sheetId="9" r:id="rId13"/>
    <sheet state="visible" name="Practice Task" sheetId="10" r:id="rId14"/>
    <sheet state="visible" name="PT Summary" sheetId="11" r:id="rId15"/>
    <sheet state="visible" name="PT Repo" sheetId="12" r:id="rId16"/>
    <sheet state="visible" name="PT Results" sheetId="13" r:id="rId17"/>
    <sheet state="visible" name="RFD" sheetId="14" r:id="rId18"/>
    <sheet state="visible" name="Sent Back" sheetId="15" r:id="rId19"/>
    <sheet state="visible" name="RTF" sheetId="16" r:id="rId20"/>
  </sheets>
  <definedNames>
    <definedName hidden="1" localSheetId="0" name="_xlnm._FilterDatabase">'Claim Sheet'!$A$1:$M$147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significant work and had to redo exercise due to TLIP crashing</t>
      </text>
    </comment>
    <comment authorId="0" ref="E82">
      <text>
        <t xml:space="preserve">required almost redoing the exercise from scratch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tc={024ae4cf-2622-4a64-89f6-4983df640e61}</author>
    <author>tc={0806c352-152e-473b-afb7-059715a770a4}</author>
    <author>tc={16e251ff-ff04-4868-b88f-1fbcd0f94db3}</author>
    <author>tc={3049a636-0727-43cc-a610-a0766ae418dd}</author>
    <author>tc={58a87c94-db4b-4300-932d-13a11f83b3dd}</author>
    <author>tc={71550616-39bf-462c-8a9a-34812ee51c1e}</author>
    <author>tc={7a10b508-bd8e-4e3e-a494-903cd18f3aa7}</author>
    <author>tc={83536daf-dcb4-4862-818c-1a26e2b0656f}</author>
    <author>tc={9355c79d-6191-4b79-8758-3055b03d6aba}</author>
    <author>tc={9a6a742b-4c6d-469e-be20-d627a5f4d6f7}</author>
    <author>tc={9f674c31-c1f7-4ffb-9899-821e4eec4cab}</author>
    <author>tc={a21c934e-4c38-4ed1-8940-ab41d8f326c0}</author>
    <author>tc={a29849d4-5963-4c03-8934-e8c6f86d863a}</author>
    <author>tc={ac2c46b5-ab24-4cff-8e8d-e7afe5ecbb96}</author>
    <author>tc={ac6052d2-623f-4b96-ac10-231413e9737b}</author>
    <author>tc={afe3b014-1ac6-43b7-8602-4f1015fc0a03}</author>
    <author>tc={b4ac1c9e-762f-468c-8286-c2d54b131cc6}</author>
    <author>tc={bc7c60c4-a19a-4e86-af26-487f2a81f257}</author>
    <author>tc={bcda326d-b762-4bc4-b61e-148751976c5f}</author>
    <author>tc={c20f35f0-f869-4e70-938d-946b0cddcc55}</author>
    <author>tc={d40db1f8-9249-45d3-ace2-a6a6398bd3cb}</author>
    <author>tc={d48c22a0-4a50-4c4f-8ccf-79d26c164bc3}</author>
    <author>tc={e00e19ba-0c69-4f53-9a89-350ab98f12d8}</author>
    <author>tc={eabc9485-495d-4ba5-96d2-5b3a8b9222c0}</author>
  </authors>
  <commentList>
    <comment authorId="0" xr:uid="{024ae4cf-2622-4a64-89f6-4983df640e61}" ref="C35">
      <text>
        <t xml:space="preserve">[Threaded comment]
 Your version of Excel allows you to read this threaded comment; however, any edits to it will get removed if the file is opened in a newer version of Excel. Learn more: https://go.microsoft.com/fwlink/?linkid=870924
Comment:
	Waiting on Claude
</t>
      </text>
    </comment>
    <comment authorId="1" xr:uid="{0806c352-152e-473b-afb7-059715a770a4}" ref="C18">
      <text>
        <t xml:space="preserve">[Threaded comment]
 Your version of Excel allows you to read this threaded comment; however, any edits to it will get removed if the file is opened in a newer version of Excel. Learn more: https://go.microsoft.com/fwlink/?linkid=870924
Comment:
	waiting to be sent to prompt stage
</t>
      </text>
    </comment>
    <comment authorId="2" xr:uid="{16e251ff-ff04-4868-b88f-1fbcd0f94db3}" ref="C10">
      <text>
        <t xml:space="preserve">[Threaded comment]
 Your version of Excel allows you to read this threaded comment; however, any edits to it will get removed if the file is opened in a newer version of Excel. Learn more: https://go.microsoft.com/fwlink/?linkid=870924
Comment:
	I forgot to upload my updated input/output files before submitting my prompt... calling back
</t>
      </text>
    </comment>
    <comment authorId="3" xr:uid="{3049a636-0727-43cc-a610-a0766ae418dd}" ref="C11">
      <text>
        <t xml:space="preserve">[Threaded comment]
 Your version of Excel allows you to read this threaded comment; however, any edits to it will get removed if the file is opened in a newer version of Excel. Learn more: https://go.microsoft.com/fwlink/?linkid=870924
Comment:
	Waiting on Claude Feedback
</t>
      </text>
    </comment>
    <comment authorId="4" xr:uid="{58a87c94-db4b-4300-932d-13a11f83b3dd}" ref="C34">
      <text>
        <t xml:space="preserve">[Threaded comment]
 Your version of Excel allows you to read this threaded comment; however, any edits to it will get removed if the file is opened in a newer version of Excel. Learn more: https://go.microsoft.com/fwlink/?linkid=870924
Comment:
	waiting on Claude
</t>
      </text>
    </comment>
    <comment authorId="5" xr:uid="{71550616-39bf-462c-8a9a-34812ee51c1e}" ref="C19">
      <text>
        <t xml:space="preserve">[Threaded comment]
 Your version of Excel allows you to read this threaded comment; however, any edits to it will get removed if the file is opened in a newer version of Excel. Learn more: https://go.microsoft.com/fwlink/?linkid=870924
Comment:
	waiting to be sent to prompt stage
</t>
      </text>
    </comment>
    <comment authorId="6" xr:uid="{7a10b508-bd8e-4e3e-a494-903cd18f3aa7}" ref="C18">
      <text>
        <t xml:space="preserve">[Threaded comment]
 Your version of Excel allows you to read this threaded comment; however, any edits to it will get removed if the file is opened in a newer version of Excel. Learn more: https://go.microsoft.com/fwlink/?linkid=870924
Comment:
	waiting on guidance - simple task
</t>
      </text>
    </comment>
    <comment authorId="7" xr:uid="{83536daf-dcb4-4862-818c-1a26e2b0656f}" ref="C8">
      <text>
        <t xml:space="preserve">[Threaded comment]
 Your version of Excel allows you to read this threaded comment; however, any edits to it will get removed if the file is opened in a newer version of Excel. Learn more: https://go.microsoft.com/fwlink/?linkid=870924
Comment:
	rubric is ready
Reply:
	waiting on claude feedback
</t>
      </text>
    </comment>
    <comment authorId="8" xr:uid="{9355c79d-6191-4b79-8758-3055b03d6aba}" ref="C27">
      <text>
        <t xml:space="preserve">[Threaded comment]
 Your version of Excel allows you to read this threaded comment; however, any edits to it will get removed if the file is opened in a newer version of Excel. Learn more: https://go.microsoft.com/fwlink/?linkid=870924
Comment:
	waiting on rubric
</t>
      </text>
    </comment>
    <comment authorId="9" xr:uid="{9a6a742b-4c6d-469e-be20-d627a5f4d6f7}" ref="C13">
      <text>
        <t xml:space="preserve">[Threaded comment]
 Your version of Excel allows you to read this threaded comment; however, any edits to it will get removed if the file is opened in a newer version of Excel. Learn more: https://go.microsoft.com/fwlink/?linkid=870924
Comment:
	feel like this should be split into multiple tasks; building a P&amp;L detail tab, a BS, and a CF for the historical and projection periods.
</t>
      </text>
    </comment>
    <comment authorId="10" xr:uid="{9f674c31-c1f7-4ffb-9899-821e4eec4cab}" ref="C24">
      <text>
        <t xml:space="preserve">[Threaded comment]
 Your version of Excel allows you to read this threaded comment; however, any edits to it will get removed if the file is opened in a newer version of Excel. Learn more: https://go.microsoft.com/fwlink/?linkid=870924
Comment:
	check once Claude feedback is done
</t>
      </text>
    </comment>
    <comment authorId="11" xr:uid="{a21c934e-4c38-4ed1-8940-ab41d8f326c0}" ref="C27">
      <text>
        <t xml:space="preserve">[Threaded comment]
 Your version of Excel allows you to read this threaded comment; however, any edits to it will get removed if the file is opened in a newer version of Excel. Learn more: https://go.microsoft.com/fwlink/?linkid=870924
Comment:
	waiting on rubric
</t>
      </text>
    </comment>
    <comment authorId="12" xr:uid="{a29849d4-5963-4c03-8934-e8c6f86d863a}" ref="C36">
      <text>
        <t xml:space="preserve">[Threaded comment]
 Your version of Excel allows you to read this threaded comment; however, any edits to it will get removed if the file is opened in a newer version of Excel. Learn more: https://go.microsoft.com/fwlink/?linkid=870924
Comment:
	cluster of small tasks - will revisit
</t>
      </text>
    </comment>
    <comment authorId="13" xr:uid="{ac2c46b5-ab24-4cff-8e8d-e7afe5ecbb96}" ref="C10">
      <text>
        <t xml:space="preserve">[Threaded comment]
 Your version of Excel allows you to read this threaded comment; however, any edits to it will get removed if the file is opened in a newer version of Excel. Learn more: https://go.microsoft.com/fwlink/?linkid=870924
Comment:
	waiting on Claude Feedback
</t>
      </text>
    </comment>
    <comment authorId="14" xr:uid="{ac6052d2-623f-4b96-ac10-231413e9737b}" ref="C21">
      <text>
        <t xml:space="preserve">[Threaded comment]
 Your version of Excel allows you to read this threaded comment; however, any edits to it will get removed if the file is opened in a newer version of Excel. Learn more: https://go.microsoft.com/fwlink/?linkid=870924
Comment:
	Waiting on Claude Feedback
</t>
      </text>
    </comment>
    <comment authorId="15" xr:uid="{afe3b014-1ac6-43b7-8602-4f1015fc0a03}" ref="C19">
      <text>
        <t xml:space="preserve">[Threaded comment]
 Your version of Excel allows you to read this threaded comment; however, any edits to it will get removed if the file is opened in a newer version of Excel. Learn more: https://go.microsoft.com/fwlink/?linkid=870924
Comment:
	waiting on guidance - simple task
</t>
      </text>
    </comment>
    <comment authorId="16" xr:uid="{b4ac1c9e-762f-468c-8286-c2d54b131cc6}" ref="C23">
      <text>
        <t xml:space="preserve">[Threaded comment]
 Your version of Excel allows you to read this threaded comment; however, any edits to it will get removed if the file is opened in a newer version of Excel. Learn more: https://go.microsoft.com/fwlink/?linkid=870924
Comment:
	waiting on Claude Feedback
</t>
      </text>
    </comment>
    <comment authorId="17" xr:uid="{bc7c60c4-a19a-4e86-af26-487f2a81f257}" ref="C23">
      <text>
        <t xml:space="preserve">[Threaded comment]
 Your version of Excel allows you to read this threaded comment; however, any edits to it will get removed if the file is opened in a newer version of Excel. Learn more: https://go.microsoft.com/fwlink/?linkid=870924
Comment:
	will submit once the claude feedback on 9451a181 is done - its essentially the same task just on a different tab
</t>
      </text>
    </comment>
    <comment authorId="18" xr:uid="{bcda326d-b762-4bc4-b61e-148751976c5f}" ref="C34">
      <text>
        <t xml:space="preserve">[Threaded comment]
 Your version of Excel allows you to read this threaded comment; however, any edits to it will get removed if the file is opened in a newer version of Excel. Learn more: https://go.microsoft.com/fwlink/?linkid=870924
Comment:
	Waiting on Claude
</t>
      </text>
    </comment>
    <comment authorId="19" xr:uid="{c20f35f0-f869-4e70-938d-946b0cddcc55}" ref="C14">
      <text>
        <t xml:space="preserve">[Threaded comment]
 Your version of Excel allows you to read this threaded comment; however, any edits to it will get removed if the file is opened in a newer version of Excel. Learn more: https://go.microsoft.com/fwlink/?linkid=870924
Comment:
	Waiting on rubric - will check in AM on 5/21
Reply:
	waiting on claude feedback
</t>
      </text>
    </comment>
    <comment authorId="20" xr:uid="{d40db1f8-9249-45d3-ace2-a6a6398bd3cb}" ref="C21">
      <text>
        <t xml:space="preserve">[Threaded comment]
 Your version of Excel allows you to read this threaded comment; however, any edits to it will get removed if the file is opened in a newer version of Excel. Learn more: https://go.microsoft.com/fwlink/?linkid=870924
Comment:
	Claude feedback erroneously flagging column width being an issue and causing truncation in 2024 - 2029. It is claiming the column width is set to the default of ~8.3 whereas its set to 18, similar to 2023.
</t>
      </text>
    </comment>
    <comment authorId="21" xr:uid="{d48c22a0-4a50-4c4f-8ccf-79d26c164bc3}" ref="C22">
      <text>
        <t xml:space="preserve">[Threaded comment]
 Your version of Excel allows you to read this threaded comment; however, any edits to it will get removed if the file is opened in a newer version of Excel. Learn more: https://go.microsoft.com/fwlink/?linkid=870924
Comment:
	Waiting on Claude Feedback
</t>
      </text>
    </comment>
    <comment authorId="22" xr:uid="{e00e19ba-0c69-4f53-9a89-350ab98f12d8}" ref="C27">
      <text>
        <t xml:space="preserve">[Threaded comment]
 Your version of Excel allows you to read this threaded comment; however, any edits to it will get removed if the file is opened in a newer version of Excel. Learn more: https://go.microsoft.com/fwlink/?linkid=870924
Comment:
	waiting on Claude
</t>
      </text>
    </comment>
    <comment authorId="23" xr:uid="{eabc9485-495d-4ba5-96d2-5b3a8b9222c0}" ref="C18">
      <text>
        <t xml:space="preserve">[Threaded comment]
 Your version of Excel allows you to read this threaded comment; however, any edits to it will get removed if the file is opened in a newer version of Excel. Learn more: https://go.microsoft.com/fwlink/?linkid=870924
Comment:
	Claude gave the prompt a 3 bc adding in the new columns shifts the location of a table that's being reference in the input file, and all the formulas update (which happens automatically), so it was flagging 2,000+ changes not addressed in the prompt...
</t>
      </text>
    </comment>
  </commentList>
</comments>
</file>

<file path=xl/sharedStrings.xml><?xml version="1.0" encoding="utf-8"?>
<sst xmlns="http://schemas.openxmlformats.org/spreadsheetml/2006/main" count="3150" uniqueCount="1726">
  <si>
    <t>Task ID</t>
  </si>
  <si>
    <t>Force Claim Link</t>
  </si>
  <si>
    <t>Claimed By</t>
  </si>
  <si>
    <t>What Was Fixed</t>
  </si>
  <si>
    <t>AHT (mins)</t>
  </si>
  <si>
    <t>Claude Score</t>
  </si>
  <si>
    <t>Claude Feedback</t>
  </si>
  <si>
    <t>Eval Tool</t>
  </si>
  <si>
    <t>Eval Score</t>
  </si>
  <si>
    <t>Date fixed</t>
  </si>
  <si>
    <t>Too Simple</t>
  </si>
  <si>
    <t>Task Completed</t>
  </si>
  <si>
    <t>Sent Back for Fixes</t>
  </si>
  <si>
    <t>7a807980-2578-4689-9a0a-784ea3d33e86</t>
  </si>
  <si>
    <t>John W</t>
  </si>
  <si>
    <t>vlookup returning wrong value for JG europe, fixed  | updated prompt | fixed output/input</t>
  </si>
  <si>
    <t>generate in-task</t>
  </si>
  <si>
    <t>44ac67cb-1bb6-4667-8756-b22d439ca759</t>
  </si>
  <si>
    <t>Nadine M</t>
  </si>
  <si>
    <t>redid prompt, fixed formatting and hardcoding issues in workbook. refined rubric (no stacking) and now aligns with prompt and workbook.</t>
  </si>
  <si>
    <t>65be1d3a-83f6-4e28-9f85-b3a419a84fd6</t>
  </si>
  <si>
    <t>Ariya S</t>
  </si>
  <si>
    <t>workbook fixes based on claude feedback; rubric: added model integration and minor fixes across other sections</t>
  </si>
  <si>
    <t>2f1fdba6-a805-483f-810e-035773eb691d</t>
  </si>
  <si>
    <t>Elliot S</t>
  </si>
  <si>
    <t xml:space="preserve">redid prompt, fixed claude issues, and rubric </t>
  </si>
  <si>
    <t>295e3612-cb62-4eaf-b87a-96708f62d7c2</t>
  </si>
  <si>
    <t>workbook fixes, prompt edit, created model integration + output validation</t>
  </si>
  <si>
    <t>16e3ef61-3f9c-4ac7-b32f-4823bbc356f7</t>
  </si>
  <si>
    <t>workbook, prompt, and rubric small fixes from claude feedback</t>
  </si>
  <si>
    <t>aad52b58-4443-48b3-918d-98c1742f1df1</t>
  </si>
  <si>
    <t>fixes to workbook based on claude feedback, rubric fixes resulting from that</t>
  </si>
  <si>
    <t>8a831111-f767-4ed0-95e2-7f69615d0959</t>
  </si>
  <si>
    <t>Diogo P</t>
  </si>
  <si>
    <t>Major changes to input and output workbook. Both had linked cells to blank cells. Part of prompt didn't correspond to what was happening in the model.</t>
  </si>
  <si>
    <t>bc059c29-6c77-45f1-8172-fdbe6d1c4d42</t>
  </si>
  <si>
    <t>Antonio V</t>
  </si>
  <si>
    <t>Required significant work throughout</t>
  </si>
  <si>
    <t>f5f33709-656b-4730-bf27-54d886510a8a</t>
  </si>
  <si>
    <t>Francisco C</t>
  </si>
  <si>
    <t>Output: Typo on FCF calculation with change in invested capital as a positive. This was corrected but there was no impact on valuation | Input: Removed unatural progression - Summary valuation already had the output from the task | Prompt: Minor changes | Rubric: Corrected output and perturbation sections; Removed duplicated and out of scope</t>
  </si>
  <si>
    <t>bf86fd2e-3e2d-4d0f-a173-db297660e072</t>
  </si>
  <si>
    <t>Input: Removed hardcoded inputs on BS that were not natural progression | Output: Simplified assumption on goodwill amortization (was already calculated in the model); Few minor edits | Prompt: Removed incorrect hardcode for goodwill amortization; Simplified grammar | Rubric: Corrected wrong output validation criterion; Removed out of scope</t>
  </si>
  <si>
    <t>5452a654-d533-46eb-b47f-1357a47eeca6</t>
  </si>
  <si>
    <t>fixed rubric + logical progression of input to output by removing dependencies</t>
  </si>
  <si>
    <t>91f0eaf1-2d4b-41ab-a262-8453686cea5a</t>
  </si>
  <si>
    <t>Pragyat A</t>
  </si>
  <si>
    <t>Minor changes in prompt, model and rubrics</t>
  </si>
  <si>
    <t>cf573523-a0a1-40fb-ad40-b6b41b27ae3d</t>
  </si>
  <si>
    <t>Prompt, Rubric and output file. But their is issue in Input file too. regarding true values in check.</t>
  </si>
  <si>
    <t>e66fa748-66f4-4f25-b521-834f0ba81ff4</t>
  </si>
  <si>
    <t>workbook fixes based on claude feedback;several prompt rewrites/reorganization; many rubric changes</t>
  </si>
  <si>
    <t>85e101d0-e251-4991-91bb-5b2985d5cd65</t>
  </si>
  <si>
    <t>Changes in Prompt, Rubric and Output file.</t>
  </si>
  <si>
    <t>90bbed8a-b185-4f3d-96d0-b1527582ae9b</t>
  </si>
  <si>
    <t>workbook, prompt, and rubric fixes based on claude</t>
  </si>
  <si>
    <t>0d9d675e-f3aa-4291-9183-9828fc1cca68</t>
  </si>
  <si>
    <t>rubric to be regen (old format)</t>
  </si>
  <si>
    <t>74071b8e-e1a7-4815-9604-056c66f53fcd</t>
  </si>
  <si>
    <t>rubric fixes</t>
  </si>
  <si>
    <t>5329fcc2-0bb8-4eaf-b563-54b64adf97da</t>
  </si>
  <si>
    <t>2d607b4b-a8a1-41eb-a290-966ef66a1a8e</t>
  </si>
  <si>
    <t>Ava Z</t>
  </si>
  <si>
    <t xml:space="preserve">Workbook: fixed incorrectly locked cells, </t>
  </si>
  <si>
    <t>7e959336-04ed-49e4-bfef-665c0782448c</t>
  </si>
  <si>
    <t>fixes to workbook and rubric based on claude feedback</t>
  </si>
  <si>
    <t>a2cea33d-12d0-44ca-a889-a81ace87c570</t>
  </si>
  <si>
    <t>e12b11cd-c4b1-416a-89cc-76419d8c598a</t>
  </si>
  <si>
    <t>Jalaj G</t>
  </si>
  <si>
    <t>prompt
- minor changes
workbook output
- changed a few labels
- added historical missing calcs
rubric
- unstacked fc criteria
- removed out of scope criteria
- added presentation criteria</t>
  </si>
  <si>
    <t>62e771dc-72a6-41f0-9a53-41f396bef554</t>
  </si>
  <si>
    <t>prompt
- added missing data
- added missing calculation methodology
- improved language throughout
workbook output
- several changes in labels and formulae
- standardised formatting
rubric
- unstacked many criteria
- added mi criteria
- updated values of some ov and pt criteria
- added presentation criteria</t>
  </si>
  <si>
    <t>76d1c9fa-dcc0-4ae6-8d8a-54b7a3af800a</t>
  </si>
  <si>
    <t>prompt
- aligned analysis with actual workbook
- entered missing hardcoded data
- improved language throughout
workbook output
- applied consistent formatting
rubric
- unstacked many criteria
- removed out of scope and superfluous criteria
- added presentation criteria</t>
  </si>
  <si>
    <t>de0b9b68-3655-4ad8-b299-716ccea058fa</t>
  </si>
  <si>
    <t>prompt
- minor changes
workbook output
- updated formatting
rubric
- unstacked fc criteria
- added mi criteria
- removed out of scope criteria
- added presentation criteria</t>
  </si>
  <si>
    <t>9b77ed14-955e-476d-b455-9b9b4d7e0441</t>
  </si>
  <si>
    <t>prompt
- rewrote completely
- added missing inputs
- added missing direction to delete tab
workbook output
- updated formatting
- removed some hardcodes
rubric
- unstacked fc criteria
- added mi criteria
- corrected values of some ov and pt criteria
- removed out of scope criteria
- added presentation criteria</t>
  </si>
  <si>
    <t>98424092-bac5-4483-9f0f-dcfa1df92519</t>
  </si>
  <si>
    <t>prompt
- added missing calculation methodology
- minor changes
workbook output
- changed formula in row 105
rubric
- unstacked fc criteria
- added mi criteria
- added pt criteria
- removed out of scope criteria
- added presentation criteria</t>
  </si>
  <si>
    <t>36e31d9a-2788-4c0b-816a-22f66623d6fd</t>
  </si>
  <si>
    <t>prompt
- minor changes
workbook output
- changed formatting at a few places
- corrected wrong linkages and formulae
rubric
- unstacked fc criteria
- added mi criteria
- corrected values of some ov and pt criteria
- removed out of scope criteria
- added presentation criteria</t>
  </si>
  <si>
    <t>0a88b778-e4f3-418f-a39c-31aa94b7afa0</t>
  </si>
  <si>
    <t>Jeff Z</t>
  </si>
  <si>
    <t>Model: Included SAP in all comps outputs (previously incorrect), renamed tab correctly
Prompt: Tweaked prompt wording 
Rubric: Unstacked Pitfalls section, unstacked Presentation section, updated Perturbation to exact values, corrected rubric items for Output Validation section (for updated output workbook), standardized rubric for Model Integration section, updated scoring and labeling for the Formula Correctness section</t>
  </si>
  <si>
    <t>Run tsip-claude-feedback-ed0c7447-3724-4cda-9c27-4e1d044607af
Completed May 18, 10:02 PM
Major Takeaways
The output workbook successfully builds the Comparable Company Analysis (CCA) tab from scratch and populates the Formatted Charts tab with correct cross-tab links. All six companies are present with correct company information, all financial metrics link dynamically to the respective Formatted tabs, EV/Revenue and EV/ARR formulas are correct (EV÷Revenue, EV÷ARR), the Implied Valuation section correctly multiplies CCA statistics by Snowflake's revenue/ARR, number formatting is professional (accounting format with $, 0.0"x" for multiples, bold blue section headers), and no error values exist in either key tab. However, there is a meaningful implementation error: the CCA summary statistics (C15:D19) use the range L6:L9/M6:M9 covering only four companies—Oracle, MongoDB, Atlassian, Autodesk—silently excluding SAP SE (row 10) from the peer set. The prompt explicitly says to exclude only Snowflake. The Formatted Charts median correctly uses MEDIAN(C5:C9), which includes all five peers (SAP SE included), creating an internal inconsistency within the output workbook itself. The task-specific rubric is internally inconsistent as a consequence: its formula correctness criteria state "computed from the peer set, excluding Snowflake" (implying all five peers), but its output validation expected values were derived from the four-company erroneous calculation, so a model producing the truly correct output would fail output validation.
Major Errors
CCA summary statistics use wrong peer set (L6:L9 instead of L6:L10): SAP SE (row 10) is excluded from MAX, PERCENTILE, MEDIAN, and MIN formulas in cells C15:D19. This contradicts the prompt instruction to use "only the peer set (Snowflake should be excluded)." The prompt lists six companies, five of which should form the peer set; only Snowflake should be excluded from the statistics.
Internal inconsistency between CCA and Formatted Charts: The Formatted Charts median (C11/D11) correctly uses =MEDIAN(C5:C9) covering all five peers including SAP SE (producing EV/Revenue median of 8.46x and EV/ARR median of 10.02x), while the CCA stats use only four peers (EV/Revenue median 9.28x). The median values in these two sections do not agree for EV/Revenue.
Rubric internal inconsistency: The formula correctness criteria (e.g., criteria IDs edadd311, 17d30dc2, 832aa785, 3029eaa6, 4a81e33f, 01712254) assert "computed exclusively from the peer set, excluding Snowflake," but the rubric's output validation expected values (9.28x median EV/Revenue; 19171.86 implied median EV/Revenue) are derived from the four-company set that excludes SAP SE. A model that correctly includes SAP SE in the CCA peer set would pass formula correctness but fail output validation; a model that replicates the error would fail formula correctness but pass output validation.
Critical Errors
SAP SE excluded from CCA summary statistics: The formulas =MAX(L6:L9), =PERCENTILE(L6:L9, 0.75), =MEDIAN(L6:L9), etc., should extend to L6:L10 to include SAP SE. This causes all five CCA summary statistics and all ten implied valuation values to be computed from the wrong peer set. The same four-range error is in the corresponding M6:M9 formulas for EV/ARR. This is the single change that moves the output from a "4" to a "3"—the analysis logic is structurally sound but quantitatively wrong relative to the prompt specification.
Rubric output validation values calibrated to the erroneous output: Because the rubric's expected values (56484.83 max implied EV/ARR; 19171.86 median implied EV/Revenue; 9.28x CCA median EV/Revenue; 22065.76 75th-pct implied EV/Revenue; 17.87x 75th-pct EV/ARR) all match the four-peer calculation, a corrected output with SAP SE included would show different values (e.g., CCA median EV/Revenue ≈ 8.46x, implied median EV/Revenue ≈ 17,476) and fail output validation. This degraded rubric reliability prevents clean training signal.</t>
  </si>
  <si>
    <t>d83d3eb8-99ca-4de7-9f98-991a81ce1147</t>
  </si>
  <si>
    <t>feedback done, to complete on 5/21</t>
  </si>
  <si>
    <t>Output: Typo on one of the hardcodes for covid downside; removed the covenant and summary section to make the task more natural | Prompt: Minor adjustments | Rubric: Corrected most of validation and perturbation; Removed out of scope</t>
  </si>
  <si>
    <t>45417e1e-19aa-4c6b-83e6-cd694026420d</t>
  </si>
  <si>
    <t>Megan S</t>
  </si>
  <si>
    <t>Rubric did not match scope of output workbook, prompt rewritten + input workbook had to be recontextualized since it had hardcodes from the output workbook in it</t>
  </si>
  <si>
    <t>108dc013-5e4c-4773-8379-c873684fe7ca</t>
  </si>
  <si>
    <t>output workbook: fixed inconsistent decimals, corrected Other Rec calculation; fine turned prompt; rubric: revised formula checks</t>
  </si>
  <si>
    <t>bb995691-d4c3-4929-82e0-514c944b369a</t>
  </si>
  <si>
    <t xml:space="preserve">Pragyat A </t>
  </si>
  <si>
    <t>Input, Prompt and rubric change</t>
  </si>
  <si>
    <t>ea0c47ab-e763-421c-b9cd-9d61c1e1c880</t>
  </si>
  <si>
    <t>Input: Input was missing historical financials as mentioned by prompt; Corrected for natural progression (TV section had the outputs already pasted) | Output: Several typos across formulas, discounted cashflows missed the initial year, terminal value across the 2 methodologies was not discounted; Minor formatting typos | Prompt: Correction for alignment with new output | Rubric: Missing perturbation section, output section was mostly wrong; Other minor adjustements</t>
  </si>
  <si>
    <t>c3e5538c-d952-4ac9-9a99-7069e6438856</t>
  </si>
  <si>
    <t>prompt
- aligned all model values with prompt
- added missing calculation methodology
- improved language throughout
workbook output
- increased column widths
- standardised formatting
rubric
- unstacked many criteria
- added mi criteria
- added pt criteria
- added presentation criteria</t>
  </si>
  <si>
    <t>b66e0bf3-d738-4297-83dc-c19c545cf74c</t>
  </si>
  <si>
    <t>prompt
- aligned all model values with prompt
- removed unnecessary clutter
- improved language throughout
workbook output
- aligned all model values with prompt
- completed missing formulae
- corrected wrong formulae
- removed unnecessary clutter
- simplified formatting a bit
- standardised formatting
rubric
- unstacked many criteria
- added mi criteria
- corrected values of some ov and pt criteria
- added presentation criteria</t>
  </si>
  <si>
    <t>058b4565-71f7-4ebc-a015-b8c266077015</t>
  </si>
  <si>
    <t>Spencer H</t>
  </si>
  <si>
    <t>workbook: addressed claude feedback
prompt: had many repetitive hardcodes that were redundant; rewriting the logic for most lines since it is not explaining things correctly; didnt say any margin hardcodes
rubric: fixed formula stacking; fixed perturbation issues</t>
  </si>
  <si>
    <t>041e6f7f-5946-4fbd-8fb3-44b05aa05bfc</t>
  </si>
  <si>
    <t>Had to rebuild the whole exercise</t>
  </si>
  <si>
    <t>f30e6ae0-df43-4046-bcf8-a3f33b59aeb9</t>
  </si>
  <si>
    <t>Significant work required to get the task in shape</t>
  </si>
  <si>
    <t>be626304-e5bb-4b2f-9ce0-8b4cd83bfbf3</t>
  </si>
  <si>
    <t>rewrote the prompt and fixed claude errors, also fixed criteria across rubric</t>
  </si>
  <si>
    <t>bf4c8c03-081b-4fc0-898a-fe986f5af59f</t>
  </si>
  <si>
    <t>fixed the prompt structure which was adding some things to incorrect sections; rewriting; fixed incorrect hardcodes; rewriting this prompt; fixed claude's comments on prompt/workbook discrepencies; removed formula testing outputs; perturbation items were slightly off</t>
  </si>
  <si>
    <t>9d414d85-a66d-4f32-b050-5fdbbd86f024</t>
  </si>
  <si>
    <t>workbook: fixed claude's comments
prompt: this is 3 sentences and needs much more substance so I am rewriting
rubric: couple rubric items were out of scope; few perturbation issues where they were slightly off</t>
  </si>
  <si>
    <t>1a694939-ce51-42dd-9273-d4121f1ffab0</t>
  </si>
  <si>
    <t>reworked output / prompt. broke dependencies, output/perturbation had to be reworked</t>
  </si>
  <si>
    <t>6e838e97-396b-444d-9be1-91e86bcae25b</t>
  </si>
  <si>
    <t xml:space="preserve">fixed prompt and rubric and claude eroors </t>
  </si>
  <si>
    <t>899357e8-934d-4655-990c-5e66e404d2a2</t>
  </si>
  <si>
    <t>reworkd prompt, fixed output, made model integration, fixed output and perturbation</t>
  </si>
  <si>
    <t>6ceb3036-31f8-4349-9f95-5d4777b0c7c8</t>
  </si>
  <si>
    <t>clarifying what the was left in the input/output workbooks since it is not simply deleting everything and this was not addressed; reworking parts of the prompt; incorrectly said things were hardcoded when they were all calculated; the cash flow sweep overspecified a ton since ; fixed claude workbook comments; perturbation had some wrong items</t>
  </si>
  <si>
    <t>23a19259-e3c4-4823-bb05-ed7821221264</t>
  </si>
  <si>
    <t>Workbook had significant issues. Input workbook had already the output of the output workbook hardcoded.</t>
  </si>
  <si>
    <t>d295bf7f-ae0d-4757-af49-90df5a265211</t>
  </si>
  <si>
    <t>Caitlin R</t>
  </si>
  <si>
    <t>Minor feedback on the rubric. no changes to prompt</t>
  </si>
  <si>
    <t>a6dbab57-b9a1-4329-8bed-969535af74bd</t>
  </si>
  <si>
    <t>rewrote prompt and fixed claude issues</t>
  </si>
  <si>
    <t>3784aa9e-504c-4e54-b985-7a5cb8d1933a</t>
  </si>
  <si>
    <t>old rubric + way to simple regardless just pulling numbers and simple P&amp;L line item calcs woukd take 10 min for analyst</t>
  </si>
  <si>
    <t>8d6779ec-df84-4fcb-8d42-17100bec979c</t>
  </si>
  <si>
    <t>fixed prompt/workbook, rubric</t>
  </si>
  <si>
    <t>d5f5c3cc-bec3-457a-8f25-39e33cce876f</t>
  </si>
  <si>
    <t>Rewrote prompt and fixed Claude issues. Also worked on rubric to get rid of stacking</t>
  </si>
  <si>
    <t>b63e33e0-f4e9-4802-9908-2ce8ca7c074e</t>
  </si>
  <si>
    <t>Nimisha M</t>
  </si>
  <si>
    <t>6be2cad2-d839-433a-837f-ead416902d88</t>
  </si>
  <si>
    <t>Rewrote prompt with more details and logical flow. Fixed formatting and formulas in Workbook. Rubric: got rid of stacking, fixed output validation figures.</t>
  </si>
  <si>
    <t>4b3370f6-b062-4b42-a9c0-70edb4a9f649</t>
  </si>
  <si>
    <t xml:space="preserve">old rubric </t>
  </si>
  <si>
    <t>8506d678-28b4-4dc3-8d48-e847e8bb11f0</t>
  </si>
  <si>
    <t>addressed claude's comments; added formatting in the prompt and made a few other small tweaks; fixed perturbation errors; removed formula items out of scope; updated workbook format inconsistencies</t>
  </si>
  <si>
    <t>b6c24819-eb15-41e3-9e85-e1ec3944a1f3</t>
  </si>
  <si>
    <t>making slight tweaks to the prompt since it is in decent shape - missing a few hardcodes and things not stated in other parts of the model that it assumed was being pulled in; had to rewrite parts of this; formula section was testing hardcodes; removed formula stacking;  all oututs out of scope</t>
  </si>
  <si>
    <t>3068d001-beac-4e53-ba25-1029c5b31b0a</t>
  </si>
  <si>
    <t>General: Critical mistake on NOPAT calculation. NOPAT should consider taxes on EBIT, not on EBT. | Output: Corrected NOPAT taxes calculation. Adjusted free cash flows to Unlevered free cashflows | Prompt: Rewording, changed nomenclature for Unlevered free cash flow so that NOPAT is the basis for firm valuation | Rubric: Corrected validation and perturbation to accomodate the corrections made</t>
  </si>
  <si>
    <t>4afa716c-2632-44e3-a046-1d3cafde99ad</t>
  </si>
  <si>
    <t>Jared M</t>
  </si>
  <si>
    <t>illogical build - adding in a CF into an already fully built out model with valuations... will revisit to build a different task</t>
  </si>
  <si>
    <t>9ac50b6a-b3cc-4e39-80db-26efc527a7df</t>
  </si>
  <si>
    <t>simple task but illogical input state with the Int Expense figures hardcoded when this schedule drives the calculations; rework on the prompt and rubric</t>
  </si>
  <si>
    <t>dd5dd87a-520c-4890-ae75-645ec85a25b0</t>
  </si>
  <si>
    <t>Had to rework all the rubric as it had missing sections. Also changes to prompt and minor to model.</t>
  </si>
  <si>
    <t>9050883a-2ded-43ff-bdef-b111598bfe77</t>
  </si>
  <si>
    <t>95e47754-95d9-43e7-b7ac-b7182ed26a1f</t>
  </si>
  <si>
    <t>redoing the prompt, it is too ambiguous; removed formula stacking and out of scope rubric items</t>
  </si>
  <si>
    <t>2a848255-51e8-41af-8bf6-33720f84f8f3</t>
  </si>
  <si>
    <t>Diego P</t>
  </si>
  <si>
    <t>migrated from 5/17 sheet</t>
  </si>
  <si>
    <t>1c826292-7474-41b0-b55c-c5c3026881e9</t>
  </si>
  <si>
    <t>Changes to prompt and rubric. Wrong output workbook submitted and that's why it had errors. Issue has been solved</t>
  </si>
  <si>
    <t>654770a8-7e2c-447f-a770-57a6b05f1683</t>
  </si>
  <si>
    <t>25c6fc3e-a489-4b5c-a24f-6ac3bf5f7cf2</t>
  </si>
  <si>
    <t>fixed claude's comments which were some presentation issues and one perturbation; had already done this before and it said it was 2 rubric items away from a 5</t>
  </si>
  <si>
    <t>3426a792-0dce-4172-99f3-ad16f69e29e3</t>
  </si>
  <si>
    <t>workbook needed signifcant edits to fix claude errors; the prompt was in pretty good shape so just making slight edits; many formula items were stacked; model integration had to be more specific; all the perturbations just said something like "computed with the correct value" without actually stating a value</t>
  </si>
  <si>
    <t>f355ac29-6025-4a13-a04b-b1e0b9cf0b67</t>
  </si>
  <si>
    <t>68f08b51-5cf5-446d-ac68-50ed30841bdc</t>
  </si>
  <si>
    <t>a8590094-240a-4bd5-9fc9-1957975c02cd</t>
  </si>
  <si>
    <t>3166a5a4-9fa1-4cb6-9cb7-69efb4129132</t>
  </si>
  <si>
    <t>too simple - just building a few sensitivity tables</t>
  </si>
  <si>
    <t>f37029d6-f2f6-458e-803a-32d664f3e0ca</t>
  </si>
  <si>
    <t>Rubric had comlpetely wrong sections (numer 1 and 4)</t>
  </si>
  <si>
    <t>d44d1f90-a527-4f89-b6b8-7b0182b31ac6</t>
  </si>
  <si>
    <t>Minor changes to model, rubric and prompt.</t>
  </si>
  <si>
    <t>274a5df8-9de4-47da-a688-f7c2c545426a</t>
  </si>
  <si>
    <t>735a68dd-f94a-4837-aa1a-4e4db7330811</t>
  </si>
  <si>
    <t>rewriting this; fixed claude's workbook comments; removed formula stacking in rubric; model integration was not specific enough; perturbation items were slightly off; fixed presentation</t>
  </si>
  <si>
    <t>fe06a32d-2474-4338-8d11-e6391b0e0002</t>
  </si>
  <si>
    <t>c603f188-012e-432c-987a-bab69d68e967</t>
  </si>
  <si>
    <t>Had to redo prompt to align with workbook. Fixed formatting in sheet (color coding, decimals, consistency). fixed workbook formulas. Rubric: got rid of stacking and redid output validation and perturbation given my changes.</t>
  </si>
  <si>
    <t>4d4aebcd-b8ad-4ced-bf88-65f873ada047</t>
  </si>
  <si>
    <t>f294960f-a3ca-40cf-acca-b9590c052592</t>
  </si>
  <si>
    <t>837b4154-66d4-4608-ae5e-c276a5353e0a</t>
  </si>
  <si>
    <t>1edd989b-7321-4735-a6f3-3ee860e97797</t>
  </si>
  <si>
    <t>8acc4474-5e33-4ec3-a13b-91af7d059e53</t>
  </si>
  <si>
    <t>a9ecec1f-7c00-483e-a8a2-ca5e37bb67d7</t>
  </si>
  <si>
    <t>91773d4f-fedd-4d3c-869c-677ea3db26c5</t>
  </si>
  <si>
    <t>just a simple CF build with a revolver schedule that is pretty meaningless as its never drawn; the prompt has no details on any mechanics for the revolver; there's a good DCF build in the seed WB that I'll use as a task</t>
  </si>
  <si>
    <t>67f9d9b6-ddab-458f-825e-472de522a481</t>
  </si>
  <si>
    <t>prompt
- improved language throughout
workbook output
- changed formula in c214
- deleted hardcodes from d248:l248
- standardised formatting
rubric
- unstacked many criteria
- added some mi criteria
- updated values of some ov and pt criteria
- added presentation criteria</t>
  </si>
  <si>
    <t>fedb1a49-141f-4903-bb1d-af4e416f99e9</t>
  </si>
  <si>
    <t>the wrong output workbook submitted</t>
  </si>
  <si>
    <t>88bf1a51-3a20-4248-aa51-d6f16244776d</t>
  </si>
  <si>
    <t>old rubric</t>
  </si>
  <si>
    <t>ed6c77a7-69a7-4c66-9b3b-277ccab17b9d</t>
  </si>
  <si>
    <t>7e1002d3-e929-49ff-b66f-0c8639cd3d49</t>
  </si>
  <si>
    <t>Implemented minor Claude feedback</t>
  </si>
  <si>
    <t>f54cc8f4-531c-43ad-8271-0731f6a5fc1f</t>
  </si>
  <si>
    <t>bcdd0085-aeb2-483b-937b-3eca8c90a71a</t>
  </si>
  <si>
    <t>prompt
- added 3 more checks to make the task chunkier
- re-wrote entire prompt
workbook input
- aligned summary tab with output file
- changed column widths
workbook output
- added 3 more checks to make the task chunkier
- added some functionality
- aligned summary tab with input file
- changed column widths
rubric
- re-wrote the entire rubric
- added mi criteria
- added ov criteria
- added pt criteria
- removed out of scope criteria
- added presentation criteria</t>
  </si>
  <si>
    <t>ecea9d6b-d4fa-4ceb-9612-428e69c57930</t>
  </si>
  <si>
    <t>cf2067a1-99b4-4c0d-817b-01e60ba24c80</t>
  </si>
  <si>
    <t>Financial model and minor changes to rubric and prompt</t>
  </si>
  <si>
    <t>455a84b6-0dec-4e36-9f0c-a49a25261eda</t>
  </si>
  <si>
    <t>this is extremely underspecified and i am rewriting the whole thing - it only says the section headers of the whole LBO tab without going into any more detail; fixed claude's comments on the workbook; some formula correctness was testing hardcoded input values; some formulas had output items in them; one perturbation item was incorrect</t>
  </si>
  <si>
    <t>e3c878e1-31cc-44a5-9d12-3045a0475fdd</t>
  </si>
  <si>
    <t>Fixed rubric and prompt</t>
  </si>
  <si>
    <t>36ab5d58-e3a7-40e2-9388-e1d156a775f7</t>
  </si>
  <si>
    <t>workbook fixes based on claude feedback; additions to prompt; rubric fixes</t>
  </si>
  <si>
    <t>1ef74bd2-64b2-448e-a858-57a93046a5fd</t>
  </si>
  <si>
    <t xml:space="preserve">Rubric: fixed stacking and out of scope. Redid Model Integration section. Workbook and prompt: fixed and aligned formatting. </t>
  </si>
  <si>
    <t>not eligible for too simple - please complete the task regardless</t>
  </si>
  <si>
    <t>3f333b76-25bc-4c8a-80b4-c06e7d095f32</t>
  </si>
  <si>
    <t>Output: Corrected debt value calculation; Adjusted WACC components | Prompt: Full re write to include necessary data and make it more clear | Rubric: Removed out of scope, corrected output validation and perturbation sections based on the new output base case correction</t>
  </si>
  <si>
    <t>67c66149-8cf4-4a0c-9bd0-959882d572f1</t>
  </si>
  <si>
    <t>Fixed formatting erros and rubric pitfall error. Noting interest expense is hardcoded. Mino rubric adjustments.</t>
  </si>
  <si>
    <t>733e1ae8-7516-4dcf-8dd9-3a9b082c2153</t>
  </si>
  <si>
    <t>Fixed both the input/output workbooks for erros and blank referencing. Then had to completely rewrite index formulas because the numbers were being calculated incorrectly in the model tab. After that I had to redo the whole rubric to match.</t>
  </si>
  <si>
    <t>7b100f04-743a-441e-9b0c-6bebe95cbee0</t>
  </si>
  <si>
    <t>Fixed formatting in output workbook, as well as clarified that WACC is not an input, but rather a calculation</t>
  </si>
  <si>
    <t>Run tsip-claude-feedback-085207da-cfd8-4b2b-8845-d656227d5319
Completed 19 may, 19:10
Major Takeaways
This is a high-quality patch-based task. The prompt is well-scoped, provides all hardcoded input values, describes the three-section structure clearly (Discount Rate Inputs with three subsections, WACC, Valuation Calculation), and is written in natural human language. The input workbook is a professionally constructed SaaS financial model with an o_Fin Stats tab containing cash flows, EBITDA, balance sheet data, and a consistent structural convention. The output workbook adds an o_DCF tab that is correctly integrated: the 60-month timeline header rows link to o_Fin Stats, operating and investing cash flows pull from rows 185 and 190 of o_Fin Stats respectively with an IF-actual/forecast conditional, the Valuation Date links to i_Setup!U26, and the P/Current EBITDA ratio links to o_Fin Stats!M104. All nine output validation checks pass exactly (WACC = 6.72%, TV = 2,111,109.40, sum DCF = 2,153,930.79, EV = 2,089,312.87, Equity Value = 2,228,528.32, P/Current EBITDA = 20.01x, P/Forward EBITDA = 10.46x, CoE = 7.40%, DLOM = −64,617.92). All six perturbation checks were verified algebraically and match the rubric expectations (e.g., TV growth 1.5% → 2.5% yields equity value ≈ 2,586,754). No error values exist in any tab. The o_DCF tab is correctly inserted between o_Fin Stats and o_Dashboard, and the sysCheck tab lists o_DCF as a monitored sheet.
Major Errors
K42 and K43 number format: The Cost of Equity (K42) and Cost of Debt after tax (K43) output cells in the WACC section use the simplified 0.00% format rather than the workbook-standard 0.00%_);[Red]\-0.00%_);0.00%_);[Red]"Err-"@ format used throughout the input assumption cells. This creates a minor visual inconsistency in the WACC section.
WACC row missing top border: Cell H44 ("WACC") in the WACC section does not have a thin top border, unlike other total/subtotal rows (rows 53, 56, 62, 65, 70) which all have thin top borders correctly applied.
BW53 not populated: There is no column-BW summary formula for "Cash Flow before Terminal Value" (row 53), though BW56 (Cash Flow before Discounting) correctly sums across the entire row including terminal value. This is a minor presentational gap that has no impact on calculations.
Critical Errors
None. All formula logic is correct, all model integrations are live and linked, all output values match expected ranges exactly, all perturbation sensitivities are dynamic and correct, and no error values or broken references exist in any tab.
Rubric Rationale
Meridian Rubric (Patch-Based):
Prompt–Workbook Coherence: 5/5 — All referenced artifacts exist; no mismatches. The o_Fin Stats cash flow rows, EBITDA line, balance sheet items, and i_Setup valuation date are all present and properly linkable.
Task Feasibility: 4/5 — Fully executable with at most one or two minor domain-standard interpretations (monthly discounting convention, terminal year as average of last 12 months). All task-specific assumptions (WACC inputs, growth rate, DLOM) are explicitly stated.
Input Workbook Starting State: 5/5 — Realistic, professional SaaS operating model; ideal preceding state for a DCF extension.
Output Workbook – Data Integrity: 5/5 — Zero error values across all nine tabs; all formulas resolve correctly.
Output Workbook – Formula Quality: 5/5 — Fully dynamic; all calculation cells reference labeled assumption cells; no hardcoded values in formulas.
Output Workbook – Formatting &amp; Presentation: 4/5 — Arial font throughout, correct number formats on valuation cells (#,##0;[Red]\(#,##0\);"-"_)), bold labels on total rows, thin top borders on key totals. Minor inconsistency: K42/K43 use simplified 0.00% format and H44 is missing a top border.
Input-to-Output Progression: 5/5 — Classic analyst workflow; operating model → DCF valuation tab is the definitive patch task archetype.
Task-Specific Rubric
Formula Correctness (25 pts possible): All 15 criteria pass — Debt Share, CAPM CoE, CoD after tax, WACC, CF before TV, Terminal Value, CF before discounting, discounting factor, discounted CF, DLOM, enterprise value, equity value bridge, debt sign convention, P/Current EBITDA, P/Forward EBITDA are all correctly implemented.
Model Integration (16 pts possible): All 4 criteria pass — timeline linked to o_Fin Stats, CF from operating linked with actual/forecast conditional, Valuation Date linked to i_Setup, P/Current EBITDA linked to o_Fin Stats!M104.
Output Validation (40 pts possible): All 9 criteria pass with sub-0.1% deviation from expected values.
Perturbation (30 pts possible): All 6 sensitivities verified algebraically to match expected outputs within tolerance.
Presentation (6 pts possible): ~5-6/6 — correct number formats, bold totals, thin borders (with the WACC row border gap noted), Arial font consistent.
Pitfalls (0 penalty): No error values, no truncation observed.
Overall, the task meets the standard for a 4 (Good) under the Meridian framework. All components score 3 or higher and most score 4 or 5. The output workbook is an excellent, fully-integrated DCF implementation with correct formulas and exact output values. The minor deductions are limited to cosmetic formatting inconsistencies (K42/K43 number format, one missing border) that do not affect correctness, integration, or usability as training data.</t>
  </si>
  <si>
    <t>7b5945dd-98a8-43ef-b9d2-2c94c05bf17a</t>
  </si>
  <si>
    <t>Fixed formatting in output workbook, as well as slightly rewrote prompt.</t>
  </si>
  <si>
    <t>Run tsip-claude-feedback-eb87dd6b-9096-470d-9b71-5f191507d969
Completed 19 may, 20:18
Major Takeaways
The output workbook adds a new "Entry-Exit Analysis" tab that is near-perfectly constructed. All ten output-validation targets match their expected values exactly: IRR = 55.21% (target 55.2%), CoC = 5.810x (target 5.81x), Exit EV = INR 12,021.15 mn, Exit Equity Value = INR 12,133.29 mn, JM Investment exit amount = INR 1,597.75 mn, net debt at exit = –INR 112.14 mn, pre-money equity value = INR 1,745.60 mn, post-money EV/EBITDA = 16.41x, IRR sensitivity (700 mn / 13×) = 44.89%, and CoC sensitivity (600 mn / 12×) = 3.50×. All five perturbation scenarios also compute correctly due to fully dynamic formulas: the pre-money EV is driven by MAX(MIN(G16×G6, G18), G17), XIRR uses dated cash flows, and all cross-tab links are live (Revenue from Financial Statements!CA14/10^6, Total Investment from Balance Sheet Assumptions!Q6/10^6, JM stake from Emiza - Cap Table!R17). The prompt is well-scoped, internally consistent, and references tabs and line items that exist in the input workbook. No #REF!, #DIV/0!, or other error values are present.
Major Errors
G13 (Total Investment Amount) is formatted as a hardcoded input: Cell G13 holds the formula ='Balance Sheet Assumptions'!Q6/10^6 (a live cross-tab link) but carries blue font (FF0000FF) and yellow fill (FFFFFFCC), the convention reserved for hardcoded assumptions. Formula-driven cells should be black on white.
Sensitivity table section headers are not bold: O13 ("Exit EV / EBITDA (FY26)"), M15/M24 ("FY26 EBITDA (INR mn)"), and O22 ("Exit EV / EBITDA (FY26)") all carry the dark navy fill (FF002060) and theme-white font, satisfying the fill requirement, but font.bold = False on all four—contrary to the rubric's "dark navy fill and white bold font" specification. By contrast, the main financial-summary header row (C3:K3) is correctly bold.
Potential text truncation in M15 and M24: Column M is 8.55 units wide; the label "FY26 EBITDA (INR mn)" (20 characters) overflows into N15 and N24 which are occupied (values 500 and 500), causing visual truncation of the row-variable header in both sensitivity tables. This triggers the −3 pitfall deduction.
Critical Errors
None. There are no critical errors: all formulas are correct, all expected numeric outputs fall within tolerance, all cross-tab integrations are properly live-linked, and all five perturbation tests produce correct downstream updates.
Rubric Rationale
Task-Specific Rubric (additive point scoring)
Section	Available	Earned	Notes
Formula Correctness (15 criteria)	23	23	All formulas verified correct — pre-money EV floor/cap, net debt (both dates), equity values, XIRR IRR, CoC, all implied multiples, both data-table sensitivities
Model Integration (3 criteria)	8	8	Revenue → FS tab ÷10⁶ ✓; Total Investment → BSA tab ÷10⁶ ✓; JM stake → Cap Table ✓
Output Validation (10 criteria)	44	44	All 10 point-in-time values within tolerance
Perturbation (5 criteria)	25	25	All five dynamic updates verified arithmetically
Presentation (3 criteria)	7	5	−1 G13 formatted as hardcoded input; −1 sensitivity headers not bold (partial credit on criterion 3)
Pitfalls	−8 max	−3	No error values (0); text truncation in M15/M24 (−3)
Total	107	102	95.3%
Meridian Rubric (holistic 1–5):
Prompt–Workbook Coherence: 5 — all referenced tabs (Financial Statements, Balance Sheet Assumptions, Emiza Cap Table) exist with correct data; entry date March 31 2022 maps correctly to FY22 EBITDA and Balance Sheet column AC/CB; no mismatches.
Task Feasibility: 5 — all assumptions provided in the prompt; the one non-obvious design choice (using Dec 2021 balance sheet for pre-money net debt, before the Series B cash injection, labeled "Net Debt (Dec'21)") is internally consistent and produces the correct expected output.
Input Workbook Starting State: 5 — realistic multi-tab financial model with clean data and no pre-existing errors.
Output Workbook – Data Integrity: 5 — zero formula errors, all computations resolve.
Output Workbook – Formula Quality: 4 — fully dynamic; only blemish is G13 cosmetically misclassified as hardcoded input.
Output Workbook – Formatting: 4 — professional structure, correct number formats throughout, blue+yellow inputs, dark-navy headers; sensitivity sub-headers lack bold and M column is too narrow.
The task-specific rubric score of ~95% and strong performance across all Meridian dimensions yields a holistic 4 (Good). The deduction from a perfect 5 is driven exclusively by the three minor presentation issues: G13 misformatted, sensitivity headers not bold, and column-M label truncation. No calculation, formula logic, or model integration issue prevents a full score on every substantive criterion.</t>
  </si>
  <si>
    <t>7d448839-ff50-421f-bc77-2e16018b103a</t>
  </si>
  <si>
    <t>a124b3a8-c8db-404b-8746-898dcb4ac333</t>
  </si>
  <si>
    <t>Fixed output workbook for hardcoded numbers that moved the valuation. Also modified the tax rate to be the correct 21% as stated.  Corrected rubric for output validation and perturbation modifications.</t>
  </si>
  <si>
    <t>Run tsip-claude-feedback-8c8f6bb5-5d8a-4fbb-894b-90029faf8028
Completed 19 may, 21:20
Major Takeaways
The task asks for a full D.R. Horton Income Statement (P&amp;L tab) covering Sep-14A through Sep-23E, built into a pre-existing multi-tab financial model. The input workbook's P&amp;L tab was empty; the output fills it with ~413 non-empty cells. The build is sophisticated: formulas cross-reference RPM, SCF, BS, FOR P&amp;L, and Control Panel tabs, and the RPM/SCF sheets were updated to pull from the new P&amp;L rather than retain hardcoded values (110 and 40 cell changes in RPM and SCF respectively). All 10 task-specific output validation criteria pass exactly (EBITDA, PF net income, standalone NI, 5Y CAGRs, Homebuilding EBT, Combined EBT, gross profit margin, EBITDA margin, total homebuilding revenue, and standalone NI for Sep-19E all hit their rubric targets). However, the golden output uses a 25% effective tax rate for Sep-19E (J41 = 0.25) while the prompt says "a constant 21.0% throughout the projected period." This is an internally coherent choice—the NI target of 1,641.95 for Sep-19E is only achievable at 25%, not 21%—but it creates a factual conflict between the prompt and the golden answer, and a corresponding error in the formula correctness rubric criterion. Two additional Sep-18A formulas contain unexplained hardcoded adjustments (−40.3 in I9 for total revenue, −14.3 net in I19 for total COGS) that prevent those lines from being clean sums of their stated components.
Major Errors
Effective tax rate Sep-19E = 25% (J41 = 0.25), not 21%. The prompt explicitly states "constant 21.0% throughout the projected period" but the golden output hard-codes 25% for the first projected year. Sep-20E through Sep-23E (K41–N41) are correctly 21%. The formula correctness rubric criterion testing this says 21% constant, which the golden answer fails—creating a rubric factual error under the Meridian "material factual error" definition.
Sep-18A Total homebuilding revenue formula (I9) contains a hardcoded adjustment. Formula is =SUM(I7:I8)−39.1−1.2, subtracting 40.3 from the sum of Home sales + Land/lot. Correct sum would be 15,623.8; model shows 15,583.5. This fails the "Total revenue = sum of components" formula correctness criterion.
Sep-18A Total cost of sales formula (I19) contains a hardcoded adjustment. Formula is =SUM(I14:I16)+I18−31.3+17, netting a −14.3 adjustment. Sum of stated COGS components = 12,343.4; model shows 12,329.1. This fails the "Total COGS = sum of components" formula correctness criterion.
Variable and Fixed SG&amp;A rows reference swapped RPM cells. P&amp;L B27 (Variable SG&amp;A, Sep-18A) uses RPM!I98 (labeled "% fixed" = 55%) while P&amp;L B28 (Fixed SG&amp;A) uses RPM!I97 (labeled "% variable" = 45%). The labels in the P&amp;L or RPM are reversed. This does not affect the total SG&amp;A or any downstream calculation but is an auditing defect.
Projected hardcoded tax rate cells (J41–N41) not formatted in blue. Historical hardcoded inputs use blue font (FF0000FF), but the projected effective tax rates are plain/default color, inconsistent with the model's own color convention.
Projected D&amp;A (J48–N48) links to RPM rather than SCF. Model Integration rubric criterion asks for D&amp;A to be "linked to the SCF tab." Historical years (E48–I48) correctly use =SCF!Ex. For projected years, D&amp;A is derived as =RPM!J101*(J9+J34), a reasonable modeling choice but a partial failure on the strict rubric criterion.
Critical Errors
The 25% tax rate for Sep-19E vs. the prompt's 21% creates a formal contradiction between the prompt and the golden output. Per the Meridian grading rubric, prompts "must factually and accurately be reflective of the golden output workbook" and formula correctness criteria that "describe logic inconsistent with the golden output" constitute material factual errors. The formula correctness rubric criterion explicitly states "projected Effective tax rate held constant at 21.0%" [+2pts], which the golden output fails for Sep-19E. Because the output validation section independently requires NI Sep-19E ≈ 1,641.95 (only achievable at 25%), the formula correctness and output validation rubric sections are internally contradictory. This is the primary driver pushing the score down from 4 to 3.
Sep-18A reconciliation adjustments in I9 and I19 mean that two formula correctness criteria (total revenue = sum of components; total COGS = sum of components) fail on the golden answer itself—the rubric would penalize a correct LLM that reproduces these as clean sums.
Rubric Rationale
Meridian overall rubric (patch-based):
Component	Assessment	Score
Prompt–Input Alignment	Prompt references real tabs (RPM, SCF, BS, FOR P&amp;L); all historical inputs provided; structure clear; pair is fully executable	4
Prompt	All line items, section structure, relationship logic, and growth/CAGR requirements stated; only gap is the factual inconsistency on Sep-19E tax rate (21% stated, 25% in golden output)	4
Input Workbook	Professional pre-existing model; P&amp;L tab present but empty; formatting and cross-tab structure support the task	4
Output Workbook	No errors; strong formula integration across 5+ tabs; all output validation targets hit; Sep-18A adjustments (-40.3 revenue, -14.3 COGS), 25% Sep-19E tax, and minor labeling issues noted	3
Rubric	Formula correctness criterion for tax rate is factually inconsistent with golden output (21% vs 25% for Sep-19E); output validation section is fully accurate; perturbation criteria are internally consistent with golden output; overall rubric is usable but has a flaggable factual error on one criterion	3
Task-specific rubric pass/fail summary:
Formula Correctness (21 pts available):
Total homebuilding revenue = sum of components: FAIL (Sep-18A −40.3 adjustment) → 0/1
Total COGS = sum of components: FAIL (Sep-18A −14.3 adjustment) → 0/2
Home sales gross profit: PASS → 1/1
Land/lot gross profit: PASS → 1/1
Total gross profit: PASS (equivalent formula) → 2/2
Homebuilding EBT: PASS → 2/2
Financial Services EBT: PASS → 2/2
Combined EBT: PASS → 1/1
Standalone NI: PASS → 1/1
Tax expense with 21% constant: FAIL (Sep-19E = 25%) → 1/2 partial
PF NI: PASS → 1/1
EBITDA formula: PASS (matches EBT − Fin int − Int COS + D&amp;A exactly) → 2/2
EBITDA Margin: PASS → 1/1
5Y CAGRs: PASS → 2/2
Projected SG&amp;A from Variable + Fixed: PASS → 1/1
Model Integration (14 pts): Home sales→RPM ✓, Interest COS→BS ✓, Homebuilding ROI on BS→P&amp;L ✓; projected D&amp;A→RPM (partial, not SCF) → ~13/14
Output Validation (40 pts): All 10 criteria pass → 40/40
Perturbation (35 pts): Chain from Control Panel → RPM → P&amp;L is fully formula-driven with CHOOSE scenario selectors; all perturbations should propagate correctly → ~35/35
Presentation (6 pts): Dollar/comma/1dp format consistent ✓; hardcoded historical cells in blue ✓; projected hardcoded tax rates not blue ✗; Standalone NI and EBITDA bold with top border ✓; some subtotals (Combined EBT, Homebuilding EBT) lack bold → ~4/6
Pitfalls (−8 pts available): No errors in P&amp;L or BS → 0 penalty
The 25%/21% Sep-19E tax rate conflict, combined with the formula correctness failures on two Sep-18A summation lines, prevents this task from reaching a 4. All output validation and perturbation criteria pass, the model integration is genuinely sophisticated, and no errors exist anywhere in the workbook—confirming a 3 (Acceptable) rather than a 2.</t>
  </si>
  <si>
    <t>a1994fa7-5a56-405c-b21c-2adcd5e00220</t>
  </si>
  <si>
    <t>b6ff3d68-fd93-4b27-b359-e9133b897b5e</t>
  </si>
  <si>
    <t>Model: Edited formatting errors for labeling, added labels for key metrics
Prompt: Edited prompt to be more specific for calculations / lines 
Rubric: unstacked Rubric criteria, unstacked Presentation section and added specificity to B_Screener tab for all items, made Formula Correctness criteria items more exact, made edits to Formula Correctness items and unstacked items</t>
  </si>
  <si>
    <t>Run tsip-claude-feedback-172fac28-df42-43f0-9901-586ea19503b3
Completed May 19, 6:20 PM
Major Takeaways
The output workbook is an exceptionally strong implementation of a hotel-acquisition returns model for the B_Screener (Hotel Apple) tab. Every quantitative benchmark in the task-specific rubric is satisfied to the requested precision: levered IRR 7.54%, levered MOIC 1.42x, unlevered profit $8,111,443.57, Year 5 total levered proceeds $9,766,623.95, sensitivity table intersection 3.59%, min DSCR 0.831x, CoC Year 3 5.03%, net proceeds $23,056,083.85, and UCF Year 1 $799,235.94 — all confirmed from the cached values in openpyxl's data_only mode. The three sensitivity data tables (NOI Margin vs. Exit Cap, Purchase Price vs. Exit Cap, Year 3 ADR vs. Exit Cap) are implemented as live Excel data tables with correct axis ranges and exactly one hardcoded header per axis. All six perturbation structures are correctly wired: P5 = INDEX(NOI grid)/P6 (exit cap), interest expense = −beg. balance × U7, amortization IO logic uses IF(AND(period ≤ U9, U8="Yes"), 0, PPMT(...)), and equity/debt proceeds flow through I10, U5, and L83 in a self-consistent circular system. Formatting complies throughout: Garamond 11pt, blue #0000FA on all hardcodes (U7, U8, U9, U10, P6, M23, N24, etc.), black on all computed cells, and thousands-separator currency format with no decimal places. The yellow fill on row 60 (Levered Cash Flow) and the gray fills on rows 47, 63, 73, and sensitivity title rows all use theme-derived colors that resolve mathematically to #FFF2CC and #F2F2F2 respectively under the default Office theme. No #REF!, #DIV/0!, #VALUE!, #NAME?, #N/A, or #NUM! errors appear anywhere in B_Screener or the Summary tab.
Major Errors
There are no material errors. The only minor items observed are:
Themed colors instead of explicit hex RGB: Row 60 (Levered Cash Flow) is filled with theme:7, tint:0.800 and rows 47/63/73 / sensitivity headers use theme:0, tint:-0.050. These resolve to exactly #FFF2CC and #F2F2F2 under the default Office theme, but the representation diverges from the literal hex code a strict automated checker might expect.
No text row labels for DSCR and Debt Yield rows: H57 and H58 contain =MIN(M57:W57) and =MIN(M58:W58) directly, with no adjacent "DSCR" or "Debt Yield" label cell. Minimum values are correctly shown; labels are absent. This is structurally consistent with C_Screener and D_Screener (which use the same pattern), indicating it is by design.
H48 and H61 use column H for averages without accompanying row labels: The average Yield on Cost (H48) and average Cash-on-Cash (H61) are placed in column H alongside the MIN DSCR/Debt Yield values in H57/H58, with no explicit "Average" or "Minimum" label differentiating them. Minor readability issue only.
Critical Errors
None. No critical errors were identified that would move this from a 4 to a 3 or lower. All formula logic, output values, perturbation sensitivities, and presentation requirements are correctly implemented.</t>
  </si>
  <si>
    <t>bdebb79d-9179-4081-8c21-130d8746836b</t>
  </si>
  <si>
    <t>ce32d18d-3a33-4d27-8545-04abfe38a94a</t>
  </si>
  <si>
    <t>this prompt was underspecified so am rewriting parts; claude feedback was incorrect in the presentation section since it said everything was good and that it should use palatino font throughout, but it does not use that for headers so the rubric checker missed that; removed formula stacking errors; perturbation items were out of scope</t>
  </si>
  <si>
    <t>d0debda7-739a-4533-86cf-237ee6667ddf</t>
  </si>
  <si>
    <t>Prompt, Rubric and to smaller extent workbook</t>
  </si>
  <si>
    <t>d8573bf5-af9e-4bd2-bead-e53a7aa221d3</t>
  </si>
  <si>
    <t xml:space="preserve">Prompt: Updated to match output workbook, corrected several errors within model, condensed prompt to be more concise 
Model: Updated wording in model for drivers to match methodology
Rubric: Edited Pitfalls &amp; Presentation section, updated all Perturbation rubric items, updated all Output Validation items </t>
  </si>
  <si>
    <t>Run tsip-claude-feedback-65610458-c60e-4449-b317-ef22000a7fad
Completed May 19, 1:20 PM
Major Takeaways
The output delivers a comprehensive, fully-dynamic five-year income statement forecast on the IS tab. All major sections requested by the prompt are present: revenue build with growth-rate drivers (columns Q–V), COGS and SG&amp;A builds with % of net sales drivers, an Amortization of Intangible Writeup toggle (Q38=1/0), the interest expense section linked to the Debt tab, the normalization section with CEO Salary and Reconciliation Discrepancy flatlined at 2024A values, and complete retained earnings / cash availability / dividend distribution bridges. Cross-tab integration is excellent — CFS, Debt, Assumptions, and Closing BS are all properly referenced. All 10 output-validation benchmarks in the task-specific rubric are met to within tolerance (e.g., Net Income 2029E = $976.52 k ✓, Retained Earnings EOP 2029E = $2,134.79 k ✓, Pre-Tax Income 2025E = $797.38 k ✓). Perturbation tests are analytically verifiable as passing because the model is fully dynamic and linked. Number formatting is consistent with the historical IS convention ("$"#,##0; percentages as 0.0%).
Major Errors
Utilities driver is "last year" instead of "averages" (prompt-output contradiction): The prompt states Utilities should carry the note "calculated as % of net sales (with averages)." In the output, V28==U28 (last year's ratio only), and the note in X28 reads "calculated as % of net sales (last year)." The formula =J$11*$V28 correctly applies the driver as a % of sales, but the underlying rate is last year's rather than the four-or-five-year average specified. This contradicts the prompt directly and makes the Utilities note factually wrong.
Bank charges forecast formula uses a flat absolute value, not % of net sales: J31–N31 each contain =$I$31 (the 2024A absolute value of -$6.74 k), regardless of revenue level. A valid average driver V31==AVERAGE(Q31:U31) is computed in the driver section but never applied in the forecast formula. The note X31 says "calculated as % of net sales (with averages)" — an internal inconsistency. The correct pattern (used by all other SG&amp;A lines) would be =J$11*$V31.
Total Interest Expense formula range inconsistency (K–N years): J49==SUM(J44:J48) correctly covers all five components including Financing fees (row 44). However, K49–N49 each use =SUM(K45:K48), skipping row 44 (Financing fees for 2026E–2029E). This is numerically harmless because K44–N44 all equal zero (Debt!G72–J72=0), but the formula is architecturally inconsistent across the five forecast columns.
Amortization of Deferred Financing Fees (row 48) unforecasted: Rows J48–N48 are blank. The related amortization is instead embedded in the Depreciation formula: J39==$I$39+Assumptions!$E$70*-1 (i.e., prior depreciation plus $10k deferred fee amortization per year). The IS line item for "Amortization of Deferred Financing Fees" therefore always reports $0, while the amount is silently absorbed into Depreciation and then carried through CFS!F9==-IS!J39.
Minor: "Retanined" typo in row 84. The label in C84 reads "Retanined earnings available for div" (transposed letters).
EBITDA and legacy subtotal rows lack top borders. Rows 19 (Gross Profit), 33 (SG&amp;A), 35 (EBITDA), 49 (Total Interest Expense) have bold font but no top border in forecast columns — consistent with the existing historical format but inconsistent with the task-specific rubric criterion that explicitly asks for both bold and top border on subtotal rows. New dividend/RE rows (84, 93, 97) do have thin top borders.
Critical Errors
Utilities methodology error (prompt → output contradiction): The prompt unambiguously assigns Utilities to the "averages" group. The output assigns it to the "last year" group. An LLM following this golden output would learn the wrong methodology for Utilities specifically, and the model note in column X is factually incorrect relative to the prompt. This is the task's clearest prompt-vs-output inconsistency and prevents a score of 5.
Bank charges flat formula (note-formula contradiction): The driver column correctly computes an average (V31=AVERAGE), and the note says "averages," but the forecast formula hardcodes the 2024A absolute value. This makes the model non-dynamic for Bank charges relative to revenue: if revenue assumptions change, Bank charges will not scale. While numerically the outputs still match the expected values (the rubric was built around this design), it is an internal inconsistency in the golden output and a departure from what the prompt implies.</t>
  </si>
  <si>
    <t>ddf08efb-44d8-4311-ba6f-67c7c0f9b5e0</t>
  </si>
  <si>
    <t>this is fairly simple but rephrasing part of this to add a bit more substance; fixed claude's workbook comments; removed formula stacking in rubric; fixed presentation</t>
  </si>
  <si>
    <t>de7da32b-1496-4fc0-9668-365d8e167669</t>
  </si>
  <si>
    <t>Andrew C</t>
  </si>
  <si>
    <t>Model: WIP</t>
  </si>
  <si>
    <t xml:space="preserve">Run tsip-claude-feedback-cc603e62-f152-4d41-a384-06322e8c9ae1
</t>
  </si>
  <si>
    <t>e5722b43-4586-4bbe-9476-bed884031c29</t>
  </si>
  <si>
    <t>ebd52873-afcc-4d85-8551-37803b3b3d51</t>
  </si>
  <si>
    <t>Formatting. Reworded and reworked prompt. Redid parts of rubric to get rid of stacking and align prompt, workbook, rubric.</t>
  </si>
  <si>
    <t>ee7f9598-b841-436a-a2e1-a731f901d2a5</t>
  </si>
  <si>
    <t>fixed claude errors and rubric</t>
  </si>
  <si>
    <t>f1261b88-1642-4ebe-a2ed-ce1c0918bc52</t>
  </si>
  <si>
    <t>Richards C</t>
  </si>
  <si>
    <t>- There is some fundamental issues with the workbook structure, E.g. Waterfall Hurdles are missing in the Monthly CFs tab in the Input Workbook
- GP ownership was showing up as 0%, fixed that to 20%. This affected most of the calcuations
- Rewrote the prompt and rubrics</t>
  </si>
  <si>
    <t>f36a98f3-3d0c-4d52-8cb1-b0d927bf96fb</t>
  </si>
  <si>
    <t>added more details about the other loan types and building out the pther functionality; also specified the monthly vs annual sections which was not mentioned at all in the prompt at first; fixed workbook truncation error; removed output validation in the formula section; removed out of scope formula items</t>
  </si>
  <si>
    <t>f84b70a6-25e7-4a65-a48f-e49f3d11ee68</t>
  </si>
  <si>
    <t>fully rewriting this  - it is missing a ton of info for a build that is not that small. note: the website crashed while writing this and it did not save so I had to restart the prompt; many formulas and model integration out scope; there were incorrect outputs and perturbation; essentially had to redo the entire task</t>
  </si>
  <si>
    <t>f8e1dc28-6729-4054-96f1-e2cf47656818</t>
  </si>
  <si>
    <t>rewriting parts of the prompt to make it more clear; hardcodes were missing and did not build a signficant portion of the workbook; almost all of the rubric is out of scope and needs to be fully redone; perutrbation items were wrong</t>
  </si>
  <si>
    <t>096c55fa-de5b-4f3f-95f5-9e9ae584e9c4</t>
  </si>
  <si>
    <t>rewriting the prompt; out of scope rubric items in each section; fixed a few off perturbation items; fixed presentation section</t>
  </si>
  <si>
    <t>098dfc3f-e094-4da1-af4c-db764ef4b1ba</t>
  </si>
  <si>
    <t>rewrote prompt to be specfic, fixed claude issues</t>
  </si>
  <si>
    <t>0a0d9272-d159-4fb2-9ac5-1aef6629bdf0</t>
  </si>
  <si>
    <t>reworking the prompt; removed overspecifications; had incorrect instructions about when to calculate implied reinvestment rate; forget to prompt one of the sections on this tab; removed formula stacking; fixed presentation and model integration; fixed truncation issues</t>
  </si>
  <si>
    <t>0aa6f18c-2aad-49cc-8813-cb79f92b65ce</t>
  </si>
  <si>
    <t>General comment: Agree that task is very simple and the workbook is too complex and does not follow best practices (Will still review and adjust) | Workbook: Minor formatting adjustment | Prompt: Simplified prompt | Rubric: Minor correction on output validation</t>
  </si>
  <si>
    <t>109dbda6-e0bc-4aa0-b0ab-563bca672717</t>
  </si>
  <si>
    <t>removed overspecifications; was missing the floating vs fixed specification for the undrawn revovler which is hardcoded in the workbook; reworking part of this prompt; removed out of scope output items; most perturbation items were wrong; fixed presentation</t>
  </si>
  <si>
    <t>10f93eac-1ebc-438c-8e1b-e4fa66ad59a8</t>
  </si>
  <si>
    <t>- Prompt was repetitive, I have trimmed it down
- Input workbook contained hardcoded cells
- Fixed rubrics</t>
  </si>
  <si>
    <t>384e684c-4c4a-4896-aca6-69f26a91bbc8</t>
  </si>
  <si>
    <t>rewrote prompt, fixed workbooks to make a logical progression, fixed rubric</t>
  </si>
  <si>
    <t>387ea929-63d5-4e73-8b80-49a615d95d8b</t>
  </si>
  <si>
    <t>fixed output/input (broken named ranges, dependencies). Prompt: fixed rounding of inputs and added detail. Rubric: added model integration, output/perturbation targets were off so fixed those</t>
  </si>
  <si>
    <t>3b0bb60d-bc7b-4918-b6f9-d85356c2b62b</t>
  </si>
  <si>
    <t>46bc6902-d885-451a-939f-644a66bdf018</t>
  </si>
  <si>
    <t>rewrote prompt, fixed claude errors and rubruc</t>
  </si>
  <si>
    <t>4992bb3d-3736-404e-904a-27017b8fa94c</t>
  </si>
  <si>
    <t>fixed prompt, fixed input/output (output was attached as both the input and output file for some reason), edited rubric (beefed up model integration, split rubrics, etc)</t>
  </si>
  <si>
    <t>6478da8e-d932-4d43-8649-8762dd1046a9</t>
  </si>
  <si>
    <t>Input and output workbook. Input workbook had sectins that were dependant on output workbook. Changes to prompt and minor to rubric.</t>
  </si>
  <si>
    <t>66615b1b-9151-44c6-a13c-5c4ec2e847de</t>
  </si>
  <si>
    <t>Some hardcoded numbers in the financial model and had to clean rubric and prompt. Overall quite clean</t>
  </si>
  <si>
    <t>6addf781-b3f6-4677-8ad5-7684c6c5e7e8</t>
  </si>
  <si>
    <t>General comment: Very poor exercise. The output created a new section in the Calcs tab which was completely disconnected from the rest of the model. Redrafted most of the exercise from scratch | Output and Input: Removed hardcoded values that compromised natural progression of the task, relinked all outputs to the relevant sections of the model; Made it a proper financial model | Prompt: Full rewrite as per the general comment | Rubric: Updated all output and perturbation sections and added; added model integration</t>
  </si>
  <si>
    <t>77b3736e-2f56-4adf-b43b-73ff9c6b89d8</t>
  </si>
  <si>
    <t>Output: Corrected incorect link on net debt to debt, corrected minor formatting issues | Prompt: Full rewrite, clarified assumptions | Rubric: Minor adjustments</t>
  </si>
  <si>
    <t>4ad76103-3373-4ad2-8368-e8bec79f91b7</t>
  </si>
  <si>
    <t>fixed illogical progression/downstreams of workbook. fixed prompt and rubric</t>
  </si>
  <si>
    <t>6c47ad05-d883-4622-8508-6519139c38a1</t>
  </si>
  <si>
    <t>Single tab model, removed Model Integration checks</t>
  </si>
  <si>
    <t>6d07c888-8d6e-4da7-8fa7-c94c0afdd82e</t>
  </si>
  <si>
    <t>Single tab model, removed Model Integration rubrics. Otherwise fixed rubrics and rewrote prompt.</t>
  </si>
  <si>
    <t>6d1d736f-fddb-4cdf-8be8-632cf1472d40</t>
  </si>
  <si>
    <t>557741d2-e259-4f32-83a8-9cb4eda8060a</t>
  </si>
  <si>
    <t>General note: The loan amount provided by the prompt was totally disconnected from the promotor loan assumed in the model' this was corrected for prompt and output | Output: Removed loan size assumption, adjusted amortization schedule to follow best practices | Prompt: Adjusted loan amount, minor rewording | Rubric: Full rewrite of output validation and perturbation, minor adjustments</t>
  </si>
  <si>
    <t>62fae144-7fa0-478a-8105-eef4dcd9be45</t>
  </si>
  <si>
    <t>Minor fixes accross prompt, rubric and model</t>
  </si>
  <si>
    <t>67da163a-7890-4ad3-ac9d-9643acb3a94f</t>
  </si>
  <si>
    <t>69315d36-743e-4270-8ade-359416a4b5d0</t>
  </si>
  <si>
    <t>Input: Corrected for natural progression, removing hardcoded outputs | Output: Minor formatting and rewording, completed sensitivity tables, Minor formula correction on BoP balances | Prompt: Added clarification on interest calculations | Rubric: Corrected output and perturbation items, removed dupplicates, minor adjustments, added model integration section</t>
  </si>
  <si>
    <t>3c740849-f6a8-4a9e-8cf6-6eb0309c1fd3</t>
  </si>
  <si>
    <t xml:space="preserve">fixed all </t>
  </si>
  <si>
    <t>Rubric Tool</t>
  </si>
  <si>
    <t>Rubric Feedback</t>
  </si>
  <si>
    <t>Outcome</t>
  </si>
  <si>
    <t>Rubric Score</t>
  </si>
  <si>
    <t>Failed Criteria</t>
  </si>
  <si>
    <t>Send back to CB - Claude</t>
  </si>
  <si>
    <t xml:space="preserve"># 1a694939-ce51-42dd-9273-d4121f1ffab0
**Score: 3 / 5**
---
## Major Takeaways
The output workbook correctly builds the full Silver, Gold, and Platinum SAC breakdown by subscription type (rows 402–480), including all commission value formulas, Other SAC per-sub inputs, growth-rate projections, Total Other SAC capitalized lines, and the three amortization waterfalls with correct useful-life half-year conventions. All 11 output-validation benchmarks fall within the specified 2% tolerance, and all 7 perturbation tests pass at the tier level (Silver rows 428/430, Gold row 455, Platinum rows 478/480). No error values exist anywhere in the sheet. Formatting is largely correct—hardcoded inputs are blue, formula cells carry dark theme color (interpreted as black), dollar values show 2 decimal places with parentheses, and percentages use 0.0%. The critical defect is the projection-period aggregate section (rows 387–400): `Commission Value and Other SAC Value` (G391–K391), `Amortized Commissions and Other SAC` (G393–K393), `Other S&amp;M` (G396–K396), and `Total S&amp;M` (G400–K400) are all **hardcoded floats** rather than formula-linked sums. These cells feed the income statement (row 21, via row 400) and the non-GAAP and cash-flow sections (rows 51, 61, 68), so no upstream assumption change will flow into those sections. The hardcoded aggregate values also lack the blue font that should be applied to hardcoded inputs.
---
## Major Errors
1. **Hardcoded aggregate rows in the S&amp;M rollup section (rows 391, 393, 396, 400, projection years G–K):** `G391:K391` (Commission Value &amp; Other SAC aggregate), `G393:K393` (Amortized Commissions &amp; Other SAC aggregate), `G396:K396` (Other S&amp;M, which should equal Total Revenue × 4%), and `G400:K400` (Total S&amp;M) are plain float values rather than formulas. Changing any upstream assumption (e.g., commission rate, inflation, subscriber counts) updates the tier-level SAC rows but leaves the income statement, non-GAAP metrics, and cash-flow statement unresponsive.
2. **Missing blue-font convention on projection-period hardcoded aggregate values:** The hardcoded cells in G391–K391, G393–K393, G396–K396, and G400–K400 carry the default theme color (interpreted as black/auto) rather than blue `#0000FF`. Hardcoded inputs in the existing workbook, and all other hardcoded inputs in the new section, correctly use blue; these aggregate rows are inconsistent.
3. **Minor number-format inconsistency:** Several intermediate rows (e.g., `Other SAC New Subs` row 414, `Other SAC Retention/Downgrade` row 416, amortization waterfall rows 422–426) use `#,##0.00_);(#,##0.00)` (no dollar-sign prefix) while the summary rows and adjacent dollar lines use `"$"#,##0.00_);("$"#,##0.00)`. Both formats meet the two-decimal, comma-separator, parentheses-for-negatives requirements, so this is cosmetic.
---
## Critical Errors
- **Aggregate consolidation rows (391, 393, 396, 400) hardcoded in projection period:** This is the single most impactful defect. It fails three Formula Correctness rubric criteria (−4 pts) and the most heavily weighted Model Integration criterion (−4 pts). It also means the income statement, non-GAAP metrics, and cash-flow statement are silently disconnected from the new SAC schedule for all five forecast years. In a real analyst workflow this would be caught immediately and treated as a structural rebuild error.
---
## Rubric Rationale
**Task-Specific Rubric (scored item by item):**
| Section | Points Available | Points Earned | Notes |
|---|---|---|---|
| Formula Correctness | 26 | 22 | Fails items for aggregate Commission Value (1), aggregate Amortized SAC (1), and Total S&amp;M formula (2); all tier-level formulas pass |
| Model Integration | 32 | 28 | Fails the 4-pt criterion for aggregate rows not linked to Silver/Gold/Platinum; all tier-level linkages verified correct |
| Output Validation | 44 | 44 | All 11 benchmarks verified within ±2%: Silver Total Cap SAC 2027P = −46.34 ✓, Silver Amortized SAC 2027P = −45.61 ✓, Gold Total Cap SAC 2027P = −19.92 ✓, Platinum Total Cap SAC 2027P = −22.11 ✓, etc. |
| Perturbation | 35 | 35 | All 7 tests confirmed at tier-level rows: e.g., Silver cap rate 18%→22% gives G430 = −50.79 ✓; Plat commission rate 10%→15% gives K480 = −31.27 ✓ |
| Presentation | 6 | 5 | Missing blue on hardcoded aggregate projection values (−1); dollar format, pct format, black-formula font all pass |
| Pitfalls | 0 possible penalty | 0 | No #REF!, #DIV/0!, or other error values found; no truncation issues observed |
| **Total** | **143** | **134 (93.7%)** | |
**Meridian Rubric Assessment:**
| Dimension | Rating | Reasoning |
|---|---|---|
| Prompt–Workbook Coherence | 5 | Prompt maps cleanly to existing sections; all referenced sales values, subscriber counts, ASPs, and inflation rate link correctly |
| Task Feasibility | 5 | Fully executable from the prompt and input workbook |
| Input Workbook Starting State | 5 | Professional, complete model with no pre-existing errors |
| Output Data Integrity | 5 | No error values; all formulas resolve; no broken references |
| Output Formula Quality | 3 | Tier sections are fully dynamic; however 4 consolidation rows covering 5 forecast years are hardcoded rather than formula-driven—this is more than "one or two minor hardcoded values" |
| Output Formatting | 4 | Minor inconsistency (missing blue on aggregate hardcoded values; two number-format variants for dollar rows) |
| Input-to-Output Progression | 5 | Logical and substantive extension of an operating model |
Overall Meridian score: **3 (Acceptable)**. The core deliverable—three complete, formula-driven, correctly structured SAC waterfall sections—is accurately built and fully validated. However, the systematic hardcoding of the projection-period aggregate rows (391, 393, 396, 400) creates a meaningful model-integration gap that prevents downstream financials from updating when assumptions change. This falls short of the "minor weakness" threshold for a 4 but does not trigger an audit-failure condition, placing the task squarely at Acceptable.
</t>
  </si>
  <si>
    <t>Formula Correctness — Is the aggregate Commission Value and Other SAC Value line computed as the sum of Silver Total Capitalized SAC, Gold Total Capitalized SAC, and Platinum Total Capitalized SAC?        Formula Correctness — Is the aggregate Amortized Commissions and Other SAC line computed as the sum of Silver Amortized SAC, Gold Amortized SAC, and Platinum Amortized SAC?        Formula Correctness — Is Total Sales and Marketing Costs computed as the sum of Amortized Commissions and Other SAC plus Other S&amp;M?        Model Integration — Are Silver, Gold, and Platinum amortization waterfalls linked to each tier’s Total Capitalized SAC row?        Model Integration — Are aggregate Commission Value and Other SAC Value and aggregate Amortized Commissions and Other SAC linked to the Silver, Gold, and Platinum sections?        Perturbation — If the Platinum Commission Rate for Upgrade/Retention/Downgrade on the Operating Model tab is changed from 10.0% to 15.0% for 2027P, does Platinum Total Capitalized SAC for 2027P in the Sales and Marketing Breakdown by Subscription Type section update to within +/- 2% of -31.27?        Perturbation — If the Platinum Other SAC Per Retention/Upgrade on the Operating Model tab is changed from $49.25 to $55.00 for 2022E, does Platinum Total Capitalized SAC for 2023P in the Sales and Marketing Breakdown by Subscription Type section update to within +/- 2% of -2.15?        Presentation — Are all dollar-denominated values in the Sales &amp; Marketing Breakdown sections on the Operating Model tab formatted with parentheses for negatives?        Pitfalls — Are there any error values in the Operating Model tab (#REF!, #DIV/0!, #VALUE!, #NAME?, #N/A, #NUM!)?        Pitfalls — Is any data or label text truncated or hidden due to insufficient column widths or row heights in the Operating Model tab?        Formula Correctness — Is the Platinum amortization waterfall spreading each year's capitalized costs over a 3-year useful life with half-year amounts in the first and last periods and full-year amounts in the two middle periods?        Formula Correctness — Is Silver Other SAC Per New Sub projected by growing the prior year value at the model’s assumed inflation rate?        Presentation — Are formula-driven values displayed in black font (#000000) across the Sales and Marketing Breakdown by Subscription Type section on the Operating Model tab?</t>
  </si>
  <si>
    <t xml:space="preserve"># f84b70a6-25e7-4a65-a48f-e49f3d11ee68
**Overall Meridian Score: 3 / 5**
**Task-Specific Rubric Score: 87 / 87 (100%)**
---
## Major Takeaways
The output workbook adds a new `Valuation` tab to an existing ENTG financial model (Assumptions, Model, Comps). The core structure is present and well-constructed: Trading Liquidity, Public Market Overview, Analyst Ratings, a timetable (2020–2040, annual), P/E Multiple (2025E–2030E, cols O–T), DCF (2025E–2040E, cols O–AD), and a WACC Build section. All key formulas are correct—CoE, weighted average CoD, after-tax CoD, WACC, Gordon Growth Model terminal value, discount factor, and sum-of-cash-flow aggregation. All eight output validation targets and all five perturbation targets in the task-specific rubric are met, and no error values exist anywhere. Arial font and correct number formats are used throughout. However, the output contains three substantive structural failures versus the prompt that the task-specific rubric does not detect: (1) the DCF output rows (Terminal Value → IRR, rows 71–81) are populated only for 2025E (col O) and 2030E–2040E (cols T–AD), leaving four full years (2026E–2029E, cols P–S) completely blank; (2) UFCF YoY growth is hardcoded to 8% for 2031E–2036E but declines to 7%, 6%, 5.5%, and 5% for 2037E–2040E, directly violating the prompt's instruction of 8% for all of 2031E–2040E; and (3) Position Size is hardcoded to 50 while the prompt says 20—however, the rubric perturbation test was calibrated to 50, exposing a prompt factual error. Additionally, an editorial annotation ("&lt;&lt;&lt; 25.0x is significantly lower than sellside…") was left in cell U49.
---
## Major Errors
- **Missing DCF output section for 2026E–2029E (cols P, Q, R, S):** Rows 71–81 (Terminal Value, Sum of Cash Flows, PV of Terminal Value, Enterprise Value, Net Debt, Equity Value, FDSO, Implied DCF Price Target, % Upside, IRR) are entirely absent for years 2026E through 2029E. Only col O (2025E) and cols T–AD (2030E–2040E) have these rows populated. The DCF upper rows (Revenue, UFCF, Discount Factor, PV of UFCF, rows 58–66) are correctly populated across all columns.
- **UFCF YoY growth not uniformly 8% for 2031E–2040E:** Cells U63–Z63 (2031–2036) are correctly hardcoded at 0.08, but AA63 (2037) = 0.07, AB63 (2038) = 0.06, AC63 (2039) = 0.055, AD63 (2040) = 0.05. The prompt explicitly says to hardcode 8.0% for the entire 2031E–2040E range. Despite the wrong rates, the 2040E DCF outputs land near the rubric-expected values (the expected values appear to have been computed using these declining rates, not uniform 8%).
- **Position Size hardcoded at 50 instead of 20:** E11 = 50; the prompt explicitly states "Position Size (hardcode to 20)." This is a prompt factual error—the perturbation test (ADV% 20%→10% yielding days ≈ 2.021) is designed around a position size of 50. A model that correctly followed the prompt and entered 20 would fail that perturbation test (~0.81 days, ~60% off target).
- **Extraneous editorial annotation:** U49 contains an inline comment about the exit multiple being below sell-side consensus, which should not appear in a production output workbook.
---
## Critical Errors
- **Structural incompleteness of DCF output block (2026E–2029E):** The prompt asks for the "Implied DCF Price Target, % Upside and IRR" (and all prerequisite rows) across the full 2025E–2040E range. Four consecutive years are silently absent. This means the output workbook does not faithfully implement the full DCF-per-year table the prompt describes.
- **UFCF growth instruction violated for 2037E–2040E:** Four explicit hardcoded cells deviate from the instruction (8% for all of 2031–2040). The rubric's UFCF-growth formula criterion passes because it only checks the formula structure for 2031E (U61), not the numerical values in 2037–2040. These incorrect rates would cause the 2040E DCF outputs to be wrong if the rubric expected values were actually based on uniform 8% (they are not, but an LLM trained on this task would learn the wrong growth profile).
---
## Rubric Rationale
**Task-Specific Rubric (87/87 possible):**
| Section | Earned | Available | Notes |
|---|---|---|---|
| Formula Correctness | 20 | 20 | All 12 formula checks pass: CoE (I94=I91*I92+I93), balance-weighted CoD SUMPRODUCT, AT CoD (H105=H104*(1–25%)), WACC (I107=I86*I94+I87*H105), EV = SUM(E18:E20), Weighted Avg Score SUMPRODUCT, Gordon Growth TV, DCF EV = SUM(O73:O74), Implied PT = Equity/FDSO, Total VPS = SUM(O50:O51), Discount Factor = 1/(1+WACC)^hold, UFCF formula structure |
| Model Integration | 4 | 4 | E19 links to Model!BW186+BW187+BW188; those rows are in the Leverage section (starts at row 185) |
| Output Validation | 35 | 35 | WACC 8.74% ✓; DCF PT 2040 $176.25 ✓; DCF IRR 2040 4.63% ✓; Total VPS 2030 $218.65 ✓; EV $17,406.60 ✓; Weighted Avg Score 2.571 ✓; PV TV 2040 $18,940 ✓; UFCF 2025 $557.6 ✓ |
| Perturbation | 25 | 25 | Beta 1.50→new WACC 9.16%, formulas live; ERP 5% updates CoE dynamically; UFCF 2031 10% ratio = 1.10/1.08 → ~$179.51 within 2%; TGR links via Assumptions!E45→G45; ADV% 10% with PS=50 gives exactly 2.021 days |
| Presentation | 3 | 3 | IRR format `#,##0.0%`, per-share `#,##0.00`, Arial confirmed on all sampled cells |
| Pitfalls | 0 | (max –8) | No error values in Valuation or Assumptions tabs; U49 annotation not treated as required-data truncation |
**Meridian Rubric Assessment:**
- **Prompt quality:** ~3 — well-structured and mostly complete, but contains a clear factual error (position size 20 stated vs. 50 in golden output), and the UFCF "hardcode to 8% for 2031–2040" instruction contradicts the declining rates in the output.
- **Input Workbook:** 4–5 — clean professional ENTG model with no errors, appropriate starting state.
- **Output Workbook:** 3 — no errors, professional formatting, correct formulas, but structurally incomplete (4 DCF years missing) and violates two explicit prompt instructions (UFCF growth uniformity, position size).
- **Rubric:** 3 — internally self-consistent against the actual output; factually correct for the output values tested; however, it does not test UFCF growth uniformity (2037–2040), does not flag the missing DCF columns, and contains the same position-size inconsistency as the prompt.
**Overall: 3 — Acceptable.** The task passes audit (no error values, core structural sections present, rubric criteria internally consistent), but it has noticeable structural gaps and prompt factual errors that prevent a score of 4.
</t>
  </si>
  <si>
    <t>Seed ID</t>
  </si>
  <si>
    <t>Prompt Done?</t>
  </si>
  <si>
    <t>Checked FC / MI</t>
  </si>
  <si>
    <t>Date Completed</t>
  </si>
  <si>
    <t xml:space="preserve">AHT (mins) </t>
  </si>
  <si>
    <t>Rubric to Paste and Edit</t>
  </si>
  <si>
    <t>Rubric Reviewer</t>
  </si>
  <si>
    <t>OV/PT/Pres/Pitfalls Checked?</t>
  </si>
  <si>
    <t>AHT (mins) - Post Prompt</t>
  </si>
  <si>
    <t>Admin Link Helper</t>
  </si>
  <si>
    <t>Checked?</t>
  </si>
  <si>
    <t>Notes</t>
  </si>
  <si>
    <t>SOTA (Est.)</t>
  </si>
  <si>
    <t>89eae8f1-dc6f-4145-a072-f056af902c05</t>
  </si>
  <si>
    <t>85d3d5d5-f85d-4799-8504-b807ad61ed36</t>
  </si>
  <si>
    <t>2130b610-dc4c-4605-9163-a8b2224abd06</t>
  </si>
  <si>
    <t>09e67384-2f7f-4070-abcb-4ed9a2f4545e</t>
  </si>
  <si>
    <t>6520d1cb-ef7f-4e18-8e27-901c61b13a4b</t>
  </si>
  <si>
    <t>8bcd0914-32d4-4fc9-b97e-3c0c61e9c9ae</t>
  </si>
  <si>
    <t>f0ec3331-b842-4f0f-bc7a-b3aa14727aa1</t>
  </si>
  <si>
    <t>cb5b1a21-8bce-42c1-807f-d08dcf9df983</t>
  </si>
  <si>
    <t>848b60ba-8233-45dd-a962-e6ba852d7b60</t>
  </si>
  <si>
    <t>4ebd8dfe-d037-41fa-914c-0a150d04cb87</t>
  </si>
  <si>
    <t>212df67f-c687-4e67-afe9-50edeaab2592</t>
  </si>
  <si>
    <t>874f82c0-6de1-4a82-8270-2c8d51e3dddc</t>
  </si>
  <si>
    <t>53f5ed76-f45f-4c3d-986c-2aa0015a4bc0</t>
  </si>
  <si>
    <t>Section 1: Formula Correctness
1.1. Is Total New Subscribers in the Core Metrics section on the Revenue Detail tab calculated as the sum of New Annual Subscribers, New Monthly Subscribers, and New Advisor Subscribers? [+2]
1.2. Is Total Subscribers in the Core Metrics section on the Revenue Detail tab calculated as the sum of Annual Subscribers, Monthly Subscribers, and Advisor Subscribers? [+2]
1.3. Is Total ARR in the ARR Summary section on the Revenue Detail tab calculated as the sum of Annual ARR, Monthly ARR, Advisors ARR, and Other ARR? [+2]
1.4. Is Total Revenue in the grand total section on the Revenue Detail tab calculated as the sum of Total Annual+Monthly Revenue, Advisor Revenue, Net Refunds, and Other Revenue? [+2]
1.5. Is Total Revenue in the Annual+Monthly section on the Revenue Detail tab calculated as the sum of Annual Subscription Revenue and Monthly Subscription Revenue? [+1]
1.6. Is Total Billings in the Annual+Monthly section on the Revenue Detail tab calculated as the sum of Annual Billings and Monthly Billings? [+1]
1.7. Is Expansion Billings Only in the Annual+Monthly section on the Revenue Detail tab calculated as the sum of Annual Upgrade Billings and Monthly Upgrade Billings? [+1]
1.8. Is Billings - Monthly on the Revenue Detail tab derived as the simple average of the current period's and next period's Monthly Subscription Revenue rather than a direct sum of billing components? [+2]
1.9. Is the Monthly Conversion to Tier A rate on the Revenue Detail tab capped at 40% using conditional logic that increments by 1 percentage point per period after the initial zero-rate periods? [+3]
1.10. Is Monthly Renewed Subscriber Billings on the Revenue Detail tab derived as total monthly billings minus new subscriber billings (a back-into calculation) rather than a build-up? [+2]
1.11. Is the Monthly ending subscriber rollforward on the Revenue Detail tab computed as beginning subscribers plus new subscribers plus renewals minus churned subscribers? [+2]
1.12. Is Average Revenue per Sub per Month in Core Metrics on the Revenue Detail tab calculated as Total Revenue minus Other Revenue minus Net Refunds minus Advisor Revenue, divided by the sum of ending Annual and Monthly subscribers? [+2]
1.13. Is Total Deferred Revenue in the Deferred Revenue section on the Revenue Detail tab calculated as the sum of Total Annual+Monthly Deferred Revenue, Advisor Deferred Revenue, and Lifetime Deferred Revenue? [+2]
1.14. Is Total Refund % of 12 Mo Billings in the Disputes and Refunds section on the Revenue Detail tab calculated as Total Refunds Pool divided by a trailing 12-month rolling sum of annual billings? [+3]
1.15. Is ARR Growth % in the KPI header area on the Revenue Detail tab calculated as the period-over-period percentage change in the Total ARR line? [+1]
Section 2: Model Integration
2.1. Is the Average Billing Rate in the Monthly Subscribers section on the Revenue Detail tab linked to the Monthly Billing Rate on the Omni tab? [+3]
2.2. Is the Subscription Revenue in the Monthly Subscribers section on the Revenue Detail tab linked to the Total Monthly Subscriptions on the Actuals P&amp;L tab? [+3]
2.3. Is the Renewed Subscriber Billings in the Monthly Subscribers section on the Revenue Detail tab linked to the Total Monthly Billings on the Omni tab? [+3]
2.4. Is the Total Deferred Revenue in the Annual plus Monthly section on the Revenue Detail tab linked to the platform deferred revenue lines on the Actuals BS tab? [+3]
2.5. Is the Net Refunds on the Revenue Detail tab linked to the refund and dispute lines on the Actuals P&amp;L tab? [+3]
2.6. Is the Lifetime Deferred Revenue on the Revenue Detail tab linked to the Lifetime membership deferred revenue on the Actuals BS tab? [+2]
Section 3: Output Validation
3.1. Is Total ARR on the Revenue Detail tab in the final forecast period (column BP) within +/- 2% of 8,964,888? [+5]
3.2. Is Total Subscribers on the Revenue Detail tab in the final forecast period (column BP) within +/- 2% of 36,498? [+5]
3.3. Is Annualized Billings on the Revenue Detail tab in the final forecast period (column BP) within +/- 2% of 9,082,860? [+5]
3.4. Is Total New Subscribers on the Revenue Detail tab in the last actuals period (column BJ) within +/- 2% of 951? [+5]
3.5. Is Total Deferred Revenue on the Revenue Detail tab in the last actuals period (column BJ) within +/- 2% of 353,498.07? [+5]
3.6. Is Expansion Billings Only on the Revenue Detail tab in the last actuals period (column BJ) within +/- 2% of 20,044.09? [+4]
3.7. Is Total Revenue on the Revenue Detail tab in period 35 within +/- 2% of 432,093.08? [+4]
3.8. Is ARR Growth % on the Revenue Detail tab in the last actuals period within +/- 0.5 pp of 2.7%? [+3]
3.9. Is Total ARR on the Revenue Detail tab in period 25 (column AA) within +/- 2% of 3,389,400? [+3]
Section 4: Perturbation
4.1. If the Annual Subscription starting subscribers value on the Revenue Detail tab (period 1, currently 8251) is changed to 16502, does Total Subscribers on the Revenue Detail tab in the Core Metrics section for the same period update to within +/- 2% of the expected value reflecting the doubled annual subscriber count? [+5]
4.2. If the Upgrade Price of Tier A for Monthly Subscribers on the Revenue Detail tab is changed from 19.99 to 39.98 (doubled), does Expansion Billings Only in the Total - Annual + Monthly section update to within +/- 2% of the expected value reflecting doubled monthly upgrade pricing for the final projected period? [+5]
4.3. If the Conversion to Tier A rate for Monthly Subscribers on the Revenue Detail tab is changed from 0% to 20% in the first ramp period (column AC), does Monthly Upgrade Billings for that same period update to within +/- 2% of the expected value reflecting the 20% conversion rate? [+5]
4.4. If the Apple Deferred Revenue balance on the Actuals BS tab for the latest actuals period (column AA) is changed from its current value of 0 to 500000, does Total Deferred Revenue in the Deferred Revenue summary section on the Revenue Detail tab for the corresponding period update to within +/- 2% of the expected value reflecting the 500000 addition? [+5]
4.5. If the ending monthly subscriber count hardcoded on the Revenue Detail tab for period L (currently 894) is changed to 1788 (doubled), does Total Subscribers Excluding Advisory in the Core Metrics section for the same period update to within +/- 2% of the expected value reflecting the doubled monthly subscriber base? [+5]
4.6. If the Sponsor subscriber conversion rate (Converts in Same Month fraction) on the Revenue Detail tab is changed from 0.71 to 0.35 (halved) in column AB, does Total New Subscribers in the Core Metrics section for that period update to within +/- 2% of the expected value reflecting the reduced conversion fraction? [+5]
4.7. If the Annual ending subscriber count hardcoded on the Revenue Detail tab for period Y (currently 7426) is changed to 3713 (halved), does the Average Revenue per Sub per Month in the Revenue per Sub (Excl Advisors) Core Metrics section for that period update to within +/- 2% of the expected value reflecting the halved annual subscriber denominator? [+5]
Section 5: Presentation
5.1. Are hardcoded values on the Revenue Detail tab displayed in blue font, formula-driven values in black font, and cross-sheet references in green font? [+2]
5.2. Are dollar-denominated values in the new sections on the Revenue Detail tab formatted with a dollar sign prefix and comma separators with no decimal places, consistent with the existing Annual Subscribers section? [+2]
5.3. Are percentage rows in the new sections on the Revenue Detail tab formatted as percentages with one decimal place, consistent with the existing growth rate and mix rows? [+2]
Section 6: Pitfalls
6.1. Are there any error values in the Revenue Detail tab (#REF!, #DIV/0!, #VALUE!, #NAME?, #N/A, #NUM!)? [-5]
6.2. Is any data or label text truncated due to insufficient column widths or row heights in the Revenue Detail tab? [-3]</t>
  </si>
  <si>
    <t>0cf86c7d-efd2-449c-ba36-fd3f8ef9d235</t>
  </si>
  <si>
    <t>9e7084f5-eb7b-4985-8ff5-e110682dca32</t>
  </si>
  <si>
    <t>5772657d-c020-44b6-94e5-9d663dce40a6</t>
  </si>
  <si>
    <t>ba300a65-ea63-4c81-b690-60c9a9a42c30</t>
  </si>
  <si>
    <t>ee4eea58-d556-41cf-beea-19d9036fb126</t>
  </si>
  <si>
    <t>4cd85cb8-ca9a-42b6-a531-2a9066090578</t>
  </si>
  <si>
    <t>0cddf145-b561-4b9e-81fd-d4dfa1dd1eae</t>
  </si>
  <si>
    <t>REF errors in N; skip for now</t>
  </si>
  <si>
    <t>c27d425f-d821-4e33-aa94-c3578e6381b1</t>
  </si>
  <si>
    <t>9f73b336-d815-4df1-9696-cec256055a58</t>
  </si>
  <si>
    <t>9e4e5488-5a4a-4061-879d-466ca0755ccf</t>
  </si>
  <si>
    <t>99d2a8db-318f-4435-b03f-a5a8f78c091b</t>
  </si>
  <si>
    <t>7bdb5914-3b20-4748-9e7a-314750f41e79</t>
  </si>
  <si>
    <t>320b10a2-7b9c-443d-bc9f-47dd6469ccc2</t>
  </si>
  <si>
    <t>Section 1: Formula Correctness
1.1. Is Depreciation in the staging area of the Cash Flow Budget tab sign-flipped (negated) relative to the Summary Budget depreciation line so it appears as a positive cash add-back? [+2]
1.2. Is the Total Changes in Assets and Liabilities row on the Cash Flow Budget tab computed as the sum of its constituent working capital line items within each monthly column? [+2]
1.3. Is Net Cash Provided by Operating Activities on the Cash Flow Budget tab calculated as the sum of Net Income, Depreciation, and Total Changes in Assets and Liabilities? [+2]
1.4. Is Net Cash Used in Investing Activities on the Cash Flow Budget tab calculated as the sum of its investing component line items within each column? [+1]
1.5. Is Net Cash from Financing Activities on the Cash Flow Budget tab calculated as the sum of its financing component line items within each column? [+1]
1.6. Is the Net Change in Cash on the Cash Flow Budget tab derived as the sum of operating, investing, and financing subtotals? [+2]
1.7. Is Ending Cash on the Cash Flow Budget tab computed as Beginning Cash plus Net Change in Cash plus any other cash adjustments in the same column? [+2]
1.8. Are quarterly summary columns on the Cash Flow Budget tab computed as the direct sum of their three constituent monthly columns for every line item? [+2]
1.9. Are annual total columns on the Cash Flow Budget tab computed as the direct sum of their four constituent quarterly columns for every line item? [+2]
1.10. Do working capital line items in the staging area compute each month's change as the prior month-end balance minus the current month-end balance from the BS Budget for asset items? [+2]
1.11. Do liability working capital line items in the staging area compute each month's change as the current month-end balance minus the prior month-end balance from the BS Budget? [+2]
1.12. Do forecast monthly columns in the main presentation area of the Cash Flow Budget pull each line item via a conditional sum matching the column date against the staging area date row? [+1]
1.13. Does the staging area check row verify that the computed ending cash equals the corresponding month's cash balance from the BS Budget? [+1]
1.14. Is the annual header for each year group on the Cash Flow Budget tab derived from the date of the last month in that year rather than being hardcoded? [+1]
Section 2: Model Integration
2.1. Is the Accounts Receivable on the Cash Flow Budget tab linked to the Cash and Cash Equivalents on the BS Budget tab? [+5]
2.2. Is the Net Income on the Cash Flow Budget tab linked to the Net Income on the Summary Budget tab? [+4]
2.3. Is the Depreciation and Amortization on the Cash Flow Budget tab linked to the Depreciation and Amortization on the Summary Budget tab? [+4]
2.4. Is the Beginning Cash Balance on the Cash Flow Budget tab linked to the Cash and Cash Equivalents on the BS Budget tab? [+4]
2.5. Is the Accounts Receivable on the Summary Budget tab linked to the Accounts Receivable on the Cash Flow Budget tab? [+4]
2.6. Is the Actual or Forecast label on the Cash Flow Budget tab linked to the Forecast Start on the Assumptions tab? [+3]
2.7. Is the Check to CFS on the Summary Budget tab linked to the Net Cash from Operating Activities on the Cash Flow Budget tab? [+3]
Section 3: Output Validation
3.1. Is the Ending Cash for the 2024 annual total on the Cash Flow Budget tab within +/- 2% of 13382548.82? [+5]
3.2. Is the Ending Cash for the 2029 annual total on the Cash Flow Budget tab within +/- 2% of 63convey let me re-read precisely.? [+5]
3.3. Is the Ending Cash for the 2029 annual total on the Cash Flow Budget tab within +/- 2% of 63038498.16? [+5]
3.5. Is the Net Cash from Operating Activities for the 2027 annual total on the Cash Flow Budget tab within +/- 2% of 12498498.60? [+5]
3.6. Is the Net Change in Cash for the 2029 annual total on the Cash Flow Budget tab within +/- 2% of 12219498.60? [+5]
3.7. Is the Net Cash from Operating Activities for Q3 2024 on the Cash Flow Budget tab within +/- 2% of 2216624.71? [+4]
3.8. Is the Total Changes in Assets and Liabilities for the 2026 annual total on the Cash Flow Budget tab within +/- 2% of -1555950.00? [+4]
3.9. Is the Net Cash from Operating Activities for the 2025 annual total on the Cash Flow Budget tab within +/- 2% of 8802498.60? [+3]
3.10. Is the Beginning Cash for the 2028 annual total on the Cash Flow Budget tab within +/- 2% of 38599500.96? [+5]
3.11. Is the Ending Cash for the 2026 annual total on the Cash Flow Budget tab within +/- 2% of 26380002.36? [+5]
Section 4: Perturbation
4.1. If the Cash &amp; Cash Equivalents value on the BS Budget tab for the end of December 2022 (the beginning balance reference point) is changed from 18455246.45 to 27682870, does the Beginning Cash balance on the Cash Flow Budget tab for the 2023 annual total update to reflect this change, showing a value within +/- 2% of 27682870? [+5]
4.2. If the Accounts Receivable balance on the BS Budget tab for the end of January 2023 is changed from 763062.72 to 1526125.44, does the 2023 annual total for Changes in Accounts Receivable on the Cash Flow Budget tab update to within +/- 2% of the correctly recomputed value (approximately 1136121.10 minus change propagation through AR differences)? [+5]
4.3. If the Inventory balance on the BS Budget tab for the end of January 2023 is changed from 2607621.11 to 1303810.56, does the 2023 annual total for Changes in Inventory on the Cash Flow Budget tab update to within +/- 2% of the recomputed value (approximately reflecting the larger Jan 2023 inventory decrease)? [+5]
4.4. If the Prepaids &amp; Other Current Assets balance on the BS Budget tab for end of January 2023 is changed from 580837.94 to 1161675.88, does the 2023 annual total for Changes in Prepaids on the Cash Flow Budget tab update to within +/- 2% of the recomputed value (approximately reflecting the larger Jan 2023 prepaids increase)? [+5]
4.5. If the Cash &amp; Cash Equivalents balance on the BS Budget tab for the end of October 2023 is changed from 850203.28 to 425101.64, does the Ending Cash on the Cash Flow Budget tab for the Q4 2023 quarterly summary update to within +/- 2% of the recomputed value (reflecting the changed beginning cash for November 2023)? [+5]
4.6. If the Accounts Receivable balance on the BS Budget tab for the end of September 2023 is changed from 4760852.36 to 2380426.18, does the 2023 annual total for Total Changes in Assets and Liabilities on the Cash Flow Budget tab update to within +/- 2% of the recomputed value reflecting the large AR swing? [+5]
4.7. If the Inventory balance on the BS Budget tab for the end of December 2022 is changed from 2628920.60 to 5257841.20, does the January 2023 monthly column on the Cash Flow Budget tab for Changes in Inventory update to within +/- 2% of the recomputed value (approximately reflecting the doubled starting inventory creating a larger decrease)? [+5]
Section 5: Presentation
5.1. Are all numeric values on the new Cash Flow Budget columns formatted with comma separators, no decimal places, and parentheses for negatives, consistent with the existing prior-year columns? [+2]
5.2. Are subtotal and total rows on the Cash Flow Budget tab (operating, investing, financing, and net change) styled with bold font and green fill to match the existing year columns? [+2]
5.3. Do formula-driven cells in the new Cash Flow Budget columns use green font observed across the existing model tabs? [+2]
Section 6: Pitfalls
6.1. Are there any error values in the Summary Budget tab, the Cash Flow Budget tab, the 2. Mobile tab, the 3. Logistics &amp; Mapping tab, the 4. Robotics &amp; Automation tab, and the 5. Other tab (#REF!, #DIV/0!, #VALUE!, #NAME?, #N/A, #NUM!)? [-5]
6.2. Is any data or label text truncated due to insufficient column widths or row heights in the Summary Budget tab, the Cash Flow Budget tab, the 2. Mobile tab, the 3. Logistics &amp; Mapping tab, the 4. Robotics &amp; Automation tab, and the 5. Other tab? [-3]</t>
  </si>
  <si>
    <t>3ee14907-f96b-4884-9150-b5e6a8366bdc</t>
  </si>
  <si>
    <t>d4097001-c960-449f-883c-5ae8ef80cc38</t>
  </si>
  <si>
    <t>9f0c3d4c-7729-40f4-a945-12de83eb9c7d</t>
  </si>
  <si>
    <t>9451a181-4b36-4410-92ad-7ae329eb3099</t>
  </si>
  <si>
    <t>d3c49dda-ea40-44f5-aac4-7e128754a6dd</t>
  </si>
  <si>
    <t>13a79273-28e7-4a18-a4e0-3bc96b121206</t>
  </si>
  <si>
    <t>00c07d57-1124-49c2-b354-6df05adc7a7f</t>
  </si>
  <si>
    <t>0294871c-c0a6-404e-ac74-d957f673aa5b</t>
  </si>
  <si>
    <t>5/17 Claim Sheet Rollover</t>
  </si>
  <si>
    <t>3a1f76de-2e68-4036-aa3d-d325bb2ea100</t>
  </si>
  <si>
    <r>
      <rPr>
        <rFont val="Arial"/>
        <b/>
        <color theme="1"/>
      </rPr>
      <t xml:space="preserve">needs rubric regen </t>
    </r>
    <r>
      <rPr>
        <rFont val="Arial"/>
        <color theme="1"/>
      </rPr>
      <t>5/17 Claim Sheet Rollover</t>
    </r>
  </si>
  <si>
    <t>76dfed95-97aa-4610-be20-44beb1d5ab35</t>
  </si>
  <si>
    <r>
      <rPr>
        <rFont val="Arial"/>
        <b/>
        <color theme="1"/>
      </rPr>
      <t xml:space="preserve">needs rubric regen </t>
    </r>
    <r>
      <rPr>
        <rFont val="Arial"/>
        <color theme="1"/>
      </rPr>
      <t>5/17 Claim Sheet Rollover</t>
    </r>
  </si>
  <si>
    <t>1fdf02fe-b76b-45f1-bf8b-a01f0742e608</t>
  </si>
  <si>
    <r>
      <rPr>
        <rFont val="Arial"/>
        <b/>
        <color theme="1"/>
      </rPr>
      <t xml:space="preserve">needs rubric regen </t>
    </r>
    <r>
      <rPr>
        <rFont val="Arial"/>
        <color theme="1"/>
      </rPr>
      <t>5/17 Claim Sheet Rollover</t>
    </r>
  </si>
  <si>
    <t>c62d5635-6c88-4fcc-ab2a-e23554cd85ed</t>
  </si>
  <si>
    <r>
      <rPr>
        <rFont val="Arial"/>
        <b/>
        <color theme="1"/>
      </rPr>
      <t xml:space="preserve">needs rubric regen </t>
    </r>
    <r>
      <rPr>
        <rFont val="Arial"/>
        <color theme="1"/>
      </rPr>
      <t>5/17 Claim Sheet Rollover</t>
    </r>
  </si>
  <si>
    <t>f59aba79-8692-4b27-86f0-66ccf05728a1</t>
  </si>
  <si>
    <t>35e6f2e2-1ab4-4f1a-b68a-5f2cd301ea8d</t>
  </si>
  <si>
    <t>7abb257c-510e-4fee-bb92-1e609e59cb27</t>
  </si>
  <si>
    <t>5c22dab7-4339-4e7b-996b-95084b517c60</t>
  </si>
  <si>
    <t>5dbb7c5f-902b-4e24-8f12-bb04d829a579</t>
  </si>
  <si>
    <t>f651f63b-9e89-499e-916a-dee03c5b15b7</t>
  </si>
  <si>
    <t>4179f76b-0a6e-4ab9-aa67-6367d9d86a2f</t>
  </si>
  <si>
    <t>058db80f-6ab8-496a-825f-bea91bb947aa</t>
  </si>
  <si>
    <t>1e82b9bd-c543-422d-b1b3-fc8f47a844cf</t>
  </si>
  <si>
    <t>3c975d38-7c7a-4c7a-acef-9837d377e042</t>
  </si>
  <si>
    <t>c203ab63-2861-48b5-910b-dbd3fd9fb636</t>
  </si>
  <si>
    <t>e4b773cd-6bf4-45b5-8d15-4d9f9bd183fe</t>
  </si>
  <si>
    <t>db581f11-ee1e-4068-b58d-75fba9c42a62</t>
  </si>
  <si>
    <t>9d1d56bc-9f14-49ee-a00d-301f07413a2b</t>
  </si>
  <si>
    <t>787b3b33-2dcb-4754-bea7-6c03c9e32e84</t>
  </si>
  <si>
    <t>bc58d534-177c-4b28-ac94-f76dff19cad5</t>
  </si>
  <si>
    <t>9a26f8f3-0cea-459c-a6bb-23e66122bd2f</t>
  </si>
  <si>
    <t>ignore this column</t>
  </si>
  <si>
    <t>62f5df05-bc0d-407c-8c0f-03535d7e1f73</t>
  </si>
  <si>
    <t>3fdd3a2e-f590-4679-bde2-4eaed7bb281b</t>
  </si>
  <si>
    <t>Melvan H</t>
  </si>
  <si>
    <t>3892f7be-5603-412c-9bd0-64df44e819e4</t>
  </si>
  <si>
    <t>021d3031-74c7-42cd-ac65-8463f9e6f78a</t>
  </si>
  <si>
    <t>8cb1a15e-1dc2-4b37-89af-a310755e7960</t>
  </si>
  <si>
    <t>54d40697-7d02-4ef5-a761-aa7f398903e1</t>
  </si>
  <si>
    <t>12b5c6a3-8bbd-4926-9cc3-ad2fc17eee3f</t>
  </si>
  <si>
    <t>21fd1223-2447-465e-82f0-c0d92723067e</t>
  </si>
  <si>
    <t>9ee27666-30ac-4778-8612-55a05eb49697</t>
  </si>
  <si>
    <t>48c9c0ef-970e-467b-b9a9-4b179c35cc51</t>
  </si>
  <si>
    <t>948abfa6-3bfa-4b04-b21b-7f15be5da299</t>
  </si>
  <si>
    <t>10e4af7e-e337-41c5-b33b-b5afc18efd69</t>
  </si>
  <si>
    <t>Alec T</t>
  </si>
  <si>
    <t>85481314-362c-47eb-a508-c5d03c0d40a6</t>
  </si>
  <si>
    <t>70d35a38-30e8-4e5b-ab62-b44db5f53de4</t>
  </si>
  <si>
    <t>cf7f18b3-52f7-4b73-b58d-70bc4cc46bc8</t>
  </si>
  <si>
    <t>59ec513f-fdea-41d0-b3c8-912f8dbfcdbb</t>
  </si>
  <si>
    <t>2ba8df9c-0b6c-41a8-834a-516f8f5184f3</t>
  </si>
  <si>
    <t>0c9a24e6-af44-4a46-9113-33af8fa6c72b</t>
  </si>
  <si>
    <t>f51bfd0c-484c-453f-be3e-8b8e00fbb47e</t>
  </si>
  <si>
    <t>9a74a527-9339-4fda-9cca-7a0feb9286b7</t>
  </si>
  <si>
    <t>e2062397-7cdd-4f3d-857d-39080d5abf5d</t>
  </si>
  <si>
    <t>6a675b89-0d9b-4e8f-bcee-36d3a9f5a87f</t>
  </si>
  <si>
    <t>ed81a189-0f5a-41bf-9d7d-179081c77860</t>
  </si>
  <si>
    <t>20042b3a-7f32-408b-a776-ddbbdc86670e</t>
  </si>
  <si>
    <t>66695074-38f0-45d9-a5b5-4156f5e6fba6</t>
  </si>
  <si>
    <t>e3cd29a3-1451-4863-a0d2-045f2ea25bf9</t>
  </si>
  <si>
    <t>51804921-31de-4e6a-af82-75337d392724</t>
  </si>
  <si>
    <t>75827fb5-e756-4067-9054-7f55d4a8f5a3</t>
  </si>
  <si>
    <t>8c67bbfc-ce4d-44f4-8fee-60435dfb8c74</t>
  </si>
  <si>
    <t>59ebaefe-cf29-4d02-adc5-a391434afe09</t>
  </si>
  <si>
    <t>56f93ae4-4899-4d39-826b-428d2b768f69</t>
  </si>
  <si>
    <t>50c4d5be-292d-4198-9d95-13b8bef9692c</t>
  </si>
  <si>
    <t>2614da92-805e-4e76-9ee1-4a3035517fda</t>
  </si>
  <si>
    <t>6b16f83d-1217-4cd9-a390-5e1825ab6f5f</t>
  </si>
  <si>
    <t>787f1712-a616-4c21-918d-0d0dcd87a48c</t>
  </si>
  <si>
    <t>d3d7a7f0-5cd7-4902-942b-efc13880968d</t>
  </si>
  <si>
    <t>e5a7ae49-cb3a-4e30-94e6-01e7300be6cc</t>
  </si>
  <si>
    <t>c9bd6e32-12d9-4ed7-9147-bf786d6e1561</t>
  </si>
  <si>
    <t>0e09a589-34d1-4d87-bca4-120a72d7483d</t>
  </si>
  <si>
    <t>8e773143-34b5-480b-b69a-d5bacfd84d23</t>
  </si>
  <si>
    <t>69562259-2f9b-4715-9514-41dc7a936987</t>
  </si>
  <si>
    <t>014ef035-0ce6-4fbf-b3fb-13053a9d1b8e</t>
  </si>
  <si>
    <t>8d1db913-d02e-4dd6-aaad-91115ed7130d</t>
  </si>
  <si>
    <t>451dbded-bb72-4206-b583-25aa5aa81b3e</t>
  </si>
  <si>
    <t>97eb99f2-6a40-4d74-8637-f80a08cd11d0</t>
  </si>
  <si>
    <t>25625860-dd89-404a-9fe9-09dd2c3571a7</t>
  </si>
  <si>
    <t>ffa105de-e411-4be7-a641-cdd608c9f3bb</t>
  </si>
  <si>
    <t>40eaeeb3-dadf-4de7-aba4-98401593ab3f</t>
  </si>
  <si>
    <t>ad178f9e-2e26-4d3c-a957-8e1e09124523</t>
  </si>
  <si>
    <t>4d229168-65a3-4714-a117-86d13f98da14</t>
  </si>
  <si>
    <t>4fe411d3-aaa1-418d-b624-9fba2df62c00</t>
  </si>
  <si>
    <t>b213e36b-923e-4af9-9c20-3437b5de7b80</t>
  </si>
  <si>
    <t>9fc0bcc4-5bf5-46bd-8416-a69eecdfbe52</t>
  </si>
  <si>
    <t>fbe709e7-c23d-41e8-ae9e-ed161320aeb4</t>
  </si>
  <si>
    <t>9c5ae5b0-187d-4ef5-b01e-2ce99e10c74f</t>
  </si>
  <si>
    <t>4cfc3388-2bf8-43e0-9cdb-6192c20b72eb</t>
  </si>
  <si>
    <t>8384260a-5015-4847-a17c-ea89caeb47d4</t>
  </si>
  <si>
    <t>b9eba4b2-0b4f-4634-bd64-10ca8bb58fa4</t>
  </si>
  <si>
    <t>cf114027-90a3-4539-911f-523b8067bed9</t>
  </si>
  <si>
    <t>4b587016-a9f5-4410-9616-fbd6a20ba933</t>
  </si>
  <si>
    <t>7aebfb9b-69cd-4555-a762-26b0369f6dd8</t>
  </si>
  <si>
    <t>2f6528a6-7fe1-4031-be67-838b756fbba0</t>
  </si>
  <si>
    <t>0481baf2-9e4e-4e0b-ad21-a85fd3606f73</t>
  </si>
  <si>
    <t>2c5d35c8-f3a2-4356-bce8-bb23db956de0</t>
  </si>
  <si>
    <t>05787ed1-d3c7-482a-9f39-6c29e906bdcb</t>
  </si>
  <si>
    <t>e5accdf0-2c60-4c78-9a8c-18c9f832da21</t>
  </si>
  <si>
    <t>345e4306-29cd-4e68-9e73-ce9b6ce15df9</t>
  </si>
  <si>
    <t xml:space="preserve">c1ebffc2-228b-4b2c-be8c-275dae694188
</t>
  </si>
  <si>
    <t>d06c192b-63d7-46a3-bd55-0460f13302b7</t>
  </si>
  <si>
    <t>d19c20d6-97b1-4a8c-b695-c164096eae96</t>
  </si>
  <si>
    <t>2cc2b5a0-d055-488e-8310-52fbb81c710c</t>
  </si>
  <si>
    <t>9f2ae270-3a3f-4a2b-834a-3e8168c6fccb</t>
  </si>
  <si>
    <t>71c32e0c-9945-4280-8677-fb3a737b59d9</t>
  </si>
  <si>
    <t>7a4d86ef-1abc-42d0-8726-877e7a06b1bf</t>
  </si>
  <si>
    <t>0202810a-5a62-4920-8d26-7253b5147ead</t>
  </si>
  <si>
    <t>b41df2fb-159e-4dbc-bc4e-b51d4199f0d9</t>
  </si>
  <si>
    <t>025f945c-f629-410a-981e-9f92d10c3ad5</t>
  </si>
  <si>
    <t>7c3d919a-6159-4a7a-8fa8-bb31012b1894</t>
  </si>
  <si>
    <t>7f0f0a7d-96de-4895-95c5-d5fdfa447b6e</t>
  </si>
  <si>
    <t>907ad224-3d04-4a70-a6c5-bba9d6c1f174</t>
  </si>
  <si>
    <t>a28b7332-c835-4ced-9889-0cabd5d680fd</t>
  </si>
  <si>
    <t>30d91a42-ab2a-4876-9215-1c43b9a9dd96</t>
  </si>
  <si>
    <t>13bed429-728c-4aba-b521-68f72a0efcb2</t>
  </si>
  <si>
    <t>f64df11e-bacf-4a05-8eb0-b7a723e749f5</t>
  </si>
  <si>
    <t>c1e5d2e2-7dfe-4d47-88c2-b9b2acfe08ed</t>
  </si>
  <si>
    <t>c59e8351-f94e-4026-8694-7c8abdafa435</t>
  </si>
  <si>
    <t>999d64e5-4b2e-46c4-812a-b5dd16149813</t>
  </si>
  <si>
    <t>d316596d-46dd-4a85-ab7d-86298959a0b7</t>
  </si>
  <si>
    <t>9f5306e9-6747-4003-b15a-f5770277f73f</t>
  </si>
  <si>
    <t>2dd5f4c7-db31-472c-9dee-9de3562c9f18</t>
  </si>
  <si>
    <t>2e9735a4-f0d0-4f41-b03f-83b5268907ba</t>
  </si>
  <si>
    <t>5056bbf8-2236-48fc-b05a-13647c6e4627</t>
  </si>
  <si>
    <t>08083af4-f0a6-4ff4-ba3f-c1ad68dd5a7e</t>
  </si>
  <si>
    <t>5e8b8527-5965-45b6-9efd-3c5b66a9c3f0</t>
  </si>
  <si>
    <t>ab0997f3-3d2e-4e81-9012-efaab117cea0</t>
  </si>
  <si>
    <t>50481c10-da10-4bfb-97d1-2a6d5e2e3890</t>
  </si>
  <si>
    <t>4e0baa3f-917a-4dcd-ab7c-f9c34e8018dd</t>
  </si>
  <si>
    <t>6bf5e5f7-e000-4a3c-889f-2e2041b56255</t>
  </si>
  <si>
    <t>9598883b-6b95-4563-ac03-7c0868829bb3</t>
  </si>
  <si>
    <t>c5097cd0-79df-47ea-9a7c-ee89bc07ad33</t>
  </si>
  <si>
    <t>6300450e-1386-4729-9302-b07bccc6389f</t>
  </si>
  <si>
    <t>a7505bbc-659c-4ab0-bb9b-471674a0debb</t>
  </si>
  <si>
    <t>6a0f33cb-3caa-4a03-96c2-52b7f5940f58</t>
  </si>
  <si>
    <t>8d61818f-6a73-44c5-8774-f645dbf0e134</t>
  </si>
  <si>
    <t>b903d8d3-af02-4e79-b3e8-53c36528acef</t>
  </si>
  <si>
    <t>13fc0d7b-5d27-43e5-8216-db59d68d4960</t>
  </si>
  <si>
    <t>e706aa8e-9573-43a3-aa3c-2e22de89bef1</t>
  </si>
  <si>
    <t>ed86c770-9c1c-4fe6-aeb5-9b5ea3d2b382</t>
  </si>
  <si>
    <t>459e9837-6a85-4991-9270-eba93b055753</t>
  </si>
  <si>
    <t>e25209d5-c352-4d4b-b6bc-a8ab35709190</t>
  </si>
  <si>
    <t>9b37dc2e-9627-474d-a626-2855d2cffb96</t>
  </si>
  <si>
    <t>c947de21-6bfc-45a3-8d88-434ac4a7fd40</t>
  </si>
  <si>
    <t>0a45cbad-f546-4987-b4cc-ee913a86e7f5</t>
  </si>
  <si>
    <t>9808b028-6a5e-4590-9344-7aed5eb3e88c</t>
  </si>
  <si>
    <t>a273c58c-910a-4b46-958f-c7a19b14d03d</t>
  </si>
  <si>
    <t>Jacob Coran</t>
  </si>
  <si>
    <t>2e9abb50-dcdb-4596-b1bb-c32026fc4253</t>
  </si>
  <si>
    <t>ec262293-82ff-4705-bddf-ca9911d465a5</t>
  </si>
  <si>
    <t>9fc2021d-516f-4972-92f8-3ebea58d96ee</t>
  </si>
  <si>
    <t>678e732c-7fe0-40c3-a803-0e0dd3042320</t>
  </si>
  <si>
    <t>36ca027e-650c-41c5-8383-26af2b26b2c1</t>
  </si>
  <si>
    <t>202b3f9d-e3ff-492d-94b2-31d23957b059</t>
  </si>
  <si>
    <t>93ecaf26-9928-43c2-8aff-9fe6ae1dc3a9</t>
  </si>
  <si>
    <t>3f19b4fd-18f0-41aa-b6b3-ea607c3b5445</t>
  </si>
  <si>
    <t>8ac04df0-a384-4e1a-9ff3-bfe9650d8891</t>
  </si>
  <si>
    <t>ced7bba4-0d21-48e3-bb15-312963072690</t>
  </si>
  <si>
    <t>477dc112-cd98-4d5e-9473-cf2cf9360804</t>
  </si>
  <si>
    <t>39f76c8a-c332-452b-86c9-5edfe268920b</t>
  </si>
  <si>
    <t>725a4974-ff7e-4cf1-a980-de98f43ebe1e</t>
  </si>
  <si>
    <t>1c88f5a7-7a9e-4ebe-b0bc-bd84fb667794</t>
  </si>
  <si>
    <t>38e0b6c4-5425-4b90-8034-dc725a679f48</t>
  </si>
  <si>
    <t>93d37345-346d-4f7c-9eea-6b608a6abad5</t>
  </si>
  <si>
    <t>ab7b42d2-5ff4-479e-9300-cb5c213beff2</t>
  </si>
  <si>
    <t>452cb53b-0248-419f-a8ac-2b2da96632b5</t>
  </si>
  <si>
    <t>632483ca-f58e-4abf-9d3e-8f0e94e7ca9a</t>
  </si>
  <si>
    <t>77749e28-b5a9-492a-ba0a-d7b5c2113c41</t>
  </si>
  <si>
    <t>f9e0adca-c356-4807-a838-10f98ef57cef</t>
  </si>
  <si>
    <t>abdb7629-97cf-43cf-8612-35a0a1a6abf5</t>
  </si>
  <si>
    <t>Add Rows Above</t>
  </si>
  <si>
    <t>End</t>
  </si>
  <si>
    <t>Fix?</t>
  </si>
  <si>
    <t>0d0a769c-426f-4e3e-a297-e17b85e72990</t>
  </si>
  <si>
    <t>f3792e17-0a37-4190-a674-99d77666d0a5</t>
  </si>
  <si>
    <t>ec6f7962-6c0f-4893-b3f1-505c6ee455de</t>
  </si>
  <si>
    <t>ed94f8cb-7e44-44e8-b598-22c542d10a87</t>
  </si>
  <si>
    <t>50b0e0fe-f7d8-47fc-8986-b2f457e50ceb</t>
  </si>
  <si>
    <t>5216bfae-ded2-45bf-a26b-f580993a521d</t>
  </si>
  <si>
    <t>a222dbc3-5eed-4800-bc5b-6d3502db4925</t>
  </si>
  <si>
    <t>a93a8e62-cbed-4d01-b27e-d626c0d94c33</t>
  </si>
  <si>
    <t>c4226597-d7d3-425d-b2cc-ddcb837bef79</t>
  </si>
  <si>
    <t>c4b37795-de85-4cc8-bf22-a6af61230d5a</t>
  </si>
  <si>
    <t>cabcd355-4c64-4984-9269-62b815e3c33c</t>
  </si>
  <si>
    <t>de822396-0cb8-4acf-8ddc-c31f4eaeb84f</t>
  </si>
  <si>
    <t>40173638-d9f5-4023-b7fc-c045e3a6676b</t>
  </si>
  <si>
    <t>7fe25d9f-8efb-4d59-89e5-42ba1bd023b4</t>
  </si>
  <si>
    <t>820c71f1-5af1-4a3c-8040-6fbbc41aadb6</t>
  </si>
  <si>
    <t>84c41335-fc35-4d3a-a39b-28fda392b60d</t>
  </si>
  <si>
    <t>8800c4de-c042-41bf-9d42-5f220085b543</t>
  </si>
  <si>
    <t>880b660c-ee13-4d9d-a415-c97483eabc52</t>
  </si>
  <si>
    <t>8c518c8e-0c92-4886-b0c9-ed913599c5de</t>
  </si>
  <si>
    <t>94e7f35f-4943-4720-a19d-15c4aa5bfba7</t>
  </si>
  <si>
    <t>9638e4b5-a89d-4b99-b41f-549fe3d8bb93</t>
  </si>
  <si>
    <t>96df4855-f081-4f9c-92a2-203c628d55db</t>
  </si>
  <si>
    <t>9a978c53-0849-45e6-983f-2956f02c2a5b</t>
  </si>
  <si>
    <t>9adc5f2f-bb8a-40e8-85af-2d19643e6028</t>
  </si>
  <si>
    <t>9de4eceb-0710-476a-bee0-dcbcbf8f1f02</t>
  </si>
  <si>
    <t>9f8d5296-8151-4ec6-a9f6-16152939b9b8</t>
  </si>
  <si>
    <t>a058da34-5ce6-4fbf-9b2d-90a4d8696c45</t>
  </si>
  <si>
    <t>a1181b55-1ca1-452a-ae15-18a70fca05ff</t>
  </si>
  <si>
    <t>a1e93d2f-252c-4df9-af21-8ec815d953a4</t>
  </si>
  <si>
    <t>a6275b33-8b7c-41de-8601-549ed46de2ef</t>
  </si>
  <si>
    <t>a66aade1-6daf-47bc-8920-c230933f6a5c</t>
  </si>
  <si>
    <t>a82dad6f-706a-4afc-980b-38fb267f5091</t>
  </si>
  <si>
    <t>a8f171ae-ff30-490d-9152-299b5e935482</t>
  </si>
  <si>
    <t>ac2b39ee-bb21-42b8-8633-63a4628dbe75</t>
  </si>
  <si>
    <t>ad83ea94-e48c-4033-8d3e-f0937533344e</t>
  </si>
  <si>
    <t>aea3de5d-b61b-4b52-8992-06cbdc6bfe9f</t>
  </si>
  <si>
    <t>b0e0715f-ef43-4799-bc1d-6ba89f49edbe</t>
  </si>
  <si>
    <t>b18fe81c-3bd0-487d-8344-5746b47ab11a</t>
  </si>
  <si>
    <t>b2e3d2f6-ffd6-42db-9572-90ad908608d9</t>
  </si>
  <si>
    <t>b4ee3267-7f03-49f8-9912-0ceab879b550</t>
  </si>
  <si>
    <t>b712cff0-a35e-487a-a496-d80870848ed6</t>
  </si>
  <si>
    <t>b7f637a2-8356-4921-b851-bdd2d7eb06a2</t>
  </si>
  <si>
    <t>bb19e4c9-18e3-4f4a-8f59-be135464b631</t>
  </si>
  <si>
    <t>bb858c77-0193-4135-ab87-18818ebc3fad</t>
  </si>
  <si>
    <t>bbe51218-8f21-442c-bf1a-5d40706f2783</t>
  </si>
  <si>
    <t>bbfac284-5ea2-4c09-b83a-96d8a27e9301</t>
  </si>
  <si>
    <t>bd93bc8d-33a9-47f6-a1a2-6173c80e6034</t>
  </si>
  <si>
    <t>bd975124-cb19-4ba8-8251-3a2ab08f55d4</t>
  </si>
  <si>
    <t>bfd9e760-4742-4b1e-aabe-d41f069708ab</t>
  </si>
  <si>
    <t>c8a25e99-9d0f-4934-9753-d42c130ea8a3</t>
  </si>
  <si>
    <t>c8e7aaa4-bd8d-4e60-8351-56e8e7a0bd59</t>
  </si>
  <si>
    <t>c987e79e-64cf-4e09-8a6d-8dd5c8df5991</t>
  </si>
  <si>
    <t>ce2a8536-65c0-46c7-ab56-d185999d5dfb</t>
  </si>
  <si>
    <t>d26703f8-25e5-4f83-b029-292a0f6c31d0</t>
  </si>
  <si>
    <t>d3ed32be-a364-40a0-85c6-103536ea8798</t>
  </si>
  <si>
    <t>d4e476d8-978e-453a-ad7d-f4685be591e1</t>
  </si>
  <si>
    <t>d9852f31-be10-413e-b110-54cee6899352</t>
  </si>
  <si>
    <t>d9d7e6a5-afd9-4f55-9efa-d51a084d9e25</t>
  </si>
  <si>
    <t>dae1ab5a-1a70-4b08-8532-0390fcd3fa5c</t>
  </si>
  <si>
    <t>daea8306-d283-49f1-8b6b-9275e0196c60</t>
  </si>
  <si>
    <t>de6d6ebc-9062-4882-a207-caa1025ddd77</t>
  </si>
  <si>
    <t>e0568bf1-33b3-4971-b848-8e8ffa0c3853</t>
  </si>
  <si>
    <t>e0664814-521e-477b-b5c7-4e7e899ad8da</t>
  </si>
  <si>
    <t>e115cf76-c1d0-4722-a7f8-bb5fca92528d</t>
  </si>
  <si>
    <t>e247efce-b067-49a9-9939-af72bd50ae9d</t>
  </si>
  <si>
    <t>e999bd10-c1b5-495b-8a2c-2a6d7daeb6f2</t>
  </si>
  <si>
    <t>ea02b903-ae3b-4582-972e-1bdfb546092a</t>
  </si>
  <si>
    <t>eb78076d-21e1-4cc1-9805-1a00aa71c7ed</t>
  </si>
  <si>
    <t>eba83118-64bc-4496-bd39-612fb9ea1842</t>
  </si>
  <si>
    <t>ebcaa00f-d85c-48a7-9aed-5428028e6c0f</t>
  </si>
  <si>
    <t>ec5d2dad-1374-4d4a-8a88-4e1f3dae54f6</t>
  </si>
  <si>
    <t>ed0fa7b2-badc-4a46-a8f0-1f6ba5199ad3</t>
  </si>
  <si>
    <t>ed8646b8-1271-4c45-9282-be6096c98024</t>
  </si>
  <si>
    <t>ee2f3dfb-5cce-4825-b164-9aafcbcd1ff8</t>
  </si>
  <si>
    <t>ee4fac63-b65c-4776-ba86-4afcfa505263</t>
  </si>
  <si>
    <t>ee93e5a0-5a87-4065-9aed-e4e22cf4e693</t>
  </si>
  <si>
    <t>ef2151b8-32a1-46cf-8b0e-1f16c3c6767d</t>
  </si>
  <si>
    <t>efa5b241-2400-4f48-96d5-e01e3ea250b6</t>
  </si>
  <si>
    <t>f005489c-3b33-4f04-87a5-391b8b30dddc</t>
  </si>
  <si>
    <t>f01e276a-90cd-488a-8504-ddf62487db6f</t>
  </si>
  <si>
    <t>f5110d13-0a9d-4b8e-a06c-6d0f2f8fdf08</t>
  </si>
  <si>
    <t>f6b4bb0c-f42c-4c9d-a770-65a868c7dae7</t>
  </si>
  <si>
    <t>f6ea802b-8ece-4b58-bfa9-f1ceba4e7d49</t>
  </si>
  <si>
    <t>fa780b1a-e86f-46e2-90a5-565e0188a1f0</t>
  </si>
  <si>
    <t>fc47aef3-ea61-4ecb-816d-e072b6cb4ab2</t>
  </si>
  <si>
    <t>fd216a93-f6b7-4898-a363-471556d56975</t>
  </si>
  <si>
    <t>001b637f-5573-476d-9429-1f55e58cb4e1</t>
  </si>
  <si>
    <t>01864257-85cb-4d99-a1f3-ece0e9cbc958</t>
  </si>
  <si>
    <t>04786b1a-0367-4ed0-9f26-796ddccdc171</t>
  </si>
  <si>
    <t>04b3fb44-6920-44c7-8f54-8b14fce8607d</t>
  </si>
  <si>
    <t>04d5c8f5-0693-4fdc-8b22-1017b47bc156</t>
  </si>
  <si>
    <t>05111d42-bb08-4ff9-95da-5daf1deffbec</t>
  </si>
  <si>
    <t>060cb2cc-dcf8-43f7-ad00-aaee69d63c5e</t>
  </si>
  <si>
    <t>062895bc-0a23-4d9b-9fc3-c9da8ee8fdcc</t>
  </si>
  <si>
    <t>062d0050-f47b-418f-99fe-cbc358eda7b0</t>
  </si>
  <si>
    <t>068bff2f-1a80-497f-b49a-f6580313ec01</t>
  </si>
  <si>
    <t>07924639-c1a6-46cf-bc7a-7fe7b4357575</t>
  </si>
  <si>
    <t>08782138-e7cc-4c7a-98a6-91a75ff14315</t>
  </si>
  <si>
    <t>08d5ba71-fe26-495f-988d-9bb4cf3b355a</t>
  </si>
  <si>
    <t>09171941-d930-4766-b9a7-ae51729e9454</t>
  </si>
  <si>
    <t>0aa02378-b225-4a54-8e12-33bf7892948f</t>
  </si>
  <si>
    <t>0b37d16e-ad4b-4152-a21b-2d041a8eb8f7</t>
  </si>
  <si>
    <t>0b5cabc0-2839-478b-a753-d3b504c6dba9</t>
  </si>
  <si>
    <t>0bbb3a89-8f8a-4cbb-88a2-0d970fee391c</t>
  </si>
  <si>
    <t>0cb7a20f-4909-49ed-bd4a-2f31acf50004</t>
  </si>
  <si>
    <t>0cd255ac-290a-495b-8c74-76c4159f1a41</t>
  </si>
  <si>
    <t>0da8482c-7eaa-4be2-ae4b-9f4687394bae</t>
  </si>
  <si>
    <t>0e5ad642-1dd6-4602-88dc-c51fa7761c70</t>
  </si>
  <si>
    <t>0ee807a1-749a-4590-93c0-a332f1e1798a</t>
  </si>
  <si>
    <t>0fa85acc-0ef3-4151-906d-915b92935355</t>
  </si>
  <si>
    <t>1081799b-4a0a-4a80-91d2-1ba3b0a559d3</t>
  </si>
  <si>
    <t>10d897ad-a7c4-496a-b5d5-fedafc6a61bc</t>
  </si>
  <si>
    <t>112eeb54-4cf5-4fb3-b3b3-940bfb57c4e2</t>
  </si>
  <si>
    <t>11ad940a-cee8-40dc-8ce4-95a2c2e50a8c</t>
  </si>
  <si>
    <t>135c314b-7188-41f9-b559-99c8a64b8530</t>
  </si>
  <si>
    <t>14923334-c4b2-4337-9226-2423be2ba342</t>
  </si>
  <si>
    <t>1499b8b8-538a-4639-b6de-0ed983c7fa77</t>
  </si>
  <si>
    <t>14ac18f5-d0ca-4038-9337-6933d802cd6e</t>
  </si>
  <si>
    <t>14aea5e9-c8bc-4ea1-b394-ec53ae693dcc</t>
  </si>
  <si>
    <t>1572fc3a-f4a0-4099-bc88-4e8a7806b96e</t>
  </si>
  <si>
    <t>15db7898-75bd-4a45-a0e6-550f8cc63d46</t>
  </si>
  <si>
    <t>16133ae8-d247-4c6b-8e4e-6a335500805a</t>
  </si>
  <si>
    <t>17746372-fb2c-45fb-8aa7-de3231a3b536</t>
  </si>
  <si>
    <t>17754a32-d65a-4a96-af63-3a9e587cbc21</t>
  </si>
  <si>
    <t>17b398d3-7c5a-434f-838a-a54139d9b0cd</t>
  </si>
  <si>
    <t>17e93566-322a-4698-9458-6ccb938903ce</t>
  </si>
  <si>
    <t>194681ab-f83c-48e2-8790-38dd1dc00d60</t>
  </si>
  <si>
    <t>1aa3fe26-eded-4104-b18e-738711759174</t>
  </si>
  <si>
    <t>1aca29b4-fb6a-4a71-8771-02f3d9768123</t>
  </si>
  <si>
    <t>1c16b8ae-6dd6-454b-a474-a746fc7e4731</t>
  </si>
  <si>
    <t>1c1bd8e0-8959-4df2-b014-c7903d6e1315</t>
  </si>
  <si>
    <t>1c2c218f-a4eb-4409-b880-11cd3e9b628a</t>
  </si>
  <si>
    <t>1c530cd8-02ce-4631-b961-98cf90ac745c</t>
  </si>
  <si>
    <t>1d9e8497-6263-4047-a718-9c920bb26a13</t>
  </si>
  <si>
    <t>1f7abaa2-71a4-4714-98d7-3059d1b63e25</t>
  </si>
  <si>
    <t>1f879c12-bec5-4f07-bb82-c67d0a877edb</t>
  </si>
  <si>
    <t>22214953-e155-4809-99d1-e78de837bfe5</t>
  </si>
  <si>
    <t>237caf19-272b-4411-9a07-7a454b85f47f</t>
  </si>
  <si>
    <t>24d476ae-b333-4ccf-89f2-44720dad5031</t>
  </si>
  <si>
    <t>2528cfad-6500-446a-83b5-ad2e6846c117</t>
  </si>
  <si>
    <t>25aacf1b-f323-4b79-b2ec-87fce7e8a572</t>
  </si>
  <si>
    <t>262fe755-4141-42b1-ac38-870855ddea81</t>
  </si>
  <si>
    <t>264c90ce-4cff-4d0d-99e4-003bf26dd045</t>
  </si>
  <si>
    <t>267fba81-6238-4929-ac9c-0c968e4189a5</t>
  </si>
  <si>
    <t>26ba2839-1770-4677-bdf3-6165f8b6b697</t>
  </si>
  <si>
    <t>2841c6bb-c722-4564-8497-138f687bc35e</t>
  </si>
  <si>
    <t>28be4aac-5b82-4aef-985c-ac5fd84cc0f8</t>
  </si>
  <si>
    <t>28d77423-d36b-4adf-b5fb-cba2f9187c59</t>
  </si>
  <si>
    <t>297d6ed3-bb27-48c2-8815-d43e5e3e6113</t>
  </si>
  <si>
    <t>2a461c35-5e21-4c95-8ff9-588804e3bdfc</t>
  </si>
  <si>
    <t>2a5038de-b72d-4eb9-b970-46797e4399d8</t>
  </si>
  <si>
    <t>2ae402d9-2146-4425-ab26-24e8fb475348</t>
  </si>
  <si>
    <t>2b43a655-7860-4045-a5d3-015139bf777e</t>
  </si>
  <si>
    <t>2bbcfdf0-c577-4599-a073-469ede547cd0</t>
  </si>
  <si>
    <t>2bcf9ac9-d920-4e2e-9655-1fb82835e721</t>
  </si>
  <si>
    <t>2c08de79-6da7-42a4-a7a3-112924cbb0d7</t>
  </si>
  <si>
    <t>2da8d19e-ed98-4b81-b1fc-aec33b5fc492</t>
  </si>
  <si>
    <t>2e00123e-967e-4735-b590-f022c5d0ab90</t>
  </si>
  <si>
    <t>2efc6608-c7ad-41e2-bdae-6145d81ec064</t>
  </si>
  <si>
    <t>3022a292-4ff3-4dd8-b77c-601924a792cd</t>
  </si>
  <si>
    <t>30cc7c4e-9022-49a0-967e-c2689bb9c2a5</t>
  </si>
  <si>
    <t>31941ceb-269e-4c76-9f7a-3b3bdd4153d1</t>
  </si>
  <si>
    <t>31d34c2e-840d-46ed-b089-1a8b1ed8d639</t>
  </si>
  <si>
    <t>33b198aa-7a72-4aa6-b4e7-97b57f47ebfd</t>
  </si>
  <si>
    <t>350e40f5-b7cd-49f7-a6c2-ea53d70ad1d0</t>
  </si>
  <si>
    <t>354c38bd-9b17-4de7-ad50-b159b2def221</t>
  </si>
  <si>
    <t>360e4d28-68ae-482c-ac7c-54ac0460afed</t>
  </si>
  <si>
    <t>367ab811-be0e-44e6-adaa-796c82723e0e</t>
  </si>
  <si>
    <t>36c8e72b-3d07-4cad-a00e-942338495e51</t>
  </si>
  <si>
    <t>36de3187-aaf7-41a1-b3f5-ed067cbd18e5</t>
  </si>
  <si>
    <t>36eccdf1-13ea-468f-817b-96afc85fb218</t>
  </si>
  <si>
    <t>37a1e368-df27-4a44-8e40-aea770dbf8a2</t>
  </si>
  <si>
    <t>3893a85c-00d9-4a6c-b75a-437beb630857</t>
  </si>
  <si>
    <t>393f0771-9c7b-4d89-b17b-6b4084cc8bf8</t>
  </si>
  <si>
    <t>3956b8b8-9627-44f0-88a9-bfc6d0bc632a</t>
  </si>
  <si>
    <t>3a8a83b1-4627-4530-a33e-783b4ed0059c</t>
  </si>
  <si>
    <t>3b766a14-9073-44be-b291-c07fb1cd6a13</t>
  </si>
  <si>
    <t>3bc2b7d9-4c9b-4761-a56e-430dbb7b0363</t>
  </si>
  <si>
    <t>3bf32752-26fd-4b52-a351-90043e763cd0</t>
  </si>
  <si>
    <t>3c3c722b-82c8-4bb9-aa26-4473cf32fba4</t>
  </si>
  <si>
    <t>3c6cbb35-c5b3-4e8a-a6ac-c032b47d4873</t>
  </si>
  <si>
    <t>3d1966c4-3d3d-4718-87e2-ec8e7b919082</t>
  </si>
  <si>
    <t>3ea3f6d0-67e0-4352-93bc-278487d5f399</t>
  </si>
  <si>
    <t>3ff3aabd-3236-49bb-b622-f7e49f1cab99</t>
  </si>
  <si>
    <t>4005b4b0-3229-403e-b145-2d9291859c49</t>
  </si>
  <si>
    <t>40cf819e-7c7e-4cf9-b7a6-845b7966facc</t>
  </si>
  <si>
    <t>4135d65f-4a3a-4c74-a4d8-0b91cab30ca9</t>
  </si>
  <si>
    <t>427cd3bd-5fdd-45b2-9d9c-9c6287093cf8</t>
  </si>
  <si>
    <t>43d0479d-e4f0-4f4a-bc34-300dac536cb1</t>
  </si>
  <si>
    <t>45e90920-b196-4ccc-b3bb-2f6c1b31a4b2</t>
  </si>
  <si>
    <t>475632a7-a6a8-40e8-b8c0-4ef81d989d33</t>
  </si>
  <si>
    <t>4757e4bd-f4a8-4eb7-858e-4f11f82ba412</t>
  </si>
  <si>
    <t>481cd80c-28fc-41ab-a687-6181c06729b2</t>
  </si>
  <si>
    <t>49dc183c-bc80-40c7-80d6-4e05602c3cce</t>
  </si>
  <si>
    <t>49fe5f0d-755c-48ba-b441-cd6f53837383</t>
  </si>
  <si>
    <t>4b327d1d-2585-44f4-82a0-6a764e9c2218</t>
  </si>
  <si>
    <t>4ea31f5c-f750-49a8-801f-9e5a322653db</t>
  </si>
  <si>
    <t>4f65bd3e-cdd6-4f55-9c27-d8b5030b17b7</t>
  </si>
  <si>
    <t>52382437-ac82-44fe-95a9-b9fe219b1a8e</t>
  </si>
  <si>
    <t>526132d5-1296-4fd0-8966-573bc6dc89f3</t>
  </si>
  <si>
    <t>53106dfc-2730-4dd3-82c1-4f6c21985ffd</t>
  </si>
  <si>
    <t>54e57d21-3262-418f-ba73-0c346d8f8dd0</t>
  </si>
  <si>
    <t>55707eec-ca88-4bdc-b84a-5a2f675ceb9d</t>
  </si>
  <si>
    <t>566d96c7-09ed-458d-9476-d6282a4a06ab</t>
  </si>
  <si>
    <t>5690a932-ad47-405f-be1a-306f97ca4bfc</t>
  </si>
  <si>
    <t>577bc8ea-1537-49b9-912d-6e7ed345b99d</t>
  </si>
  <si>
    <t>5785413c-0e81-48d8-b2b0-1dbf078b710d</t>
  </si>
  <si>
    <t>57a80eea-c9de-42b6-bfbf-77e18765a27c</t>
  </si>
  <si>
    <t>57bc6bf2-be97-46af-86b3-82a7f4a8256e</t>
  </si>
  <si>
    <t>5a91d3f7-94b0-4203-9a29-3100b01de304</t>
  </si>
  <si>
    <t>5b017d11-ab30-4538-8417-814911b815c8</t>
  </si>
  <si>
    <t>5b1171d1-34fd-4f9a-b53b-1d8802b9ad5e</t>
  </si>
  <si>
    <t>5c49bbd6-fc2f-464a-b5d1-91d8c2b134ff</t>
  </si>
  <si>
    <t>5d069442-80d4-4a75-ba86-ae4da6676135</t>
  </si>
  <si>
    <t>5dc6bfe1-4d52-4f37-be6e-b43fed3fdf5b</t>
  </si>
  <si>
    <t>5de41ebe-53ef-4896-bb35-8f0fe54ccb1f</t>
  </si>
  <si>
    <t>5e8d104c-7199-478d-a3d0-abcdb4d82ef3</t>
  </si>
  <si>
    <t>61f95594-7453-482b-a7a7-9c99a5539023</t>
  </si>
  <si>
    <t>622722b6-8317-49ee-a1bc-680aa9230b53</t>
  </si>
  <si>
    <t>625429b5-ebc9-435c-8d45-51a5bfb52f47</t>
  </si>
  <si>
    <t>6306ac16-58d8-41b5-a37a-d5bbe501c638</t>
  </si>
  <si>
    <t>639bba82-b36f-4d44-a275-38407e2798e6</t>
  </si>
  <si>
    <t>63a3d52e-1f39-4407-9838-3f3744d15bb2</t>
  </si>
  <si>
    <t>63ef44ae-a6fc-4335-b303-2303535ade43</t>
  </si>
  <si>
    <t>66ffa629-c735-461d-80ed-9020bd0ce3c8</t>
  </si>
  <si>
    <t>67890151-5c1a-458d-b486-6f78ffc5ac00</t>
  </si>
  <si>
    <t>6a5c8e79-e823-4264-ba2e-9fb2c8fea59d</t>
  </si>
  <si>
    <t>6b4b010c-5da9-4590-8a66-616e7f4d75dc</t>
  </si>
  <si>
    <t>70134887-ac90-40bb-ab19-70b5af9970ab</t>
  </si>
  <si>
    <t>7132173e-f61c-4bc0-bf09-355be8e06912</t>
  </si>
  <si>
    <t>7294b7f5-b11c-4798-a7f9-20c8a4cb6772</t>
  </si>
  <si>
    <t>7476b730-9249-4b3a-a283-85388489c0f7</t>
  </si>
  <si>
    <t>75ae9132-ce62-4244-a1a4-e459a1a72ea4</t>
  </si>
  <si>
    <t>7750780f-206b-43f2-a1b6-6adea02a3f0b</t>
  </si>
  <si>
    <t>778d3d3f-7715-4f75-aaf7-367fdff833c7</t>
  </si>
  <si>
    <t>78192035-26e1-4732-9697-19c944e3a0c0</t>
  </si>
  <si>
    <t>79acb56c-a7e7-4cce-9622-4f0c92c69374</t>
  </si>
  <si>
    <t>7a4ae7c4-2b52-4a17-8c75-3e9884cbdee2</t>
  </si>
  <si>
    <t>7a5a40a3-448e-470d-8d79-074e0b06b1b8</t>
  </si>
  <si>
    <t>7b5f8ff0-6807-43a7-9905-261413e5e411</t>
  </si>
  <si>
    <t>7cbe0cad-6a55-49de-8569-99ac3c924dc3</t>
  </si>
  <si>
    <t>7d30986d-11f0-4ec9-ad64-2dd4e79cf3e5</t>
  </si>
  <si>
    <t>7dc44019-362f-4fec-9979-edff75e741a0</t>
  </si>
  <si>
    <t>7e7ece92-18a1-4a45-b362-073f0d068c9f</t>
  </si>
  <si>
    <t>7ebf7154-595b-416c-adab-bb00c310e386</t>
  </si>
  <si>
    <t>7f4b527d-3833-4e47-8281-1ac4560528fb</t>
  </si>
  <si>
    <t>808b44f5-12e2-4028-bce0-b2a472d7a3d2</t>
  </si>
  <si>
    <t>83e6c19f-b0a9-4f5f-a803-ee83393dd508</t>
  </si>
  <si>
    <t>86af3bae-dc14-40e9-93e4-70711ad157e5</t>
  </si>
  <si>
    <t>86e806e0-e634-4af6-b5e0-a114c5ec9cc1</t>
  </si>
  <si>
    <t>86f6cc3b-52bf-4467-80d7-cf59e515d540</t>
  </si>
  <si>
    <t>87817c4e-d883-4baa-9ee2-14425204dc5b</t>
  </si>
  <si>
    <t>87d82ed8-9048-434d-b7ce-5258050ba07a</t>
  </si>
  <si>
    <t>893b7f4d-523e-46e3-bfb0-2a1f9dd9e5c8</t>
  </si>
  <si>
    <t>8982b737-3cc7-422d-9a45-342a23deff92</t>
  </si>
  <si>
    <t>899f6e04-b327-4f3b-9a7f-142eb00c5daa</t>
  </si>
  <si>
    <t>8a2d03eb-2e13-4d6f-ad2c-87c9a9cfbe73</t>
  </si>
  <si>
    <t>8b98d113-923e-41e4-b48a-4fb58f6dfce4</t>
  </si>
  <si>
    <t>8bc25e79-63d6-4cb8-a4fe-8b4fac4d85b4</t>
  </si>
  <si>
    <t>8df50fa4-6736-483c-8991-a769a2a125e5</t>
  </si>
  <si>
    <t>900cb3a3-1f38-4114-b164-8bd610aa1feb</t>
  </si>
  <si>
    <t>91746aaf-4790-41cf-8d77-6c9edfa0cdb4</t>
  </si>
  <si>
    <t>91ffaa7a-042f-49c1-8f12-073d02969fcb</t>
  </si>
  <si>
    <t>927d5d60-00d2-4737-ad5a-583ea1e52630</t>
  </si>
  <si>
    <t>92b44b07-a0ff-42f0-90db-9f76824207cd</t>
  </si>
  <si>
    <t>94c2fcaf-9eab-4fa9-8fe8-6e29869e31de</t>
  </si>
  <si>
    <t>9762e089-0952-41a6-bc3d-1952b0da6572</t>
  </si>
  <si>
    <t>976f00da-a679-4061-a247-c9029e56b722</t>
  </si>
  <si>
    <t>97ac2dd7-ef93-4cb7-9460-76806218a40e</t>
  </si>
  <si>
    <t>98e43a82-cad8-4ae4-a529-c474633b087e</t>
  </si>
  <si>
    <t>9919a07a-91f0-4b32-bcb1-367002537a62</t>
  </si>
  <si>
    <t>9971b547-360e-4d34-89ba-9dfe80d55a25</t>
  </si>
  <si>
    <t>99e9c932-ffec-4eab-8943-94fa55505c98</t>
  </si>
  <si>
    <t>9a26707a-96ae-4f4a-bca0-449668e5a160</t>
  </si>
  <si>
    <t>9a469ebc-d5f7-4346-9ab3-4a4672e653fc</t>
  </si>
  <si>
    <t>9a46a891-abd5-4a1a-aba7-741c656718c5</t>
  </si>
  <si>
    <t>9c64c243-9708-49c4-9f32-4be0827cb340</t>
  </si>
  <si>
    <t>9dae44ab-69d0-4e8d-b388-5b8f45e14196</t>
  </si>
  <si>
    <t>9ff1189a-74c9-49b6-aec6-bf5b084b09d8</t>
  </si>
  <si>
    <t>a062fff3-13ac-4025-a349-90a6a78db8ae</t>
  </si>
  <si>
    <t>a160503a-429f-4148-8ee2-e75697721711</t>
  </si>
  <si>
    <t>a23fe17e-6985-4dfb-bf43-53fddef329a8</t>
  </si>
  <si>
    <t>a2dcb2eb-2827-4a06-84a2-6b369705cadf</t>
  </si>
  <si>
    <t>a31b33a0-865f-46d3-91b6-f33fcf5c548e</t>
  </si>
  <si>
    <t>a352161e-28e0-4801-ac26-af25ff6ff68b</t>
  </si>
  <si>
    <t>a41f4faf-60b6-4ae0-98ec-26ef2dc6fc72</t>
  </si>
  <si>
    <t>a5501874-3093-492d-bfa5-b051d15a5bbe</t>
  </si>
  <si>
    <t>a5b5df80-6258-44f8-a0b7-832d6e1e5e3a</t>
  </si>
  <si>
    <t>a659d9e7-5ef1-4c4c-b20e-c0365e960056</t>
  </si>
  <si>
    <t>a7223f9d-9b5b-48dd-91c3-edca32a8148c</t>
  </si>
  <si>
    <t>a7840f01-7a62-4339-9d94-10166b45624b</t>
  </si>
  <si>
    <t>a8130532-d4c7-424e-b37a-a60515957fb7</t>
  </si>
  <si>
    <t>a82993e6-275e-42da-a625-a0dfd1352086</t>
  </si>
  <si>
    <t>ab2d5427-a3f8-4612-89f6-c17dbf9f5235</t>
  </si>
  <si>
    <t>abc0a8d2-52df-4cf4-b3ce-456bf4d1ef9e</t>
  </si>
  <si>
    <t>ae721a3c-264e-41c6-ace0-ba6faf991698</t>
  </si>
  <si>
    <t>af1bf738-cb2a-4760-b84f-b9c338e25af3</t>
  </si>
  <si>
    <t>aff0f29e-d7cf-438e-8701-8c24b7ee5456</t>
  </si>
  <si>
    <t>b212e1cf-0269-432d-b2fd-56b6595ab232</t>
  </si>
  <si>
    <t>b2b8028b-7cb1-4618-84fe-e72a80fa0dd3</t>
  </si>
  <si>
    <t>b3c5a439-54ad-4864-9d8c-0f58daeb616d</t>
  </si>
  <si>
    <t>b3d5a8f3-126b-4cd6-a83d-45ac85b333cb</t>
  </si>
  <si>
    <t>b41f10d9-286d-4b9a-8693-c9c8056272fa</t>
  </si>
  <si>
    <t>b65a6bbf-26f0-4902-b5b9-a3b029503762</t>
  </si>
  <si>
    <t>b661b687-68f9-4b20-b8ea-1f51bd21ce76</t>
  </si>
  <si>
    <t>b6913c9d-c609-4bad-9988-945e03a9dd84</t>
  </si>
  <si>
    <t>b6ae2266-b39a-48a4-a4f1-2a6cefd35f2d</t>
  </si>
  <si>
    <t>b6bc7777-f62c-4a9a-bc09-9e9c91ef603c</t>
  </si>
  <si>
    <t>b6fbe8a6-427b-4315-907f-125c8243c7a0</t>
  </si>
  <si>
    <t>b874f8cf-0870-4b66-9fca-f333b86d79ca</t>
  </si>
  <si>
    <t>b8aab78d-a0b5-4105-90f0-35d184b1678a</t>
  </si>
  <si>
    <t>b8bb752f-d4da-4d19-a75b-0ab306f5898d</t>
  </si>
  <si>
    <t>ba557cb0-6dfe-4c94-9f6a-e3486f40b2e2</t>
  </si>
  <si>
    <t>baed115a-7a5a-4274-9bc5-30d9cee69b89</t>
  </si>
  <si>
    <t>bb772a45-2ba0-4cb8-8fb1-77d922337031</t>
  </si>
  <si>
    <t>bb8e290c-3ff5-4c0b-b887-72c432dd1270</t>
  </si>
  <si>
    <t>bc444380-9c34-4965-abb5-8416464ffb75</t>
  </si>
  <si>
    <t>bcc2690b-d08d-495a-9aa1-c2eaf9a9c579</t>
  </si>
  <si>
    <t>bdebe5d7-7c34-4b28-b821-d852d386664c</t>
  </si>
  <si>
    <t>c06f8382-fe3e-4d68-afdf-aec9c294fbc2</t>
  </si>
  <si>
    <t>c1e4ccbb-8829-445f-8d9b-b196fa0d4fa4</t>
  </si>
  <si>
    <t>c3fc8fef-5434-47e3-ae10-52c24fd7fefb</t>
  </si>
  <si>
    <t>c443110f-4e2c-4038-bbd1-5487e607029a</t>
  </si>
  <si>
    <t>c4436c23-167a-42e6-8ed0-ed63146e1667</t>
  </si>
  <si>
    <t>c6729264-c5b0-41ca-aaf4-bdc0810ef473</t>
  </si>
  <si>
    <t>c8271da4-1c19-4f7b-9670-a01a0cdc3d28</t>
  </si>
  <si>
    <t>c8d14be3-f1e2-4555-9bd5-b8e26989e6a8</t>
  </si>
  <si>
    <t>c915ae40-accc-41c9-8353-5864c102b5e1</t>
  </si>
  <si>
    <t>c9627631-680c-4fbc-8b90-e00a32277480</t>
  </si>
  <si>
    <t>c98f560d-b026-4024-86ca-58390122d64a</t>
  </si>
  <si>
    <t>c9f1f28d-4485-4a89-99b6-569fc1244699</t>
  </si>
  <si>
    <t>cbc44a1f-e691-4af9-9f66-98a386acf4c3</t>
  </si>
  <si>
    <t>ce27420e-9d6f-4978-8ef1-355911a2f902</t>
  </si>
  <si>
    <t>cecc5e50-691b-4ee0-8d4f-b878cd68445f</t>
  </si>
  <si>
    <t>cfd5cff3-d80b-4c38-8635-2c1df44e2161</t>
  </si>
  <si>
    <t>d01fd476-412e-4930-a40a-af91b22e188e</t>
  </si>
  <si>
    <t>d2301199-baf0-45a3-a094-b0783be34423</t>
  </si>
  <si>
    <t>d23452c3-6acd-4c0f-9e1a-e5786368732a</t>
  </si>
  <si>
    <t>d266236a-8c6c-4d60-94c8-fc738e84c3d1</t>
  </si>
  <si>
    <t>d3b5b10a-c009-492e-b3be-fadaf5770377</t>
  </si>
  <si>
    <t>d5a0a8b0-d1a3-47b8-b23d-8e35a285567c</t>
  </si>
  <si>
    <t>d5a4f97c-3386-4c7a-9384-2e79cca9f3f5</t>
  </si>
  <si>
    <t>d7ba3c6d-b67f-41e6-b54d-01ee58753b93</t>
  </si>
  <si>
    <t>d864764f-4289-44ea-bc52-5408c00ff1d2</t>
  </si>
  <si>
    <t>d95fae93-e93d-4f57-96ae-279a9b144f7e</t>
  </si>
  <si>
    <t>d988bf17-373f-4ecf-ab26-39be5cd46247</t>
  </si>
  <si>
    <t>d9cc01f0-eab5-44c1-8512-69469af710b3</t>
  </si>
  <si>
    <t>dc4b0357-e455-40b6-ac7f-408ad4583bfe</t>
  </si>
  <si>
    <t>dcdc7543-cabf-4081-ad0c-fa719a68849f</t>
  </si>
  <si>
    <t>dd2d5402-61a7-419f-93c9-cac59f9d72c1</t>
  </si>
  <si>
    <t>dd9f9871-973f-400d-b2fa-8c315c450f87</t>
  </si>
  <si>
    <t>e0663b34-ab2b-4597-88a5-f1d7564af0ed</t>
  </si>
  <si>
    <t>e087ec23-8f5a-42e5-b755-cc8d381ea938</t>
  </si>
  <si>
    <t>e0b48589-cc06-4e72-9cea-45a2c71b9a47</t>
  </si>
  <si>
    <t>e121b055-59bf-45e4-86d9-0e9f7c52cb19</t>
  </si>
  <si>
    <t>e2c795d3-9fb4-4a34-9189-ce954ea97cb3</t>
  </si>
  <si>
    <t>e2f5fede-3901-4d54-b476-6eb28d05372a</t>
  </si>
  <si>
    <t>e368fb62-7dfe-4b34-bb3b-7d7e85b3ab41</t>
  </si>
  <si>
    <t>e38a68ea-af05-454a-a1e8-6052faeea876</t>
  </si>
  <si>
    <t>e38bb8e6-9e54-46f9-99f1-a47019effd61</t>
  </si>
  <si>
    <t>e3c42eb8-32f4-43d3-b205-db99070344b2</t>
  </si>
  <si>
    <t>e6559ead-eb76-499a-9214-dd92c6e2836a</t>
  </si>
  <si>
    <t>e668cc5c-7726-41cb-8de2-8c6262cbd295</t>
  </si>
  <si>
    <t>e70b7524-2423-474d-9e90-5741ce48932a</t>
  </si>
  <si>
    <t>e7f60f77-b4b3-4c83-91cd-95b622ad46df</t>
  </si>
  <si>
    <t>e7ff8afb-2360-41d6-9dab-1ce6da878f97</t>
  </si>
  <si>
    <t>e8bafef0-8bbc-4ea7-956e-73277bcd8f64</t>
  </si>
  <si>
    <t>e8fed01f-b2d0-4f66-b625-bfdd6179bc8e</t>
  </si>
  <si>
    <t>ec8499b9-bedf-486e-8b83-feaddc78cc4b</t>
  </si>
  <si>
    <t>f03391da-48f5-4988-8c9c-052a40c0cea0</t>
  </si>
  <si>
    <t>f06150d5-501a-4bda-ad62-b71e1aa8ee88</t>
  </si>
  <si>
    <t>f13d3855-5815-4ec7-b5b3-2633b505c0a2</t>
  </si>
  <si>
    <t>f40c1026-0217-4896-beaf-95de60ebe589</t>
  </si>
  <si>
    <t>f46187e7-b99a-4158-908a-e0256addd9f5</t>
  </si>
  <si>
    <t>f4dc1654-9282-4bc4-92d0-026b3adebfca</t>
  </si>
  <si>
    <t>f53546d8-184e-4580-b652-7c2c64c7afec</t>
  </si>
  <si>
    <t>f70faa63-2b49-48b4-af7e-0370247b3dfb</t>
  </si>
  <si>
    <t>f75a0534-6509-4e33-adb0-f3c73f53c865</t>
  </si>
  <si>
    <t>f7f64a4f-9d7f-43fb-b9b3-bee31c6912b3</t>
  </si>
  <si>
    <t>f8a15e69-17cd-444f-97f2-3b6eef050213</t>
  </si>
  <si>
    <t>f9ca80ed-93a5-4448-ac36-a497ce3ce99d</t>
  </si>
  <si>
    <t>fa480210-8f58-4f42-9293-5a342e4e5a6b</t>
  </si>
  <si>
    <t>fa90961d-6818-4d14-8d09-c77f11ae1d82</t>
  </si>
  <si>
    <t>fbdbd15c-4dde-45df-a60f-b69fafca655f</t>
  </si>
  <si>
    <t>fd05a1cf-ced9-43e6-88b6-4a8414c01916</t>
  </si>
  <si>
    <t>fd644946-7835-4911-a80e-729fbeffafa9</t>
  </si>
  <si>
    <t>fdd2535a-5f70-4f2a-8a06-4bcb97909098</t>
  </si>
  <si>
    <t>fea24eb9-7401-4653-823d-8a59bc9e983f</t>
  </si>
  <si>
    <t>ff03d30c-6605-4aa1-942c-9b8ccc8b1a38</t>
  </si>
  <si>
    <t>0b281aa0-e95a-4ac7-88bb-5f0b30f68721</t>
  </si>
  <si>
    <t>0b6c748c-7e9d-4314-ba6d-50c6b63c0ed9</t>
  </si>
  <si>
    <t>0b79a488-438f-402d-b620-b59ef27c5053</t>
  </si>
  <si>
    <t>0dacd985-b468-4efc-96f0-aee6dea30075</t>
  </si>
  <si>
    <t>0f5b63f2-0f62-42cd-b9a0-76faa031748b</t>
  </si>
  <si>
    <t>1020da81-3a3f-4c1d-97d3-1d6b1042565d</t>
  </si>
  <si>
    <t>1055b728-13d6-48b2-b146-fed07dd3d9d8</t>
  </si>
  <si>
    <t>1208e9a6-58d0-4b40-8982-4de68f356e34</t>
  </si>
  <si>
    <t>14094cdd-8e97-4e97-aa0c-0bf38c812417</t>
  </si>
  <si>
    <t>148441d1-5082-4239-8b3b-50ef6bb5acfb</t>
  </si>
  <si>
    <t>16b5c3a5-6128-4dfd-bf9f-a5bf3cf23640</t>
  </si>
  <si>
    <t>16eaf53b-ac77-4168-bbde-80f25bc5d0f4</t>
  </si>
  <si>
    <t>176d49ce-a76a-4bee-8e3d-c29820105566</t>
  </si>
  <si>
    <t>17c6b458-df52-4d0c-bcb3-6b2b54ac18af</t>
  </si>
  <si>
    <t>1885c450-5930-4ce1-b557-36b732a2acca</t>
  </si>
  <si>
    <t>19968c19-1ce8-453d-ad00-186efe0fb6d9</t>
  </si>
  <si>
    <t>1b1aac08-f704-4997-8ec8-fdb809179599</t>
  </si>
  <si>
    <t>1b29faa3-4ab1-4c4e-8854-103b12bf7c15</t>
  </si>
  <si>
    <t>1bf39ea0-9540-46ce-b192-dc020e2093ef</t>
  </si>
  <si>
    <t>1c701aa0-805f-4a90-9ed7-8ac8f1a89901</t>
  </si>
  <si>
    <t>1c91f636-ce32-499c-928d-2a902964b15e</t>
  </si>
  <si>
    <t>1cf75797-47bb-4a68-8108-99d016043ca0</t>
  </si>
  <si>
    <t>20493f0d-4ffd-4a87-aad5-dea0235a3518</t>
  </si>
  <si>
    <t>207d385e-7dc2-46ac-b34e-57aca30ce423</t>
  </si>
  <si>
    <t>208f87df-3acf-4cee-b598-668c654e910b</t>
  </si>
  <si>
    <t>22035d36-7047-426c-b233-b1ce30aa52a9</t>
  </si>
  <si>
    <t>228884d2-942d-4834-a280-2bfffe4beefc</t>
  </si>
  <si>
    <t>253829d1-02b1-44fd-9c0a-0424a489d775</t>
  </si>
  <si>
    <t>2757b8b3-e205-4cec-a7ce-1cb997e6c183</t>
  </si>
  <si>
    <t>2772920b-40b8-4999-afdf-0dcdc8d9b175</t>
  </si>
  <si>
    <t>2900f460-5488-4e90-94a7-0db81149768b</t>
  </si>
  <si>
    <t>299ef3e8-26a6-401d-90d3-cc453a8296de</t>
  </si>
  <si>
    <t>29ad547e-9fcb-47f2-8d40-396c3e464c12</t>
  </si>
  <si>
    <t>2b008bd3-665b-4ca5-91e5-de51d7c8150b</t>
  </si>
  <si>
    <t>2c1ab427-176b-4cef-9d1c-524fc112cd70</t>
  </si>
  <si>
    <t>2ca697f3-8019-4363-b5e0-f6b0ca27a19a</t>
  </si>
  <si>
    <t>2ca7c6ba-3985-4546-9296-bbf6585d1580</t>
  </si>
  <si>
    <t>2ceec6e0-c35d-4a36-9090-b256dd855d3c</t>
  </si>
  <si>
    <t>2d459fa8-dd20-400b-9aeb-d9dfc4fba2fc</t>
  </si>
  <si>
    <t>2d73eee3-6631-4584-82b0-f5dd11c8bba1</t>
  </si>
  <si>
    <t>2e59ee3e-bede-483a-adf9-a47824213ff4</t>
  </si>
  <si>
    <t>2e7217ea-b4b2-4937-bbbe-9b26da4abf95</t>
  </si>
  <si>
    <t>2ec89c2c-7a23-4bf7-a791-095032fe09ec</t>
  </si>
  <si>
    <t>2fb3499e-aae4-4ece-b146-8971073292ad</t>
  </si>
  <si>
    <t>30974220-feb9-49cd-a8dd-9230dcb6aa75</t>
  </si>
  <si>
    <t>329b238a-10f0-4f18-a2c0-cdc1a56979d5</t>
  </si>
  <si>
    <t>32ebc2ab-c3d3-4679-b43f-20a9408c8914</t>
  </si>
  <si>
    <t>331106aa-68fe-4e2b-b4f8-5a662da2fbb5</t>
  </si>
  <si>
    <t>3369804c-7346-4b34-9841-4fa13f84beaf</t>
  </si>
  <si>
    <t>348529b1-ad75-4405-911f-33e0bca09825</t>
  </si>
  <si>
    <t>355d145f-0a6a-44f9-b053-c504f533f43c</t>
  </si>
  <si>
    <t>362d9cad-8e34-4284-95a7-67ef19b8d884</t>
  </si>
  <si>
    <t>377f2a7a-b307-4212-afe3-278456de4395</t>
  </si>
  <si>
    <t>379376bb-c4f2-47b3-a621-32ad2c35c335</t>
  </si>
  <si>
    <t>3942e8fc-02d0-4a9c-85b4-9764916e6c41</t>
  </si>
  <si>
    <t>39d229c8-8d0c-4609-a8c1-c7abeb5a0055</t>
  </si>
  <si>
    <t>39e7b993-e96d-4026-9d24-9610335a757d</t>
  </si>
  <si>
    <t>3acf5cdd-0afa-4346-972f-be2fae41e352</t>
  </si>
  <si>
    <t>3b70ece9-ed87-4625-ae6b-18f65f444e04</t>
  </si>
  <si>
    <t>3ba80d46-54eb-4ad8-8a72-9fad037575dd</t>
  </si>
  <si>
    <t>3bbccbf5-51d5-49b0-9549-73997d0fe8a4</t>
  </si>
  <si>
    <t>3bf76c32-768e-488c-bb45-87e39e427713</t>
  </si>
  <si>
    <t>3c346a70-228f-44da-8a7a-e87bbd46fcd0</t>
  </si>
  <si>
    <t>3e4dacd3-0a59-4201-8a7b-1335ca737257</t>
  </si>
  <si>
    <t>3e5f666e-facb-48dd-b7c0-506cda341aac</t>
  </si>
  <si>
    <t>3f660904-41fc-47bc-b94b-3b1ab19eaf16</t>
  </si>
  <si>
    <t>40345087-1a81-445c-9d22-004aa529edf1</t>
  </si>
  <si>
    <t>427a56aa-57a0-45d8-8ddb-d7f0fa764684</t>
  </si>
  <si>
    <t>431aa6c8-36c4-465f-b01c-41fa614ecf03</t>
  </si>
  <si>
    <t>43245b37-c0f9-4e79-9255-e0b3fea3c1fb</t>
  </si>
  <si>
    <t>44322653-79be-4374-abb4-10bdb0174b98</t>
  </si>
  <si>
    <t>45d40cc4-0e19-4768-8ec9-9b907c0eb4f9</t>
  </si>
  <si>
    <t>48176f24-4bba-49a6-be13-edf7c242b100</t>
  </si>
  <si>
    <t>49139cd2-251a-43d0-9d6b-7aaf5f707d84</t>
  </si>
  <si>
    <t>49897d70-c3d1-49d7-b42a-e22edb23b060</t>
  </si>
  <si>
    <t>4a4a0f23-f527-4442-8702-7148dd226ed9</t>
  </si>
  <si>
    <t>4a735afb-a931-4c43-8d03-adf813183d07</t>
  </si>
  <si>
    <t>4a9bcb74-3f40-408e-8593-6d8b47eafa30</t>
  </si>
  <si>
    <t>4aa26774-d949-480d-9b51-e3dc9e739fef</t>
  </si>
  <si>
    <t>4af18264-2c7a-4166-95db-34475583f0fb</t>
  </si>
  <si>
    <t>4ca40fcd-3852-422f-8d7d-6e0fc46dd84d</t>
  </si>
  <si>
    <t>4d29f703-1ae3-4564-8b35-cfc2b63ba604</t>
  </si>
  <si>
    <t>4d77956b-40a8-470c-9b1d-269edc8372a7</t>
  </si>
  <si>
    <t>4d813368-82f1-4550-bc8f-4f5e5bf4cd71</t>
  </si>
  <si>
    <t>4da089b0-25b1-4647-9d03-f4de1712020b</t>
  </si>
  <si>
    <t>504514ec-b24e-4c64-8393-e89097af8bd1</t>
  </si>
  <si>
    <t>50b2f696-e3eb-4393-ae93-eaf7c3665c7f</t>
  </si>
  <si>
    <t>50cc9e76-2576-4834-bb5d-a4eeae8c74a9</t>
  </si>
  <si>
    <t>5189cec8-b05b-4964-804a-245b8db48b47</t>
  </si>
  <si>
    <t>535c2bd2-88f5-4c9d-8266-4230bf9e234d</t>
  </si>
  <si>
    <t>55c1b0ee-5d38-4c66-9105-a06d70014cec</t>
  </si>
  <si>
    <t>55c6cddf-5015-4ce7-a292-a0ede607402a</t>
  </si>
  <si>
    <t>5663da46-0db3-4fc7-8bb2-b1cd0c08526d</t>
  </si>
  <si>
    <t>56f8e1b8-1778-4b1e-95f0-fc6b1f9d9473</t>
  </si>
  <si>
    <t>59c1b11b-8bb6-41b0-b880-5d5df8de7ff9</t>
  </si>
  <si>
    <t>5a41ccbc-fa99-4e0a-938f-99c5dbe9fd91</t>
  </si>
  <si>
    <t>5b68e3ee-6134-4afd-9429-1614aca1e1f9</t>
  </si>
  <si>
    <t>5b816cfa-68b9-4446-9f31-a5ac8c12ca18</t>
  </si>
  <si>
    <t>5bc31733-6da6-483e-9733-106d05861473</t>
  </si>
  <si>
    <t>5c7908bd-005e-4cb4-8cea-925349a2e9f5</t>
  </si>
  <si>
    <t>5ca69d2d-4ea1-4ef7-b318-450dbaca9d86</t>
  </si>
  <si>
    <t>5d11d2dd-bc13-4eea-b0df-19a8622d18d3</t>
  </si>
  <si>
    <t>5f13869f-814c-489c-abae-892c6b64b747</t>
  </si>
  <si>
    <t>61555f3d-68b4-43f7-b361-f37d1b1a250b</t>
  </si>
  <si>
    <t>62a59630-b78d-4460-ab94-5b9e9ae1be39</t>
  </si>
  <si>
    <t>63ccda05-8f17-4c8c-9afa-acd8a55d8260</t>
  </si>
  <si>
    <t>664ae59c-8875-40ff-8af1-4be4133848ed</t>
  </si>
  <si>
    <t>669f116d-c1ab-4280-b2ac-36716b15c429</t>
  </si>
  <si>
    <t>673be7cf-e140-4d78-bcb0-716fb6298a03</t>
  </si>
  <si>
    <t>67514bb6-b2e2-49c5-b244-7d2db5645aa0</t>
  </si>
  <si>
    <t>67990e2e-ff49-49c6-8f0b-ffa2a1756c8a</t>
  </si>
  <si>
    <t>679aeb47-fe7d-49ec-84e3-fe4e0da5b6ab</t>
  </si>
  <si>
    <t>683fc2c3-d770-4af3-afab-9be1e45dcc27</t>
  </si>
  <si>
    <t>6ad839cb-7070-44fe-b06a-29b45fd54460</t>
  </si>
  <si>
    <t>6b4d9ed5-c718-4453-b28d-3a95845994db</t>
  </si>
  <si>
    <t>6ba6156f-6ade-4cf7-b8f7-dc3ea90da5dc</t>
  </si>
  <si>
    <t>6bb8e7c5-1afd-41bb-bb58-bf3dc42b877e</t>
  </si>
  <si>
    <t>6d825416-a07b-40f5-98f8-6cce5ec949d2</t>
  </si>
  <si>
    <t>6d8f105d-f445-4fc6-bea0-6b870f64b32b</t>
  </si>
  <si>
    <t>6d9cd298-f949-414d-8965-9f4cddc1e41d</t>
  </si>
  <si>
    <t>6dddc869-dfe6-4f29-a41a-c19682c76150</t>
  </si>
  <si>
    <t>6e037c7f-1aa5-4601-9751-17e86ea36a4c</t>
  </si>
  <si>
    <t>6e7d1137-ce68-496c-81ec-bcfddef8dedf</t>
  </si>
  <si>
    <t>6f46abd5-f240-42c4-81d1-3a0e15b2f20f</t>
  </si>
  <si>
    <t>6fe61f0f-2469-49b1-bade-fb68a95013c7</t>
  </si>
  <si>
    <t>719c8a88-3051-47a1-8d5c-08723f657590</t>
  </si>
  <si>
    <t>72df85cf-842c-4168-9f9f-13a737da1035</t>
  </si>
  <si>
    <t>743508f9-4512-4e46-895c-204bf91a8f9c</t>
  </si>
  <si>
    <t>74716719-bcb9-4da0-8e34-c8c95a8fcfd2</t>
  </si>
  <si>
    <t>75222119-3b6b-4f04-b3cb-9bc2613ef2eb</t>
  </si>
  <si>
    <t>7627ee12-1ca9-4c69-99ff-a8000993799d</t>
  </si>
  <si>
    <t>789ebb36-37ee-4f5d-9b56-01424b6f81ed</t>
  </si>
  <si>
    <t>7cd49731-1fd6-43e7-92c8-c22f0d7d891e</t>
  </si>
  <si>
    <t>7d592efc-e025-4333-b2bf-2cff18c1529a</t>
  </si>
  <si>
    <t>7dc33870-9c89-45c8-b746-c03dc797d911</t>
  </si>
  <si>
    <t>7e5bea9a-eb6c-49f4-91b9-fa63d12b74cc</t>
  </si>
  <si>
    <t>7fef33bd-b7ee-4255-990b-118bbeacb2e2</t>
  </si>
  <si>
    <t>80015255-aa00-4972-8818-b9d57398c1e3</t>
  </si>
  <si>
    <t>82fbd9d9-f086-455b-885d-bc212697b995</t>
  </si>
  <si>
    <t>837c7447-8d5b-4770-a892-890b1e021da1</t>
  </si>
  <si>
    <t>83da5202-8e30-4297-bb19-897886ff4364</t>
  </si>
  <si>
    <t>84dbe537-fd84-485f-99ec-66d50d734062</t>
  </si>
  <si>
    <t>8510b712-4263-46eb-8f42-d5f778b6514d</t>
  </si>
  <si>
    <t>85356cac-ab0a-4eba-803c-9f1b9383d080</t>
  </si>
  <si>
    <t>8566ab46-ea3a-4c7c-b0ef-85a4dd693224</t>
  </si>
  <si>
    <t>876d70a9-0d30-4ead-adda-bb8f3f8b46b1</t>
  </si>
  <si>
    <t>887bfc93-55ab-436e-ab64-f8c5570fda32</t>
  </si>
  <si>
    <t>88eddc35-d73e-4375-9052-d05037506531</t>
  </si>
  <si>
    <t>89182faf-35a1-4ee5-a0f1-991efb835174</t>
  </si>
  <si>
    <t>8b0b7083-a96c-457b-9812-c99fde39f68e</t>
  </si>
  <si>
    <t>8c05f08c-9e6f-4b35-98a3-8ac8e6adac9f</t>
  </si>
  <si>
    <t>8c35a248-c843-44b7-b097-08547c98468d</t>
  </si>
  <si>
    <t>8c577550-b80d-4fd2-98ae-d37986f7dd22</t>
  </si>
  <si>
    <t>8cd5895c-2d00-4492-9bc8-01ae8749a3ff</t>
  </si>
  <si>
    <t>8d1b5e90-f655-486e-a429-3f3fbbbe701c</t>
  </si>
  <si>
    <t>90956125-94ae-4975-ac04-52b1d7a3ba8f</t>
  </si>
  <si>
    <t>92a6e1c0-7352-4bbb-8d39-7bc5ab92cfec</t>
  </si>
  <si>
    <t>95800ae3-de09-4fa8-8404-0158bf1ad1ff</t>
  </si>
  <si>
    <t>96f8b6c0-debb-4363-ba4b-f1d5c5b0a636</t>
  </si>
  <si>
    <t>98635747-8c7c-43d6-b2ea-1528959f9764</t>
  </si>
  <si>
    <t>99b7d850-02a3-460b-8ca5-5f8537f60d4e</t>
  </si>
  <si>
    <t>9ab52bf8-5ea8-447d-a6ed-7f20c87d7771</t>
  </si>
  <si>
    <t>9ae9b01e-4356-432a-acdc-d31152bd4f87</t>
  </si>
  <si>
    <t>9b81999d-b845-4082-9a03-61b9663a8604</t>
  </si>
  <si>
    <t>9d5bff86-cb8c-4892-b991-f9f673b94b8e</t>
  </si>
  <si>
    <t>9da64269-a2f7-4ffc-93f5-1feb6a14879e</t>
  </si>
  <si>
    <t>a01ed0d1-59b2-423f-963a-ff39c935dcf9</t>
  </si>
  <si>
    <t>a1b97e0c-d258-40cf-8080-5d72f349c022</t>
  </si>
  <si>
    <t>a4e9ef0f-e295-4d02-a042-96e4ceeab9a4</t>
  </si>
  <si>
    <t>a530e9ea-5eb0-4e80-aaf7-9868d375ac8e</t>
  </si>
  <si>
    <t>a537c981-7609-4929-88ee-054615bcf74d</t>
  </si>
  <si>
    <t>a5dd5dbf-c50f-42c5-8602-e851a3af5ec1</t>
  </si>
  <si>
    <t>a6d60a26-da57-4b10-8140-7b0295403963</t>
  </si>
  <si>
    <t>a7a76989-121d-460f-b9ce-5d42bdd5e295</t>
  </si>
  <si>
    <t>a9519149-8eef-4f43-89be-c1167e69195b</t>
  </si>
  <si>
    <t>aac4d6b0-049c-45fe-ae78-12d91d5da5d3</t>
  </si>
  <si>
    <t>acdcfdeb-2e9e-4937-9692-d4c7cd5bb1b6</t>
  </si>
  <si>
    <t>ad1b197e-9660-46ef-95e8-17e4b70d82d4</t>
  </si>
  <si>
    <t>ad6e3e9c-ef93-438e-8ece-3eb821ea7dcc</t>
  </si>
  <si>
    <t>aeeb9fc1-e991-437a-8ffe-0fe5ec29dd7d</t>
  </si>
  <si>
    <t>af619512-094a-41eb-896a-d146f4ffef4a</t>
  </si>
  <si>
    <t>b01bf647-e408-4e1f-a428-2ca17578afb3</t>
  </si>
  <si>
    <t>b178a7fd-ec15-4fa4-b5d5-5b89a8f08051</t>
  </si>
  <si>
    <t>b25160ad-1b24-4519-b3bc-59bfa9f46b4a</t>
  </si>
  <si>
    <t>b28352b8-1db6-440e-bfb5-023fb935fb5c</t>
  </si>
  <si>
    <t>b360d4aa-a9d9-4447-84b3-bbd34f8652da</t>
  </si>
  <si>
    <t>b3af6200-25c1-4c56-b46c-4368626faf07</t>
  </si>
  <si>
    <t>b40901c5-ba31-4ed5-b309-83476335d597</t>
  </si>
  <si>
    <t>b4e3c20f-6f50-4db4-86d8-3bf8c1c8de27</t>
  </si>
  <si>
    <t>b4e4c75d-9bb2-4735-84ee-4ac42be24b0c</t>
  </si>
  <si>
    <t>b659e4f8-3fe9-4d7d-82c1-4410dfebec3d</t>
  </si>
  <si>
    <t>b69a5a49-87c9-4a1a-a009-65f17c4d2d61</t>
  </si>
  <si>
    <t>b69e3e9f-0a48-402d-84fd-738e63990676</t>
  </si>
  <si>
    <t>b6d902a2-9d11-4034-8a46-9f6893c64193</t>
  </si>
  <si>
    <t>b89b202a-8c3c-4368-8fc8-375d0f9fc978</t>
  </si>
  <si>
    <t>b909e77b-46f9-44f7-835a-a8b2e4ecdfd9</t>
  </si>
  <si>
    <t>b91b0b2e-e9dc-44c2-b196-3eec1e02e736</t>
  </si>
  <si>
    <t>b9d5987a-124e-4608-a5d8-d12ec1e0210f</t>
  </si>
  <si>
    <t>ba4470d7-4878-41d7-b267-88bb0a2f8e05</t>
  </si>
  <si>
    <t>bad54c11-0b75-4319-8035-46f53364f60f</t>
  </si>
  <si>
    <t>bc0febdf-6a50-445d-a0e1-ae6569d5efa3</t>
  </si>
  <si>
    <t>bd1e88b7-5b75-43d6-a475-d82874a26872</t>
  </si>
  <si>
    <t>bd57bcc0-363a-4460-9c86-38a66574b61d</t>
  </si>
  <si>
    <t>be485b84-30ad-4bdd-b20c-30d72809c10b</t>
  </si>
  <si>
    <t>be787677-b9ec-44b4-8843-f33ae0fa477a</t>
  </si>
  <si>
    <t>bf100300-f10a-4950-ba6e-5f7968b75212</t>
  </si>
  <si>
    <t>bf456fe8-58f9-405f-b94d-ff7fe3341c92</t>
  </si>
  <si>
    <t>bf5b71d2-d8c5-43a5-b48b-0a74e15782fa</t>
  </si>
  <si>
    <t>c0e5a484-9093-4286-8c5a-7a63beb58b52</t>
  </si>
  <si>
    <t>c18fc398-a30a-470e-a6d0-3441876fdc44</t>
  </si>
  <si>
    <t>c28fea7c-f310-45e5-9acf-c45a71eb903d</t>
  </si>
  <si>
    <t>c2ef72db-10ab-43e7-a8f3-5adb1163b91a</t>
  </si>
  <si>
    <t>c4c6b117-f4d4-464a-a089-acef930cc902</t>
  </si>
  <si>
    <t>c5c80029-8a2e-4b39-96da-120432009ccc</t>
  </si>
  <si>
    <t>c75daa36-0209-4497-bd5d-61af453dc4ef</t>
  </si>
  <si>
    <t>c7bd6994-34fa-441c-9ab0-fe5af4328550</t>
  </si>
  <si>
    <t>c86e4d22-11ec-4dec-bcb0-655322f9a65f</t>
  </si>
  <si>
    <t>c98db330-3e68-464f-9ed0-27348a070a89</t>
  </si>
  <si>
    <t>c998ae2e-15f2-42bd-b6d3-c0401b280e0b</t>
  </si>
  <si>
    <t>ccaab0b6-ca8d-4f04-b40e-6d03dd9ae5f2</t>
  </si>
  <si>
    <t>cdc45acc-9bac-4d18-b82c-ad1f2be287de</t>
  </si>
  <si>
    <t>cdf5c7cb-8522-4474-9c28-49eafe138615</t>
  </si>
  <si>
    <t>ce730634-76df-4ba6-b2c7-bb9117ce6aa4</t>
  </si>
  <si>
    <t>cf2aef0d-5d49-467e-91f7-6c2cc0120143</t>
  </si>
  <si>
    <t>d165a8cb-eed0-40c0-8862-245f0aa4c83c</t>
  </si>
  <si>
    <t>d27b17f8-4164-4b9f-9d8f-829b2139caf6</t>
  </si>
  <si>
    <t>d2c2a82d-e2ca-4338-a27c-2c3158465d6f</t>
  </si>
  <si>
    <t>d330777a-6231-4c4b-8794-a8e8f203e8bc</t>
  </si>
  <si>
    <t>d3730e55-4c05-4ae0-859e-c358283e0d78</t>
  </si>
  <si>
    <t>d3f7a578-aa51-4fab-b43d-dfcc218a7dd5</t>
  </si>
  <si>
    <t>d4003ea2-5abc-4462-8bc1-2b9694b586dd</t>
  </si>
  <si>
    <t>d46649cf-598f-4bd2-8dea-c9c201395813</t>
  </si>
  <si>
    <t>d4af3c9e-4a79-4170-a69d-3f7bdc4549a2</t>
  </si>
  <si>
    <t>d5169a5e-bc4e-4827-b910-c44b9d9014a9</t>
  </si>
  <si>
    <t>d547824e-6862-47de-bde3-48d5fb841110</t>
  </si>
  <si>
    <t>d731d376-fe4a-4958-bba5-4e34c50fe49a</t>
  </si>
  <si>
    <t>d77cd6c4-d8c4-41ea-9579-b4a742ac5184</t>
  </si>
  <si>
    <t>d839aba3-d247-4ef6-b750-3397c4e0e55a</t>
  </si>
  <si>
    <t>d8d6cc83-e109-45b1-b0da-38fdf570b3d9</t>
  </si>
  <si>
    <t>d8f19715-0ab8-42a4-b754-8aaa37a5f24c</t>
  </si>
  <si>
    <t>daa4b15c-c127-4c4a-9e82-99148274656d</t>
  </si>
  <si>
    <t>db8a8f23-8492-4c0c-80e9-9e8bee10cb1d</t>
  </si>
  <si>
    <t>dcfcb604-7186-42e3-9d9e-a26a84829a6f</t>
  </si>
  <si>
    <t>ddc1d041-1f8d-43cc-8c52-4cabf897f31c</t>
  </si>
  <si>
    <t>de7602ab-2ccb-4de9-9046-54664da11adc</t>
  </si>
  <si>
    <t>de97e5bd-1dd9-4469-9171-26fe05f1ac15</t>
  </si>
  <si>
    <t>df851cb0-1dd1-4771-9236-82ff0aa3eea3</t>
  </si>
  <si>
    <t>e06e5517-7efd-4971-bb68-048fa7c7abb6</t>
  </si>
  <si>
    <t>e1a18283-3239-4591-8925-0e8bf4380bfe</t>
  </si>
  <si>
    <t>e24ebd30-777f-40d7-b053-fb45b40c4415</t>
  </si>
  <si>
    <t>e33a47f4-48cd-420b-92ba-41cfe49a3467</t>
  </si>
  <si>
    <t>e41ddd33-9e93-4b26-8206-259cdbe51847</t>
  </si>
  <si>
    <t>e6de9456-7cbf-47e4-9072-a29ec1b7814e</t>
  </si>
  <si>
    <t>e7436215-75e1-410d-a3ee-e9083e3e3973</t>
  </si>
  <si>
    <t>e7714ff4-bb5c-4948-9bb9-51df7e075c12</t>
  </si>
  <si>
    <t>e8239f46-5b37-439c-98fd-bfbc9b1e4b02</t>
  </si>
  <si>
    <t>e98f239e-4648-491b-9c59-a911f9bccebe</t>
  </si>
  <si>
    <t>ec3b725d-6f1a-458d-825c-8369ef8df8ae</t>
  </si>
  <si>
    <t>ec6307fa-87dd-4c22-b0bb-31be699e48f3</t>
  </si>
  <si>
    <t>eeb69047-3f3a-43e8-966d-370b8640815b</t>
  </si>
  <si>
    <t>f0cd8cba-8a67-4f21-ae92-3391a5c9fdb5</t>
  </si>
  <si>
    <t>f0e257af-390c-40a6-8e66-141980e2523c</t>
  </si>
  <si>
    <t>f207468c-5dfa-44fd-a933-cdb70195829a</t>
  </si>
  <si>
    <t>f2300a73-b268-4628-93c7-0d628701a9a4</t>
  </si>
  <si>
    <t>f2659190-7cce-408c-bc97-bc5ed336e90e</t>
  </si>
  <si>
    <t>f2a41790-5740-45ca-a0d3-6d7b26016fb0</t>
  </si>
  <si>
    <t>f2bcc632-4479-42fc-b2b2-a2abb8e3c743</t>
  </si>
  <si>
    <t>f3476596-6434-45c1-ac79-bf2e68c113a0</t>
  </si>
  <si>
    <t>f387d385-e8d2-49ff-9cd5-bd0a76b77cf6</t>
  </si>
  <si>
    <t>f43423d0-0906-4a16-ae0f-571820e44695</t>
  </si>
  <si>
    <t>f4753f0a-295c-41e9-b18c-900a32fc2bad</t>
  </si>
  <si>
    <t>f5546936-dbd8-4d12-807e-0f5faed69020</t>
  </si>
  <si>
    <t>f5882ef0-9b6a-4578-bd10-5ba2f899cacf</t>
  </si>
  <si>
    <t>f5f689e6-d4d0-436e-b37c-031b9dba8d49</t>
  </si>
  <si>
    <t>f5fe2c59-a720-4c8e-b7c2-f318a6239bb6</t>
  </si>
  <si>
    <t>f8034cd6-c4ff-4d78-9158-b3b5d61eeb21</t>
  </si>
  <si>
    <t>f8ee9285-2f20-4b0c-a218-6949c6fcf196</t>
  </si>
  <si>
    <t>f9038374-e6a7-435f-8b8d-b892f575a5d8</t>
  </si>
  <si>
    <t>fb1264cf-8f27-4d3a-a899-a8ea5ad041dc</t>
  </si>
  <si>
    <t>fc88c113-7a24-4ebd-ac70-c4963d444b97</t>
  </si>
  <si>
    <t>fd5471e2-b2d8-473a-8129-6e7f6a36a4de</t>
  </si>
  <si>
    <t>feae4cbf-30bf-4312-a5fe-b0e545ae6936</t>
  </si>
  <si>
    <t>ffb7611e-cc0c-428a-a97a-e51498d8ef29</t>
  </si>
  <si>
    <t>03896068-b5c3-4859-be77-13a0e44588cf</t>
  </si>
  <si>
    <t>043a7ad3-df61-47ae-83ee-37ea6231f5c6</t>
  </si>
  <si>
    <t>0620bb90-ffe8-4376-8c7b-5b0d666e8890</t>
  </si>
  <si>
    <t>067d349f-2f23-4513-898f-c919b1314c0b</t>
  </si>
  <si>
    <t>0c6b00e8-9abb-4945-b236-db622765bd68</t>
  </si>
  <si>
    <t>0f431f6a-95eb-4eed-ad12-789dd1ddf167</t>
  </si>
  <si>
    <t>0ffa7f7f-89d4-4d54-a5a0-029be7e96cb1</t>
  </si>
  <si>
    <t>12a9ccd4-844d-465a-b6cc-334a283ee3dd</t>
  </si>
  <si>
    <t>1737a9bb-f69e-418f-a561-ca8b2bb947cf</t>
  </si>
  <si>
    <t>17d1580a-f432-4ddc-8ecd-64a54aeb5052</t>
  </si>
  <si>
    <t>17efb0f5-1cbd-4bee-ac66-5c53ccd85f32</t>
  </si>
  <si>
    <t>197ed949-c8f2-45ba-a064-3b040980cb85</t>
  </si>
  <si>
    <t>225012fe-8c60-4110-b518-b5488844846f</t>
  </si>
  <si>
    <t>233fa8c3-9a61-4b5a-9bff-4ec80cf389b8</t>
  </si>
  <si>
    <t>24105d9b-30ed-451d-83c1-db3dd8f0eecb</t>
  </si>
  <si>
    <t>2541527e-6aac-4e35-820a-41d6bf54a448</t>
  </si>
  <si>
    <t>25e4b932-f860-4e21-b240-8b9f70602110</t>
  </si>
  <si>
    <t>28bf2053-34dd-4759-9114-ffcf173fd8fb</t>
  </si>
  <si>
    <t>2bdd0e6b-f55d-4d16-ad7e-0e46f79e6dd1</t>
  </si>
  <si>
    <t>2c82d083-aaa0-48a3-8f4e-588d8a3f72c2</t>
  </si>
  <si>
    <t>2e5bb8bd-0718-42cd-86bd-b3ea697275d3</t>
  </si>
  <si>
    <t>2e6162c9-6c0c-4537-900f-9ed0bccb9af7</t>
  </si>
  <si>
    <t>2fca8009-d6b6-4eee-93ac-679b01f6367f</t>
  </si>
  <si>
    <t>31442bca-5283-4f04-81c7-bd66585807b1</t>
  </si>
  <si>
    <t>32ecfa31-a58c-4db7-b5a9-5daee528fb52</t>
  </si>
  <si>
    <t>3a5e718c-3c74-42be-9a80-9dc9459d382c</t>
  </si>
  <si>
    <t>3a74485c-da34-40ff-9ca0-1c209999d373</t>
  </si>
  <si>
    <t>3b979793-e3b1-4265-a83f-fc5786c8003f</t>
  </si>
  <si>
    <t>3ef02ccb-eb1a-43e7-aac2-fe70a5b83bee</t>
  </si>
  <si>
    <t>4796b8e1-a029-4d5d-b02e-101bd18f7969</t>
  </si>
  <si>
    <t>48025843-b11b-4c32-8258-24a8ae8b67f5</t>
  </si>
  <si>
    <t>48f5a663-a674-4079-be1a-d323862be9a2</t>
  </si>
  <si>
    <t>4b178226-4eef-427a-9160-646bdc3211d1</t>
  </si>
  <si>
    <t>4f91d6a7-bfe7-41ea-91c1-21fb2ad02887</t>
  </si>
  <si>
    <t>5189e2fd-68fe-4e08-a58a-4387fe2c6daa</t>
  </si>
  <si>
    <t>5391a8b9-47e9-4be6-b2fc-568074c8427a</t>
  </si>
  <si>
    <t>595de976-2ba9-49dc-921f-2106311e3997</t>
  </si>
  <si>
    <t>5981e2e5-0978-4e31-80d2-655d12f8c00e</t>
  </si>
  <si>
    <t>5a48f461-b50e-4ed7-83df-bac446b6fe92</t>
  </si>
  <si>
    <t>5c45f0c9-0d9f-4714-b440-bec2adeaaddb</t>
  </si>
  <si>
    <t>6034c0bf-1637-47b0-ae48-67c2c974cb90</t>
  </si>
  <si>
    <t>617158c1-f735-484b-ac35-c73254541fee</t>
  </si>
  <si>
    <t>6256fc65-88fc-45d2-b391-65eef332c844</t>
  </si>
  <si>
    <t>625dcb8e-7391-4b98-93f2-6283023d79b0</t>
  </si>
  <si>
    <t>649ffbb6-73c5-4652-bdf4-f7d3275e13e2</t>
  </si>
  <si>
    <t>66d20974-6732-4a86-b25b-1bb1827b9a02</t>
  </si>
  <si>
    <t>77324f1e-ef88-48d6-a224-008269ccdf11</t>
  </si>
  <si>
    <t>7779e4a9-4ab5-4be0-98f9-e620c94c4f32</t>
  </si>
  <si>
    <t>7b821e91-de4f-47c5-a953-617cee7ce0ef</t>
  </si>
  <si>
    <t>7b99b54a-0116-44f3-91e9-9bfda7c2d8be</t>
  </si>
  <si>
    <t>7e6dc2f1-d714-4281-977f-e3ed7847429d</t>
  </si>
  <si>
    <t>8012b81d-a2c1-4d9d-9113-d232c7090385</t>
  </si>
  <si>
    <t>802c1e12-f555-4dae-b76c-13bcf1981260</t>
  </si>
  <si>
    <t>805abb16-417b-449e-ab32-336d68c80ed0</t>
  </si>
  <si>
    <t>81667632-e967-45f6-b06b-696090fcc8ed</t>
  </si>
  <si>
    <t>83151e61-5f79-4904-9f27-4afe8e325251</t>
  </si>
  <si>
    <t>840c3225-78a7-4763-8be0-e180b4c0dda5</t>
  </si>
  <si>
    <t>860c2e1f-ab06-4816-8757-54f451a08cc6</t>
  </si>
  <si>
    <t>8938f25e-a0db-43ac-aaeb-388111f0914a</t>
  </si>
  <si>
    <t>89791eda-eb54-4f3a-9963-ba924291e9e1</t>
  </si>
  <si>
    <t>8eca00d2-5582-41d9-8334-05ba253516b0</t>
  </si>
  <si>
    <t>8f7a40bc-9b36-4dda-91af-3fd3cce55540</t>
  </si>
  <si>
    <t>9140df32-32ab-434e-86be-dd382e4f4e65</t>
  </si>
  <si>
    <t>92e95e3e-e898-411e-9ffa-2f6fd114d4c3</t>
  </si>
  <si>
    <t>93cc8a56-2a09-41c3-a2d0-5d1529ed1e1f</t>
  </si>
  <si>
    <t>9541450e-a580-4a61-8353-c8a970873767</t>
  </si>
  <si>
    <t>96da5081-34fe-4877-819b-12da3d6c585d</t>
  </si>
  <si>
    <t>97d6d387-31f4-4814-95e2-30f120f2c3a2</t>
  </si>
  <si>
    <t>9b499d9c-07bb-49cc-9195-26b01296e7ac</t>
  </si>
  <si>
    <t>9c64e794-0d97-4b4f-a17b-7603b6f0ab44</t>
  </si>
  <si>
    <t>9c8a994a-9c6a-40fa-be84-dbb394edcb1b</t>
  </si>
  <si>
    <t>9decb4b6-9b77-4da1-aa70-bfbb22ae7e7c</t>
  </si>
  <si>
    <t>9f4ece7b-4a52-43ab-a497-3ac2e2e8e0b0</t>
  </si>
  <si>
    <t>a1c95e98-bc2e-45a0-ba1a-96e07a1897d1</t>
  </si>
  <si>
    <t>ab99e204-364e-4d73-b86e-497e6e32a924</t>
  </si>
  <si>
    <t>ae4451f8-d51d-4ed8-9866-64f46f10b8fb</t>
  </si>
  <si>
    <t>b34130e9-6b32-4f46-ac2f-dd763adc065c</t>
  </si>
  <si>
    <t>b52b595a-d343-4682-a6fc-85c0ee55ccfa</t>
  </si>
  <si>
    <t>b60c6f37-3e8d-4e0a-8c51-db9e827601f3</t>
  </si>
  <si>
    <t>b7822ca9-524d-428b-8e3f-973f2b07a74d</t>
  </si>
  <si>
    <t>ba8c227a-11e4-40e6-b8f1-790e07206261</t>
  </si>
  <si>
    <t>babdf30b-a604-453d-8120-dc3ff8e2c042</t>
  </si>
  <si>
    <t>bbdae8e9-f1c0-42e1-a50c-8f2790d957df</t>
  </si>
  <si>
    <t>bccc59c0-80f5-4ddb-b582-c2e78c539f76</t>
  </si>
  <si>
    <t>be2c024e-159c-45c2-8f08-57a626d2982c</t>
  </si>
  <si>
    <t>bed6dde9-1824-4eaf-9e81-ecb2c9969cfe</t>
  </si>
  <si>
    <t>c0f36232-d537-45fd-8315-f1a8aac3968e</t>
  </si>
  <si>
    <t>c1cb878f-c5f6-4ccc-a119-0d830448647f</t>
  </si>
  <si>
    <t>c23fb771-15b6-4603-8907-71decc76bcec</t>
  </si>
  <si>
    <t>c33ec38a-9940-4182-9f2d-849ffe17aee6</t>
  </si>
  <si>
    <t>c462fc78-e031-4c4c-97db-33a9b1ebf434</t>
  </si>
  <si>
    <t>c54a1375-02df-4347-b21f-7b4fbcc5a400</t>
  </si>
  <si>
    <t>c9345e57-3e56-4ddc-a4fe-aa3cf98bb236</t>
  </si>
  <si>
    <t>ca740ac3-72e5-4f23-bd12-69872969c4e2</t>
  </si>
  <si>
    <t>d26de408-9d47-4183-aa3a-e28aafa36685</t>
  </si>
  <si>
    <t>d43c22d3-f75b-4e81-8245-757be8fd6a0a</t>
  </si>
  <si>
    <t>d5177e97-ff95-4c97-be8b-85ec4747d8e3</t>
  </si>
  <si>
    <t>d5867eb9-0f17-484a-b5ef-2a5163c2bd06</t>
  </si>
  <si>
    <t>d7202639-e5f9-4d75-a720-864fb40ec2db</t>
  </si>
  <si>
    <t>d76193bb-17aa-4979-ae10-a62a7bfe54d0</t>
  </si>
  <si>
    <t>dbba2936-9f94-4fee-9f49-d8caf4ae5142</t>
  </si>
  <si>
    <t>e1239bda-5bfb-477f-b2c4-40622526bf7a</t>
  </si>
  <si>
    <t>e2518421-d79d-463c-a439-c80fc2448ad0</t>
  </si>
  <si>
    <t>e6744bf0-9327-4920-adcf-00f0725ba6f3</t>
  </si>
  <si>
    <t>e73643c9-2e05-4bbf-a1dc-dc0ed6cd660d</t>
  </si>
  <si>
    <t>e85ff854-0767-422c-9b6c-80dc4ffe95fc</t>
  </si>
  <si>
    <t>e8f0f8ae-1b00-4f7c-b6d5-24d28b1b77ac</t>
  </si>
  <si>
    <t>ea8696ff-99db-4223-abd0-44687bb795f4</t>
  </si>
  <si>
    <t>eab3cd7c-1402-4486-92c2-8cd23d8a2e17</t>
  </si>
  <si>
    <t>f1c77894-162a-451e-88ae-0bf91a9396db</t>
  </si>
  <si>
    <t>f2cacdfc-d6e2-4848-a6a9-bddd22a542b2</t>
  </si>
  <si>
    <t>f7c9b795-86a6-413b-88eb-bb6a5027e40c</t>
  </si>
  <si>
    <t>fa71528c-b06d-4c7e-ba6e-44efac10c5a8</t>
  </si>
  <si>
    <t>fa94a55c-3b9c-4dbd-8107-5199bdf28a45</t>
  </si>
  <si>
    <t>fd1d68b6-3420-41ff-af07-9a4ba3f401e6</t>
  </si>
  <si>
    <t>fe606e42-b366-4f9e-8fad-c8f13b299a28</t>
  </si>
  <si>
    <t>02589e52-89d9-4a9a-972b-6f66936202cc</t>
  </si>
  <si>
    <t>110ec301-dec3-449b-8c0c-9a6fb8727c0e</t>
  </si>
  <si>
    <t>198f89da-11f7-488e-a480-437a262b822f</t>
  </si>
  <si>
    <t>2ab2291d-15f0-47ee-8077-e14e4a495d9d</t>
  </si>
  <si>
    <t>536af39f-e3c4-4c42-89fe-652396e79410</t>
  </si>
  <si>
    <t>5c3bbcac-a9b1-4b24-abdd-db8caa4e4830</t>
  </si>
  <si>
    <t>608b6c26-c538-4e9b-bcc3-9ad1cfe3e9a0</t>
  </si>
  <si>
    <t>6235450a-09cf-42f2-a6ce-8252440c535a</t>
  </si>
  <si>
    <t>651b3c69-c49a-4970-8e48-a5ea4d96aa0c</t>
  </si>
  <si>
    <t>7a002746-a0fc-4480-abf2-5b0e5909dc22</t>
  </si>
  <si>
    <t>7a1738d0-8712-4b63-9cc3-badfad6286f5</t>
  </si>
  <si>
    <t>a8b586da-124f-4476-8a57-918b5c682065</t>
  </si>
  <si>
    <t>bcbabf96-5f80-4999-a029-411714dd24cf</t>
  </si>
  <si>
    <t>c83ae8cd-6a7e-4ae4-9a29-b6562e27298b</t>
  </si>
  <si>
    <t>d4873ee8-c489-4d84-aabc-00e2ffc116f7</t>
  </si>
  <si>
    <t>daf273e6-8ecf-44b5-ba92-5b16cc028cad</t>
  </si>
  <si>
    <t>f8fdf869-123b-4a93-ada2-ae51eae8c915</t>
  </si>
  <si>
    <t>d1000ff9-c027-4a2a-88db-36ea3b48f00d</t>
  </si>
  <si>
    <t>dc6e047a-3e04-41b4-bd6e-28159be80f1d</t>
  </si>
  <si>
    <t>de83cc07-bdee-4f24-bd26-e48566dd7434</t>
  </si>
  <si>
    <t>b7f45948-b08d-41fc-aa03-fa2994dead61</t>
  </si>
  <si>
    <t>b8c662df-0ff6-43c9-96e3-c9b15fbac43e</t>
  </si>
  <si>
    <t>65f8a491-a3fd-4eab-a018-4896840d1ea2</t>
  </si>
  <si>
    <t>6b8a22d2-3d61-44f5-ac83-040172bf2daf</t>
  </si>
  <si>
    <t>6be67fcd-e471-415c-931b-7cebafa53018</t>
  </si>
  <si>
    <t>9f288508-75b4-406c-9f4d-2b526d163cc7</t>
  </si>
  <si>
    <t>a21576f2-a9d8-43c3-85a7-abfe2c717d8f</t>
  </si>
  <si>
    <t>afe0d90c-a5b5-413e-ac7d-fe9c83c0b9dd</t>
  </si>
  <si>
    <t>a85de652-a38d-4997-bdb1-74625315d8ea</t>
  </si>
  <si>
    <t>e438c196-a3cd-4677-b95e-4210f494ae14</t>
  </si>
  <si>
    <t>79749bc4-0c29-4b24-b763-8495563323c6</t>
  </si>
  <si>
    <t>29aa28bb-feee-4255-a886-17e2c2f874ab</t>
  </si>
  <si>
    <t>19e6ef55-7b54-41d4-b564-c30f45893864</t>
  </si>
  <si>
    <t>07e9a8ba-b795-4044-b782-773ded034d79</t>
  </si>
  <si>
    <t>a6641036-31cd-40c6-9484-eb64fa8afd6d</t>
  </si>
  <si>
    <t>9bcf6597-b585-4422-b12e-5967fea192f6</t>
  </si>
  <si>
    <t>399a1658-3184-4982-9079-6356467836b0</t>
  </si>
  <si>
    <t>41171d6c-b043-407e-ae82-cd819bb75ace</t>
  </si>
  <si>
    <t>43991026-c2b8-42ee-bf35-03cecf958956</t>
  </si>
  <si>
    <t>48137868-ebbe-46a1-a255-fdb000e28377</t>
  </si>
  <si>
    <t>4ac90d1c-2ee4-4048-86a9-6668d1432262</t>
  </si>
  <si>
    <t>3b4441d4-b901-4332-95cb-67b1b69b5f69</t>
  </si>
  <si>
    <t>60cf94d4-339a-4007-94af-41169711dc8b</t>
  </si>
  <si>
    <t>62d11b38-03bf-44e7-b3e6-6fb984781208</t>
  </si>
  <si>
    <t>741a829d-c9be-41f2-9f0f-a995859abea4</t>
  </si>
  <si>
    <t>7512373f-8811-4e62-bd72-7b0907d2a264</t>
  </si>
  <si>
    <t>7c174a47-933a-4a3b-9bca-f65449579434</t>
  </si>
  <si>
    <t>7cf006dd-bb9a-449c-a32a-bae62b9d96b4</t>
  </si>
  <si>
    <t>50f6c1b6-e424-4f62-b36f-111c6449258d</t>
  </si>
  <si>
    <t>Assignment</t>
  </si>
  <si>
    <t>QC'd by</t>
  </si>
  <si>
    <t>Reviewer Grade</t>
  </si>
  <si>
    <t>Comments</t>
  </si>
  <si>
    <t>f61610de-33d8-4e1d-b40e-c6cad426cefa</t>
  </si>
  <si>
    <t>Prompt
- Removed “When applicable, use the days-outstanding assumptions.”
- Removed reference to “Land should be held at zero throughout”, as both PPE net and Land are driven by the Amortization of Property, Plant and Equipment schedule
- Clarified “Direct cost of revenue and Total Expenses” should be the basis of AP calculation, as this can also be calculated base on just the COGS
- Removed “Calculate Total Asset”, “Calculate Total Liability”, and “then calculate Total Shareholder's Equity, and Total Liabilities and Shareholder's Equity.” as those are too prespective for a BS build
- Owner’s Equity —&gt; Changed “increase by cumulative share capital issued” to “increase by Share Capital - Total Investment amount in respective period”. The former description is ambiguous and naming is inconsistent
- Removed “Pull all necessary line items values or assumptions not explicitly mentioned from various tabs throughout the model.” as its deemed unncessary 
Input
- In the Projected Sales Forecast tab, C17:G17 wrongly reference row 27 (which is a blank row) instead of row 26, also fixed in output 
Output
- Fixed Annual Check in Opening, which wrongly referenced row 15 rather than row 14
- Made bold Total liabilities and Total shareholder’s equity
Rubrics
- Some rubrics are stacked e.g. “Is the Check row in the monthly detail section of the Balance Sheet tab computed as Total Assets minus Total Liabilities and Shareholder's Equity, yielding zero in every period?”, and “Does the annual summary section of the Balance Sheet tab pull each line item's value from the corresponding year-end month in the monthly detail (Month 12, 24, 36, 48, 60)?”
- Fixed ambiguous namings
- Wordings in formula checks are sometimes unclear, e.g. “divided by 30.5 by the corresponding month's direct cost of revenue?”
- Removed unncessary wordings such as “(not recalculated locally)”
- Removed rubrics that are out of scope</t>
  </si>
  <si>
    <t>generate on TSIP</t>
  </si>
  <si>
    <t>AM</t>
  </si>
  <si>
    <t>More like a 3.5 Richards C Feedback</t>
  </si>
  <si>
    <t>fe294ac6-9f9f-4c74-8864-e3be7962c3cb</t>
  </si>
  <si>
    <t>Prompt
- Purchase price and closing costs should be drawn from summary tab
- Naming consistency —&gt; cash flows in the prompt vs cashflow in the model
- Removed sentences like “flowing month by month across the full timeline”, “flowing across every month”, deemed not necessary
- Clarified that “Total capturing the Total Project Costs needed across holding period” as there isnt only initial capital requirement
- Debt Cashflows section —&gt; should have four components instead of three
- Total Project Costs row does not only capture up front costs, fixed the prompt
- Clarified that for interest rate calculation, monthly rate assumes no compounding
- Added instruction to “Calculate Total During Hold of each line items. “
Rubric 
- Removed several out of scope rubrics
- Broke out stacked items
- Fixed redundunt wordings</t>
  </si>
  <si>
    <t>challenging task Richards C Feedback</t>
  </si>
  <si>
    <t>017a6e0d-12ed-4efc-bfa5-ea70840080e3</t>
  </si>
  <si>
    <t>035f0506-b19c-4def-8a75-b196f8448cdf</t>
  </si>
  <si>
    <t>Hinda D</t>
  </si>
  <si>
    <t>reworked prompt, removed some out of scope rubric items and added more clarity to some criteria</t>
  </si>
  <si>
    <t xml:space="preserve">Hinda D Feedback (2 due to output val failures) </t>
  </si>
  <si>
    <t>04c58cea-57df-4a08-8386-096d4a1d6668</t>
  </si>
  <si>
    <t>Gabriel T</t>
  </si>
  <si>
    <t xml:space="preserve">Prompt:
I have substantially rewritten to give the solver greater precision and reduce ambiguity. 
-Line item names have been updated throughout to match the exact labels used in the model. 
-Over-specification has been removed where the implementation is straightforward, with the exception of the tax calculation, which has been kept explicit given that it involves a specific profitability condition and arithmetic logic that could otherwise be interpreted in multiple valid ways. 
-Year/month boundaries have been defined explicitly by specifying the exact month range covered by each year, preventing any misalignment in how annual aggregations are constructed. 
-A formatting section has been added with specific instructions covering font, number formats, borders, fills, and gridline visibility, grounded in the conventions already used across the existing model tabs. 
-The opening context has been expanded and rewritten to provide a clearer and more professional framing of the task.
Input/Output Workbooks:
-Fixed the formulas referencing to blank cells.
-Fixed spelling errors such as Exterior Upgraes and Non-deprciable Assets.
Rubric:
-Removed unncessary wordings such as "(not hardcoded)"
-Removed in 1.2 "including salaries, marketing, rent, utilities, insurance, and miscellaneous SG&amp;A"
-Separated stacked rubrics into differente rubric e.g. EBT, EBITDA, Net Income into one by one
</t>
  </si>
  <si>
    <t>06473005-29a0-45b5-b35f-2f1b9d245aa8</t>
  </si>
  <si>
    <t xml:space="preserve">Prompt:
-Line item names have been updated throughout to match the exact labels used in the model (e.g. RE Opening/RE Ending)
-Over-specification has been removed where the implementation is straightforward, retaining only instructions that address genuine ambiguity such as the cash plug, debt assumptions, and timing of financing and investing items
-Year boundaries have been defined explicitly by specifying that Year 1 aggregates from Month 1 to Month 12 and so on for each subsequent year, preventing misalignment in how annual aggregations are constructed
-A formatting section has been added with specific instructions covering font, number formats, borders, fills, and gridline visibility, grounded in the conventions already used across the existing model tabs
-The opening context has been expanded and rewritten to provide a clearer and more professional framing of the task, establishing the IB Associate role and the objective of completing a fully integrated three-statement model
-Added explicit clarification that debt drawdown, repayments, and closing balance are zero across all periods, as this is model-specific and not a standard assumption
Rubric:
-Removed unncessary wordings such as "(not hardcoded)"
-Separated stacked rubrics into differente rubric e.g. EBT, EBITDA, Net Income into one by one
</t>
  </si>
  <si>
    <t>Gabriel T Feedback
More like a 3.5</t>
  </si>
  <si>
    <t>0a2ffe07-f1e1-4e5e-8388-40197e5244b8</t>
  </si>
  <si>
    <t>Mitch K</t>
  </si>
  <si>
    <t xml:space="preserve">Prompt: 
-Simplified prompt and added brevity / cut down on unnecessary "fluff" instructions
-Added specifications on formatting codes to match rubric specificity 
Rubric:
-Removed repeat output validation test </t>
  </si>
  <si>
    <t>115/115</t>
  </si>
  <si>
    <t>137946c6-2d25-40b1-b21e-86ad86196443</t>
  </si>
  <si>
    <t>1559ae3b-d368-4483-89eb-652b19ff8a6d</t>
  </si>
  <si>
    <t>Workbook: 
- 2024E figures were accidentally pasted as growth rates rather than $ figure so computed the $ figure and updated it in the Input and Output workbooks
- Cumulative cash flow available for debt paydown check formula as incorrect in the Output workbook
- Formatting: Changed "2018E" to "2018A" in both Input and Output; Changed font color of a few cross-sheet links to green
Prompt: 
- The prompt was quite thin on what needed to be done and had a few ambiguous items so added more detail on where to source 
- Added key assumptions for Balance Sheet items
Rubric: 
- No significant changes - replaced some "out of scope" items in the Debt Schedule that wouldn't have been impacted by anything from the three-statement with different items</t>
  </si>
  <si>
    <t>https://docs.google.com/document/d/1h3suyWzoVFkRLyDtjOuctLycp0CrcktU9CvfFuh94TI/edit?tab=t.0</t>
  </si>
  <si>
    <t>15f2b6bb-22dd-4057-a12c-5d6c722af03e</t>
  </si>
  <si>
    <t>172507df-9689-4d99-b211-934424a2586d</t>
  </si>
  <si>
    <t>Johanne B</t>
  </si>
  <si>
    <r>
      <rPr/>
      <t xml:space="preserve">See amendments in this word doc re. rubrics and prompt: </t>
    </r>
    <r>
      <rPr>
        <color rgb="FF1155CC"/>
        <u/>
      </rPr>
      <t>https://1drv.ms/w/c/35d0e38a19f1f1b1/IQBst5asIxGURpwU8CrzJywyAR696Z4eFVGDCbDZ8TadnRs?e=VNptNJ
Prompt:</t>
    </r>
    <r>
      <rPr/>
      <t xml:space="preserve"> Included more description on formatting of Period label, live row and category lines formatting. More importantly mentioned that from that point onwards, the active row lines should serve as a link to drive calculations in the Model and Revenue Build tabs. 
Rubric: in formula correctness specified period to check in 1.12 as it's really only the first period in the Start Date treated this way. Removed any double mention of not hardcoded across the board. Added in model integration checks to see if Revenue Build and Model tabs rows do link from this Time Series tab. Output validation changed 3.7 to represent 2030 to diversify a bit the years and checks. Perturbation: fixed 4.3 figure from 414 to 415. Also changed dates in 4.5 to diverisfy checks and changwed date and check in 4.6. Presentation mentioned the hex codes and unstacked 5.3. 
Key considerations to potentially amend further:
-        Would it make sense to include in the perturbation rubrics that go beyond the Bull Case? 
-        Would it make sense to also unstack in Output Correctness 1.8 to 1.11 
Output: Drive-thru Openings was not color coded in green as it should be since it is a link to the Time Series Sheet. Fixed the formula on row 8 and 11 so they;re linked to the Revenue Build tab as instructed in the prompt vs. linekd to the Assumptions tab or being hardcoded. 
</t>
    </r>
  </si>
  <si>
    <t>17a88eb2-ef37-4094-8255-57602e6f4427</t>
  </si>
  <si>
    <t>18f5665c-58c0-4e6a-aa1c-dc2ddaa45083</t>
  </si>
  <si>
    <t>Manan B</t>
  </si>
  <si>
    <t xml:space="preserve"> </t>
  </si>
  <si>
    <t>1af8d289-a2f3-45a7-b829-6c76051a2e1f</t>
  </si>
  <si>
    <t>Workbook: Corrected dates, fixed linkages, there is an error regarding Geographical split which I'm not sure how to fix
Prompt: Limited
Rubrics: Added a few key one, unbundled</t>
  </si>
  <si>
    <t>1bb297ef-c0de-4a85-b10f-c4aaffedd0f9</t>
  </si>
  <si>
    <t>Jacob C</t>
  </si>
  <si>
    <t>Excel: fixed column width on TS tab where data label was truncated. Prompt: was very vague, and several sections in the worksheet were not mentioned in the prompt. Included more specifics around calculations because several different methods could have been correct based on the original prompt – wanted to reduce ambiguity. Worksheet and prompt were misaligned on several details such as facilities that were included in the workbook but not the prompt; updated prompt to match the workbook exactly. Rubric: removed out of scope criteria from formula correctness section. Removed stacking/bundling across rubric. Added period specificity for beginning balance questions on model integration section. Removed duplicative criteria. Removed out-of-scope criteria. Included “less” language for items that could be positive and subtracted or negative and added. Note: the rubric says a warning about referencing specific rows or cells, but the rubric does not have any specific cell or row references - I assume this is due to the fact that one of the tabs is named "A3" so it thinks this is a cell reference</t>
  </si>
  <si>
    <t xml:space="preserve">Jacob C Feedback (more like 3.5 - one tiny blank linkage) </t>
  </si>
  <si>
    <t>29c50543-7df8-4f07-86de-42cd3dfe3518</t>
  </si>
  <si>
    <t>Callan F</t>
  </si>
  <si>
    <t>Prompt: Second paragraph I added in the line items that should beadded as the original prompt had ambiguity around the line items to be added and were not completely obvious. Fixed a ferw typos. 
Output Workbook: Added in bold formatting and top border to the EBIT line item as it was the main objective in the prompt and should be highlighted the same as other major line items (Adj. EBITDA &amp; Total Revenue). Added in missing CAGR-1 Formulas for D&amp;A, EBIT, &amp; CapEx. Removed a random formula in cell N35. 
Rubric: For the model integration section I made the references specific to certain line items/sections in the referenced tab and for the output validation and pertubation sections, I made the references more specific to certain places in the workbook.</t>
  </si>
  <si>
    <t xml:space="preserve">- mention what part of the tab i nmodel integration </t>
  </si>
  <si>
    <t>34bae99b-d264-490b-8dcc-cb9470b6cea9</t>
  </si>
  <si>
    <t>Melvin J</t>
  </si>
  <si>
    <t>47496d6b-0a37-42b7-bfd0-676a2695bc10</t>
  </si>
  <si>
    <t>49174f45-dbab-4409-86de-c84fdb5a929a</t>
  </si>
  <si>
    <t>Varun B</t>
  </si>
  <si>
    <t>Prompt: Simplified as was too prescriptive and did not specify certain conventions (when to show or not show historicals) and mentioned to flow through 3 statements. Rubric: Mentioned to only grade forecast year calculations because historical years could have just been linked directly and not recalculated on sheet. Also took out or hidden from rubric</t>
  </si>
  <si>
    <t>Varun B Feedback</t>
  </si>
  <si>
    <t>52a81288-b941-4399-a756-140d63708bd3</t>
  </si>
  <si>
    <t>Modified rubric to make it more concise. Introduced point about standard deviation since this logic was in output but not mentioned in prompt. Fixed rubric in multiple palces to get rid of common errors cited in training.</t>
  </si>
  <si>
    <t>7bcd454a-587c-4354-9933-3d0bff3d232a</t>
  </si>
  <si>
    <t>Michael T</t>
  </si>
  <si>
    <t>Added prompt line to specify ask and modified rubric to correct vague statements</t>
  </si>
  <si>
    <t>7d34a324-931a-465c-9ddb-b7cca61049d6</t>
  </si>
  <si>
    <t>Aleksandar L</t>
  </si>
  <si>
    <t>11d63782-a9ac-4050-8408-ba259a0df940</t>
  </si>
  <si>
    <t>Vatelot B</t>
  </si>
  <si>
    <t>13d86739-f0c2-4ea9-bc25-031647cb348a</t>
  </si>
  <si>
    <t>Max R</t>
  </si>
  <si>
    <t>1418dd3a-c080-4e72-baf7-a7c582fdcf06</t>
  </si>
  <si>
    <t>Sam M</t>
  </si>
  <si>
    <t>1455f0d4-b252-42e8-98b8-5560a78ebfe3</t>
  </si>
  <si>
    <t>156ad62e-145a-403b-b64f-e9e681b19702</t>
  </si>
  <si>
    <t>162bdf3d-475d-46e6-b5c2-6cca7919a4d5</t>
  </si>
  <si>
    <t>19530fd4-46b1-4ac4-8067-e9e62b767960</t>
  </si>
  <si>
    <t>19f1b207-7b14-45e5-bb94-b287575c7ea4</t>
  </si>
  <si>
    <t>1b70ca3c-db6a-4349-a077-c90e017e8efe</t>
  </si>
  <si>
    <t>1ba0bd5e-2aaa-4d53-84a2-5a5ddbc22877</t>
  </si>
  <si>
    <t>1bb0c6bb-2d66-4ca7-9a95-412171a6b54e</t>
  </si>
  <si>
    <t>21cc4460-e6ea-4b1e-8c23-01341d66ca33</t>
  </si>
  <si>
    <t>2517884c-fb41-4997-803d-b58f6948a966</t>
  </si>
  <si>
    <t>2546e176-164b-4eb3-a6ee-b28eb4f5f10f</t>
  </si>
  <si>
    <t>2fbb9781-71a0-4b18-9c4d-c014ce85ad4a</t>
  </si>
  <si>
    <t>306466f8-0745-4cc2-a116-f7a2310f1b1c</t>
  </si>
  <si>
    <t>3230b3b2-daed-4e71-b785-11ab2a8fca5e</t>
  </si>
  <si>
    <t>37183b05-9883-4062-b7fc-a902e0adbfd0</t>
  </si>
  <si>
    <t>Existing</t>
  </si>
  <si>
    <t>New Onboards</t>
  </si>
  <si>
    <t>Total</t>
  </si>
  <si>
    <t>Contributor</t>
  </si>
  <si>
    <t>Prompt Done</t>
  </si>
  <si>
    <t>Task Done</t>
  </si>
  <si>
    <t>Unclaimed</t>
  </si>
  <si>
    <t>Critical Workbook Error (takes &gt;15 min to fix) and is not a "methodology" difference/opinion</t>
  </si>
  <si>
    <t>Too Simple -- "task would easily take the average analyst less than 30/45 minutes to complete"</t>
  </si>
  <si>
    <t>Johanne</t>
  </si>
  <si>
    <t>1c85bdc2-97c0-46f9-bdc1-09c3c8216c0e</t>
  </si>
  <si>
    <t>Prompt was almost fully rewritten, output needed couple changes, but rubric was good</t>
  </si>
  <si>
    <t xml:space="preserve">Anoushka </t>
  </si>
  <si>
    <t>Andrew C Feedback</t>
  </si>
  <si>
    <t>Re-wrote the prompt to be more clear and specific. Pointed out one flaw in the input workbook, and several in the output workbook that would result in an untenable model. Uploaded updated input and output workbooks and corrected the rubric to reflect the updated workbooks.</t>
  </si>
  <si>
    <t>WM</t>
  </si>
  <si>
    <t xml:space="preserve">Prompt: (1) Re-wrote prompt to remove confusing language (2) Added in clarification about time periods bc the model has 2021A and Years 1-5 
Workbook: (1) France EBIT linked to wrong cell (2) Minor but adjusted "% growth" to "Revenue Growth %" (3) Corrected label on input &amp; output workbook on one of the assumption tabs
Rubric: (1) Removed specific calcs around period of over period growth rate (2) Adjusted model integration to test Gross Margin, EBIT &amp; EBITDA (not just Revenue links) (3) Unbundled stacked criteria
</t>
  </si>
  <si>
    <t xml:space="preserve">Focused on decomp </t>
  </si>
  <si>
    <t xml:space="preserve">Workbook: fixed embedded hardcoded assumptions; minor nits to the prompt; added formula correctness audit section to the rubric, other minor nits to rubric. </t>
  </si>
  <si>
    <t>2 bc output val section missing. Caroline T Feedback</t>
  </si>
  <si>
    <t>Rewrote the prompt to clearly outline what is needed. Adjusted the output model so that the actual calculation of UFCF for the model tab was included. Adjusted incongruencies in formulas across base and adjusted assumptions.</t>
  </si>
  <si>
    <t>Diego P Feedback- TBD bc output workbook has issues, so cannot continue checking rubric till those are resolved
WM Note-- this seems like an error task, either way, rubric lacks "?"s and has some poorly written items like this, whicn are stacked but mainly just wrong: "Are all changed euro-denominated currency values on the Model tab formatted with the euro symbol prefix, thousands separators, and one decimal place as their respective row conventions"</t>
  </si>
  <si>
    <t>Workbook: fixed REF errors and linking issues; re-wrote prompt; edited rubric</t>
  </si>
  <si>
    <t>2 bc of Perturbation errors: Caroline T Feedback</t>
  </si>
  <si>
    <t>Prompt / rubric</t>
  </si>
  <si>
    <t>task_id</t>
  </si>
  <si>
    <t>rubric</t>
  </si>
  <si>
    <t>Section 1: Formula Correctness
1.1. Is Total Cost in the main project table on the Gross Margin tab calculated as the sum of Project-Level Cost and Client-Level Cost Allocation for each project? [+2]
1.2. Is Gross Profit in the main project table on the Gross Margin tab calculated as Project Value minus Total Cost for each project? [+2]
1.3. Is Gross Margin in the main project table on the Gross Margin tab calculated as Gross Profit divided by Project Value for each project? [+1]
1.4. Is the Total row Gross Margin on the Gross Margin tab calculated as total Gross Profit divided by total Project Value, rather than as an average of individual project margins? [+2]
1.5. Is the Average row Gross Margin on the Gross Margin tab calculated as average Gross Profit divided by average Project Value, not as the average of individual margins? [+2]
1.6. Does the Total row on the Gross Margin tab sum all 20 projects for Project Value, Hours at Project Level, Project-Level Cost, Client-Level Cost Allocation, Total Cost, and Gross Profit? [+2]
1.7. Does the Average row on the Gross Margin tab compute the arithmetic mean across all 20 projects for each numeric column (value, hours, costs, gross profit)? [+1]
1.8. Is the percentage-of-total column in each client allocation subtable on the Gross Margin tab calculated as that project's Project-Level Cost divided by the client's total Project-Level Cost? [+2]
1.9. Is the Client Level Cost Allocation per project in each client subtable on the Gross Margin tab calculated as the project's percentage of total cost multiplied by the client's total non-project-level cost? [+2]
1.10. Does the total row within each client allocation subtable on the Gross Margin tab sum Hours and Project-Level Cost across all projects listed in that client block? [+1]
1.11. Are Hours in the non-project-level time section on the Gross Margin tab aggregated from Harvest Data by matching both client name and the exact label 'Time not at Project Level' in Project Phase? [+2]
1.12. Is Client-Level Cost in the non-project-level time section on the Gross Margin tab aggregated from Harvest Data's Grossed Extended Cost column using the same dual-filter on client name and Project Phase? [+2]
1.13. Is the Client-Level Cost Allocation in the main table hardcoded to zero for projects belonging to clients with no non-project-level overhead (H&amp;M, Panda Express, Red Sky, Vision Food Group)? [+2]
1.14. Is the Client-Level Cost Allocation for School of Rock's single project in the main table a direct reference to that client's total non-project-level cost rather than a subtable lookup? [+1]
Section 2: Model Integration
2.1. Is the Hours at Project Level on the Gross Margin - Completed Projec tab linked to the Grossed Up Hours on the Harvest Data tab? [+5]
2.2. Is the Project Start Date on the Gross Margin - Completed Projec tab linked to the Actual start date (Permit Ops) on the Projects tab? [+3]
Section 3: Output Validation
3.1. Is the Total Gross Profit on the Gross Margin - Completed Projec tab (Total row, column L) within +/- 2% of 898393.31? [+5]
3.2. Is the Total Gross Margin on the Gross Margin - Completed Projec tab (Total row, column M) within +/- 0.5 pp of 64.8%? [+5]
3.3. Is the Average Gross Profit on the Gross Margin - Completed Projec tab (Average row, column L) within +/- 2% of 44919.67? [+5]
3.4. Is the Total Project-Level Cost on the Gross Margin - Completed Projec tab (Total row, column I) within +/- 2% of 449498.69? [+4]
3.5. Is the Total Client-Level Cost Allocation on the Gross Margin - Completed Projec tab (Total row, column J) within +/- 2% of 39000? [+5]
3.6. Is the Total Hours at Project Level on the Gross Margin - Completed Projec tab (Total row, column H) within +/- 2% of 7858.18? [+3]
3.7. Is the Total Total Cost on the Gross Margin - Completed Projec tab (Total row, column K) within +/- 2% of 488498.69? [+5]
3.8. Is the Total Project Value on the Gross Margin - Completed Projec tab (Total row, column G) within +/- 2% of 1386892? [+3]
3.9. Is the Average Gross Margin on the Gross Margin - Completed Projec tab (Average row, column M) within +/- 0.5 pp of 64.7%? [+5]
Section 4: Perturbation
4.1. If the Grossed Extended Cost value for the first data row in the Harvest Data tab (the row with task ID 15485439, Grossed Extended Cost of approximately 1034.81) is changed from 1034.8128 to 2069.6256 (doubled), does the Total Project-Level Cost on the Gross Margin - Completed Projec tab (Total row) update to reflect the increase, within +/- 2% of the correctly computed value? [+5]
4.2. If the Grossed Up Hours value for the first data row in the Harvest Data tab (the row with Grossed Up Hours of 8) is changed from 8 to 24 (tripled), does the Total Hours at Project Level on the Gross Margin - Completed Projec tab (Total row) update to reflect the increase, within +/- 2% of the correctly computed value? [+5]
4.3. If the Grossed Extended Cost value on the Harvest Data tab in the second data row (approximately 381.19) is changed from 381.1872 to 762.3744 (doubled), does the Total Gross Profit on the Gross Margin - Completed Projec tab (Total row) update to reflect the increased cost reducing profit, within +/- 2% of the correctly computed value? [+5]
4.4. If the Grossed Extended Cost value on the Harvest Data tab in the third data row (approximately 735.19) is changed from 735.1872 to 1470.3744 (doubled), does the Total row Gross Margin percentage on the Gross Margin - Completed Projec tab update to reflect the reduced margin, within +/- 0.5 percentage points of the correctly computed value? [+5]
4.5. If the Grossed Up Hours value on the Harvest Data tab in the second data row (value of 8) is changed from 8 to 40 (5x), does the Average Hours at Project Level on the Gross Margin - Completed Projec tab (Average row) update to reflect the increase, within +/- 2% of the correctly computed value? [+5]
4.6. If the Grossed Extended Cost for the fourth data row on the Harvest Data tab (approximately 129.35, column AM row index corresponding to the fourth upstream constant at AB3's paired cost) is changed from 1034.8128 to 0 (zeroed out), does the Total Cost on the Gross Margin - Completed Projec tab (Total row) update to reflect the decrease, within +/- 2% of the correctly computed value? [+5]
4.7. If the Grossed Extended Cost on the Harvest Data tab in the third data row (approximately 735.19) is changed from 735.1872 to 0 (zeroed out), does the Average Gross Profit on the Gross Margin - Completed Projec tab (Average row) update to reflect the improved profitability, within +/- 2% of the correctly computed value? [+5]
Section 5: Presentation
5.1. Are all dollar-denominated values on the Gross Margin - Completed Projec tab formatted with a dollar sign prefix, comma separators, and no decimal places? [+2]
5.2. Do hardcoded values on the Gross Margin - Completed Projec tab appear in blue font, formula-driven values in black font, and cross-sheet references in green font? [+2]
5.3. Are the Total and Average rows and client-subtable total rows on the Gross Margin - Completed Projec tab visually distinguished with bold text? [+2]
Section 6: Pitfalls
6.1. Are there any error values in the Internal Metrics tab and the Gross Margin - Completed Projec tab (#REF!, #DIV/0!, #VALUE!, #NAME?, #N/A, #NUM!)? [-5]
6.2. Is any data or label text truncated due to insufficient column widths or row heights in the Internal Metrics tab and the Gross Margin - Completed Projec tab? [-3]</t>
  </si>
  <si>
    <t>Section 1: Formula Correctness
1.1. Is Total Processing Billing on the COGS tab computed as the sum of Monthly Billing, Annual Billing, Annual Revenue, and Advisor Monthly Billing for each monthly and annual column? [+2]
1.2. Are actuals-period processing rates on the COGS tab back-calculated as the respective platform fee divided by Total Processing Billing? [+1]
1.3. Is the Stripe processing rate at the first projection month seeded as a three-month trailing average of the actuals back-calculated Stripe rate? [+2]
1.4. Does the Stripe processing rate take an immediate 10% reduction in the month following the seed, hold flat for twelve months, then step down another 10% at each subsequent projected year start? [+3]
1.5. Do Apple and Google Play processing rates in the projection period hold flat from their three-month trailing-average seed with no annual step-down? [+1]
1.6. Are projected processing fees for each platform computed as that platform's rate multiplied by Total Processing Billing? [+1]
1.7. Is Total Processing Fees on the COGS tab computed as the sum of Stripe Processing Fees, Apple Processing Fees, and Android Play Fees? [+1]
1.8. Is Total COGS on the COGS tab computed as the sum of Total Processing Fees and Total Data and Hosting Costs? [+2]
1.9. Is COGS percent of revenue on the COGS tab computed by dividing Total COGS by Total Revenue for each monthly and annual column? [+1]
1.10. Is Customer Data Cost per User in the first projection month seeded as a six-month trailing average, with subsequent months applying the specified ramp-up and then decline schedule? [+3]
1.11. Is Hosting Cost per User in the first projection month seeded at a three-month trailing average and then declining at 0.025 divided by 12 per month for the remaining projection? [+2]
1.12. Are projected Customer Data Costs and Hosting Costs each computed as Total Users multiplied by the respective per-user rate? [+1]
1.13. Is Total Data and Hosting Costs on the COGS tab computed as the sum of Customer Data Costs and Hosting Costs? [+1]
1.14. Is the 12-Month ROAS (1st Renewal) Direct on Revenue Detail computed as the weighted expected first-thirteen-month revenue across annual and monthly cohorts, multiplied by one minus COGS percent, divided by Direct Cost per Subscription? [+3]
1.15. Is Blended ROAS on Revenue Detail computed identically to Direct ROAS but dividing by Blended Cost per Subscription instead of Direct Cost per Subscription? [+2]
Section 2: Model Integration
2.1. Is the 12-Month ROAS (1st Renewal) Direct on the Revenue Detail tab linked to the COGS % of Revenue on the COGS tab? [+5]
2.2. Is the Monthly Billing on the COGS tab linked to the Monthly Billing on the Revenue Detail tab? [+4]
2.3. Is the Stripe Processing Fees on the COGS tab linked to the Stripe Processing Fees on the Actuals P&amp;L tab? [+4]
2.4. Is the Total Processing Fees as % of Revenue on the COGS tab linked to the Total Revenue on the Revenue Detail tab? [+4]
2.5. Is the Apple Processing Fees on the COGS tab linked to the Apple Processing Fees on the Actuals BS tab? [+3]
Section 3: Output Validation
3.1. Is Total COGS on the COGS tab for the annual 2027 column within +/- 2% of 3,105,467? [+5]
3.2. Is COGS percent of revenue on the COGS tab for annual 2027 within +/- 0.5 pp of 17.5%? [+5]
3.3. Is the 12-Month ROAS (1st Renewal) Direct on the Revenue Detail tab for Dec-27 within +/- 2% of 5.98? [+5]
3.4. Is the Blended ROAS on the Revenue Detail tab for the annual 2026 column within +/- 2% of 3.20? [+5]
3.5. Is COGS percent of revenue on the COGS tab for annual 2025 within +/- 0.5 pp of 21.6%? [+5]
3.6. Is Total Processing Fees on the COGS tab for the annual 2026 column within +/- 2% of 1,671,765? [+4]
3.7. Is Total Data and Hosting Costs on the COGS tab for the annual 2024 column within +/- 2% of 469,953? [+4]
3.8. Is Total Processing Billing on the COGS tab for the annual 2025 column within +/- 2% of 5,994,375? [+3]
3.9. Is Total COGS on the COGS tab for Dec-27 (monthly column) within +/- 2% of 265,932? [+5]
Section 4: Perturbation
4.1. If the Stripe Processing Fees on the Actuals P&amp;L tab for January 2025 (the last actuals month) is changed from its current value to double that value, does the Total COGS on the COGS tab for the annual 2025 column update to reflect the increased Stripe rate propagating through projected processing fees? Expected value within +/- 2% of the computed result.? [+5]
4.2. If the Apple Processing Fees on the Actuals P&amp;L tab for January 2025 is changed from its current value to triple that value, does the COGS percent of revenue on the COGS tab for the annual 2027 column update to reflect the higher Apple processing rate flowing through all projection months? Expected value within +/- 0.5 pp of the computed result.? [+5]
4.3. If the Android Play Fees on the Actuals P&amp;L tab for January 2025 is changed from its current value to four times that value, does the Total Processing Fees on the COGS tab for the annual 2026 column update to reflect the elevated Google Play rate applied across all 2026 projection months? Expected value within +/- 2% of the computed result.? [+5]
4.4. If the Customer Data Costs on the Actuals P&amp;L tab for January 2025 is changed from its current value to half that value, does the Total Data and Hosting Costs on the COGS tab for the annual 2026 column update to reflect the lower per-user data cost rate seeding into the projection? Expected value within +/- 2% of the computed result.? [+5]
4.5. If the Hosting Costs on the Actuals P&amp;L tab for January 2025 is changed from its current value to triple that value, does the Total Data and Hosting Fees as a percent of revenue on the COGS tab for the annual 2027 column update to reflect the elevated hosting cost per user flowing through all projection months? Expected value within +/- 0.5 pp of the computed result.? [+5]
4.6. If the Apple Clearing balance on the Actuals BS tab for December 2024 is changed from its current value to zero, does the Deferred Apple Processing Fees on the COGS tab for the annual 2025 column update to reflect the changed lookback values in the deferred fee calculation? Expected value within +/- 2% of the computed result.? [+5]
4.7. If the Stripe Processing Fees on the Actuals P&amp;L tab for January 2025 is changed from its current value to double that value, does the 12-Month ROAS (1st Renewal) Direct on the Revenue Detail tab for the annual 2027 column update to reflect the higher COGS percent reducing gross margin in the ROAS calculation? Expected value within +/- 2% of the computed result.? [+5]
Section 5: Presentation
5.1. Are cross-sheet reference cells on the COGS tab (e.g., billing inputs, subscriber counts pulled from Revenue Detail) formatted with green font on a light green fill? [+2]
5.2. Are dollar-denominated values on the COGS tab formatted with a dollar sign prefix, comma separators, and no decimal places, while per-user cost rates use two decimal places? [+2]
5.3. Are percentage metrics on the COGS tab (processing rates, percent-of-revenue rows) formatted as percentages with one or two decimal places conventions? [+2]
Section 6: Pitfalls
6.1. Are there any error values in the Revenue Detail tab and the COGS tab (#REF!, #DIV/0!, #VALUE!, #NAME?, #N/A, #NUM!)? [-5]
6.2. Is any data or label text truncated due to insufficient column widths or row heights in the Revenue Detail tab and the COGS tab? [-3]</t>
  </si>
  <si>
    <t>Section 1: Formula Correctness
1.1. Is Other Marketing on the Operating Expenses tab computed as Total Marketing Expenses minus the sum of Total Paid Marketing Spend, Marketing Contractors, Events and Conferences, Market Research and Analytics, and Public Relations? [+2]
1.2. Is Total Marketing Expenses for the forecast period computed as the sum of all six Marketing line items (Paid Marketing, Contractors, Events, Market Research, Public Relations, Other Marketing)? [+2]
1.3. Is Total Marketing Expenses for the actuals period derived as the Actuals P&amp;L Total Sales &amp; Marketing minus Total Marketing Payroll Expenses? [+2]
1.4. Is Total G&amp;A for the actuals period derived as Actuals P&amp;L Total General &amp; Administrative minus Total G&amp;A Payroll Expenses minus the net of Total Customer Support less Customer Support Services? [+2]
1.5. Is Total G&amp;A for the forecast period computed as the sum of Customer Support Software, Revenue Expansion Partnership Costs, Total IT, Total Professional Fees, Total Travel, and Total Other G&amp;A? [+2]
1.6. Is Total Expenses for the forecast period computed as the sum of Total Marketing, Total R&amp;D, Total G&amp;A, and Other Expenses? [+2]
1.7. Is Other IT Expenses computed as a residual equal to Total IT Expenses minus Computer Hardware and Equipment minus Software and Web Services, for both actuals and forecast? [+1]
1.8. Is Other Travel computed as a residual equal to Total Travel and Entertainment minus Air Travel, Ground Transportation, Lodging, and Meals and Entertainment? [+1]
1.9. Is Total R&amp;D computed using an IF/ISBLANK check on the R&amp;D Contractors row so that blank cells are treated as zero rather than propagating blanks? [+3]
1.10. Is the Customer Support per-subscriber cost driver for the forecast period seeded as the average of the last three actual months (November 2024 through January 2025), then carried flat? [+2]
1.11. Is the Computer Hardware cost-per-new-headcount driver computed as a six-month trailing ratio of hardware spend to new headcount, then frozen at the average of its last six actual months for the forecast? [+3]
1.12. Is the Software and Web Services per-subscriber forecast rate initialized as the six-month trailing average of the implied actuals rate multiplied by (1 minus 1.25%) plus $0.055? [+3]
1.13. Is Other Professional Fees for the actuals period computed as Total Professional Fees minus Finance and Accounting minus Legal? [+1]
1.14. Is Recruiting for the first two forecast months (February and March 2025) computed as 12% of the month-over-month increase in total annualized salary times 25%, plus a $41,000 planned-hire adder? [+2]
1.15. Are annual total columns for dollar line items computed as the sum of that year's twelve monthly columns, while per-unit driver rows use a weighted average with the relevant volume denominator as the weight? [+2]
Section 2: Model Integration
2.1. Is the annual Computer Hardware and Equipment Cost per New Headcount on the Operating Expenses tab linked to the Ending Headcount on the Headcount tab? [+5]
2.2. Is the annual Customer Support Software Cost per Subscriber on the Operating Expenses tab linked to the Total Subscribers on the Revenue Detail tab? [+5]
2.3. Is the Customer Support Software Cost per Subscriber on the Operating Expenses tab linked to the Total Subscribers on the Revenue Detail tab? [+4]
2.4. Is the Total Paid Marketing Spend on the Operating Expenses tab linked to the Total Marketing Spend on the Revenue Detail tab? [+3]
2.5. Is the Total Marketing Expenses on the Operating Expenses tab linked to the Total Sales and Marketing on the Actuals P&amp;L tab? [+3]
2.6. Is the Computer Hardware and Equipment Cost per New Headcount on the Operating Expenses tab linked to the New Headcount on the Headcount tab? [+3]
2.7. Is the Recruiting per FTE driver on the Operating Expenses tab linked to the Ending Headcount on the Headcount tab? [+3]
2.8. Is the Marketing Contractors on the Operating Expenses tab linked to the Marketing Contractors on the Actuals P&amp;L tab? [+2]
Section 3: Output Validation
3.1. Is Total Expenses on the Operating Expenses tab for the 2027 annual column within +/- 2% of 15,551,475? [+5]
3.2. Is Total Expenses on the Operating Expenses tab for the 2025 annual column within +/- 2% of 10,685,498? [+5]
3.3. Is Total G&amp;A on the Operating Expenses tab for the 2027 annual column within +/- 2% of 12,740,996? [+5]
3.4. Is Total Marketing Expenses on the Operating Expenses tab for the 2026 annual column within +/- 2% of 3,268,044? [+4]
3.5. Is Total Travel and Entertainment on the Operating Expenses tab for the 2027 annual column within +/- 2% of 2,913,780? [+5]
3.6. Is Total Other G&amp;A on the Operating Expenses tab for the 2025 annual column within +/- 2% of 3,154,126? [+4]
3.7. Is Total IT Expenses on the Operating Expenses tab for Dec-25 within +/- 2% of 266,067? [+3]
3.8. Is Total Professional Fees on the Operating Expenses tab for Jun-26 within +/- 2% of 82,419? [+4]
3.9. Is Total Expenses on the Operating Expenses tab for the 2023 annual column within +/- 2% of 5,530,637? [+3]
Section 4: Perturbation
4.1. If the Actuals P&amp;L 'Customer Support Services' value for January 2025 (the last actual month) is changed from its current value to double that amount, does the Customer Support Software annual total for 2025 on the Operating Expenses tab update to reflect the higher implied per-subscriber cost seeding into the forecast? The expected value should be within +/- 2% of the computed result.? [+5]
4.2. If the Actuals P&amp;L 'Legal' value for January 2025 is changed from its current value to $100,000 (approximately doubling it), does the Legal annual total for 2027 on the Operating Expenses tab update to within +/- 2% of the computed expected value, reflecting the higher seed that compounds at monthly growth rates through December 2027? [+5]
4.3. If the Actuals P&amp;L 'Finance &amp; Accounting' value for January 2025 is changed from its current value to $200,000 (roughly tripling it), does the Finance and Accounting annual total for 2025 on the Operating Expenses tab update to within +/- 2% of the computed expected value, since the forecast carries the January 2025 actual flat through April 2025 and uses it for the June-December 2025 flat period? [+5]
4.4. If the Actuals P&amp;L 'Marketing Contractors' value for January 2025 is changed from its current value to $200,000 (roughly doubling it), does the Marketing Contractors annual total for 2026 on the Operating Expenses tab update to within +/- 2% of the computed expected value, since the forecast seeds at January 2025 actual minus $25,000 and carries flat? [+5]
4.5. If the Actuals P&amp;L 'Recruiting' value for January 2025 is changed from its current amount to $0, does the Recruiting annual total for 2025 on the Operating Expenses tab update to within +/- 2% of the computed expected value, reflecting the changed six-month trailing average that seeds the forecast Other G&amp;A growth rate? [+5]
4.6. If the Actuals P&amp;L 'Public Relations' value for January 2025 is changed from its current value to $100,000 (roughly doubling it), does the Public Relations annual total for 2025 on the Operating Expenses tab update to within +/- 2% of the computed expected value, since the forecast carries flat from January 2025 through June 2025 then steps to $30,000 for July-December? [+5]
4.7. If the Actuals P&amp;L 'Business Insurance' value for January 2025 is changed from its current value to $50,000 (roughly tripling it), does the Business Insurance annual total for 2027 on the Operating Expenses tab update to within +/- 2% of the computed expected value, reflecting the higher implied insurance rate that seeds the forecast? [+5]
Section 5: Presentation
5.1. Are dollar-denominated expense line items on the Operating Expenses tab formatted with a dollar sign prefix, comma thousands separators, and no decimal places? [+2]
5.2. Are cross-sheet linked cells on the Operating Expenses tab displayed with green font on a light green fill, distinguishing them from same-sheet formulas shown in black font? [+2]
5.3. Are per-unit driver rows on the Operating Expenses tab formatted with dollar sign prefix and appropriate decimal places (two or three decimals) and driver percentage rows formatted as percentages with two decimal places? [+2]
Section 6: Pitfalls
6.1. Are there any error values in the Operating Expenses tab (#REF!, #DIV/0!, #VALUE!, #NAME?, #N/A, #NUM!)? [-5]
6.2. Is any data or label text truncated due to insufficient column widths or row heights in the Operating Expenses tab? [-3]</t>
  </si>
  <si>
    <t>Section 1: Formula Correctness
1.1. Is Total Payroll Expenses on the Headcount sheet calculated as the sum of Total Marketing, Total R&amp;D, Total Customer, and Total G&amp;A Payroll Expenses for each period? [+2]
1.2. Is Total Marketing Payroll Expenses on the Headcount sheet in the forecast period computed as the sum of Marketing Salary, Payroll Taxes, Health Insurance, Bonus, Severances, and Other Marketing Payroll Expenses? [+2]
1.3. Is Total Customer Payroll Expenses on the Headcount sheet in the actuals period derived as Total Customer Support from the Actuals P&amp;L minus Customer Support Services? [+2]
1.4. Is Other Marketing Payroll Expenses on the Headcount sheet calculated as the residual of Total Marketing Payroll Expenses minus all other identified Marketing payroll line items? [+1]
1.5. Is the Operating Expenses sheet Total Expenses row computed as Total Expenses from the Actuals P&amp;L minus Total Payroll Expenses from the Headcount sheet, resolving the previously broken reference? [+2]
1.6. Is forecast R&amp;D Salary on the Headcount sheet derived as the Salary Monthly R&amp;D amount minus Latin America minus Deel contractor lines? [+2]
1.7. Are G&amp;A Health Insurance, Payroll and Benefits Administration, and Workers' Compensation forecast amounts each computed by applying their respective rates to total company salary (sum of all four departments) rather than G&amp;A salary alone? [+3]
1.8. Does Total R&amp;D Payroll Expenses on the Headcount sheet, starting from the third forecast month onward, net out Capitalized R&amp;D Costs from the sum of all R&amp;D components? [+3]
1.9. Is Payroll Tax % for each department on the Headcount sheet calculated as Payroll Taxes divided by that department's salary, returning 'NA' when salary is zero? [+2]
1.10. Is forecast Customer Support Contractors on the Headcount sheet computed as CS Contractor $ per Sub multiplied by Total Subscribers from the Revenue Detail sheet? [+1]
1.11. Is General Contractor % Growth on the Headcount sheet calculated as the month-over-month percentage change on the General contractor line, returning zero on error instead of propagating an error? [+2]
1.12. Are annual summary columns for headcount rollforward rows on the Headcount sheet computed so that new and lost headcount sum all 12 months, ending headcount references December, and beginning headcount references January or the prior year's ending value? [+2]
1.13. Is the annual CS Contractor $ per Sub on the Headcount sheet computed as a subscriber-weighted average using the sum of monthly rate times monthly subscribers divided by total annual subscribers? [+3]
1.15. Are forecast percentage rates (Payroll Tax %, Health Insurance %) on the Headcount sheet initialized in the first forecast month as the average of the prior six actuals months, then carried flat into subsequent forecast months? [+2]
Section 2: Model Integration
2.1. Is the Marketing Salary on the Headcount tab linked to the Marketing Salary on the Actuals P&amp;L tab? [+5]
2.2. Is the CS Contractor $ per Sub on the Headcount tab linked to the Total Subscribers on the Revenue Detail tab? [+4]
2.3. Is the Total Customer Payroll Expenses on the Headcount tab linked to the Total Customer Support on the Actuals P&amp;L tab? [+4]
2.4. Is the annual CS Contractor $ per Sub on the Headcount tab linked to the Total Subscribers on the Revenue Detail tab? [+4]
2.5. Is the Total Expenses on the Operating Expenses tab linked to the Total Expenses on the Actuals P&amp;L tab? [+3]
2.6. Is the Total Expenses on the Operating Expenses tab linked to the Total Payroll Expenses on the Headcount tab? [+3]
2.7. Is the G&amp;A per-headcount ratio on the Operating Expenses tab linked to the G&amp;A Ending Headcount on the Headcount tab? [+3]
Section 3: Output Validation
3.1. Is Total Payroll Expenses on the Headcount sheet for annual 2027 (column BP, row 121) within +/- 2% of 20867498.52? [+5]
3.2. Is Total Payroll Expenses on the Headcount sheet for annual 2025 within +/- 2% of 15498498.04? [+5]
3.3. Is Total R&amp;D Payroll Expenses on the Headcount sheet for annual 2026 within +/- 2% of 7839498.38? [+5]
3.4. Is Total Customer Payroll Expenses on the Headcount sheet for annual 2027 within +/- 2% of 3740498.93? [+5]
3.5. Is Total G&amp;A Payroll Expenses on the Headcount sheet for annual 2024 within +/- 2% of 3291498.93? [+4]
3.6. Is Total Marketing Payroll Expenses on the Headcount sheet for annual 2023 within +/- 2% of 2015704.71? [+3]
3.7. Is the Operating Expenses Total Expenses row for annual 2027 on the Operating Expenses sheet within +/- 2% of 7026185.10? [+5]
3.8. Is the Operating Expenses Total Expenses row for annual 2025 on the Operating Expenses sheet within +/- 2% of 5286757.93? [+5]
3.9. Is the R&amp;D Payroll Tax percentage on the Headcount sheet for Dec-27 within +/- 0.5 pp of 10.0%? [+3]
Section 4: Perturbation
4.1. If the Marketing Bonus percentage on the Headcount tab (first forecast month value) is changed from 8.5% to 20%, does Total Payroll Expenses on the Headcount tab for the 2027 annual summary column update to within +/- 2% of the expected value? [+5]
4.2. If the R&amp;D Bonus percentage on the Headcount tab (first forecast month value) is changed from 9.1% to 25%, does Total R&amp;D Payroll Expenses on the Headcount tab for the 2027 annual summary column update to within +/- 2% of the expected value? [+5]
4.3. If the R&amp;D Capitalization Rate on the Headcount tab for the 2026 annual summary is changed from 0.4 to 0.8, does Total R&amp;D Payroll Expenses on the Headcount tab for the 2026 annual summary column update to within +/- 2% of the expected value? [+5]
4.4. If the G&amp;A Bonus percentage on the Headcount tab (first forecast month value) is changed from 9.1% to 25%, does Total G&amp;A Payroll Expenses on the Headcount tab for the 2027 annual summary column update to within +/- 2% of the expected value? [+5]
4.5. If the Customer Bonus percentage on the Headcount tab (first forecast month value) is changed from 9.1% to 25%, does Total Payroll Expenses on the Headcount tab for the 2026 annual summary column update to within +/- 2% of the expected value? [+5]
4.6. If the R&amp;D Capitalization Rate on the Headcount tab for the 2027 annual summary is changed from 0.4 to 0.0, does the Total Expenses row on the Operating Expenses tab for the 2027 annual summary column update to within +/- 2% of the expected value? [+5]
4.7. If the Marketing Bonus percentage on the Headcount tab for the seventh forecast month is changed from 8.5% to 0%, does Total Marketing Payroll Expenses on the Headcount tab for the 2026 annual summary column update to within +/- 2% of the expected value? [+5]
Section 5: Presentation
5.1. Are dollar-denominated payroll values on the Headcount sheet formatted with a dollar sign prefix, comma separators, and no decimal places? [+2]
5.2. Are hardcoded assumption values on the Headcount sheet displayed in blue font, formula-driven values in black font, and cross-sheet references in green font, following the model's color-coding convention? [+2]
5.3. Are percentage line items (Payroll Tax %, Health Insurance %, Bonus %, etc.) in the new payroll breakdown section on the Headcount sheet formatted as percentages with one decimal place? [+2]
Section 6: Pitfalls
6.1. Are there any error values in the Operating Expenses tab and the Headcount tab (#REF!, #DIV/0!, #VALUE!, #NAME?, #N/A, #NUM!)? [-5]
6.2. Is any data or label text truncated due to insufficient column widths or row heights in the Operating Expenses tab and the Headcount tab? [-3]</t>
  </si>
  <si>
    <t>Section 1: Formula Correctness
1.1. Is Gross Margin on the P&amp;L Detail tab computed as Total Revenue minus Total COGS? [+1]
1.2. Is Operating Income on the P&amp;L Detail tab computed as Gross Margin minus Total Operating Expenses? [+1]
1.3. Is Net Income on the P&amp;L Detail tab computed as Operating Income plus Net Other Income? [+1]
1.4. Is Total Operating Expenses on the P&amp;L Detail tab the sum of Total Marketing, Total R&amp;D, Total Customer Service, and Total G&amp;A? [+2]
1.5. Is the Other G&amp;A line on the P&amp;L Detail tab computed as the sum of three source expense lines minus Office, Professional Development, Recruiting, and Rent? [+2]
1.6. Is the Amortized R&amp;D Expense on the P&amp;L Detail tab computed as one-sixtieth of the sum of current-period capitalized R&amp;D additions plus the prior-period capitalized R&amp;D balance from the BS tab? [+3]
1.7. Is Capitalized R&amp;D on the BS tab rolled forward as prior-period balance plus current-period additions minus current-period amortization from P&amp;L Detail? [+2]
1.8. Is Total Assets on the BS tab computed as Total Current Assets plus Total Fixed Assets plus Other Assets? [+1]
1.9. Is Total Liabilities and Equity on the BS tab computed as Total Liabilities plus Total Equity? [+1]
1.10. Are CF tab asset-line working capital adjustments (e.g., Accounts Receivable, Prepaid Expenses, Deferred Refunds) computed as prior-period BS balance minus current-period BS balance from the second period onward? [+2]
1.11. Are CF tab liability-line working capital adjustments (e.g., Accounts Payable, Credit Cards, Deferred Revenue) computed as current-period BS balance minus prior-period BS balance from the second period onward? [+2]
1.12. Is Net Cash from Operating Activities on the CF tab computed as Net Income plus Total Adjustments? [+1]
1.13. Is Net Cash on the CF tab computed as the sum of Net Cash from Operating Activities, Net Cash from Investing Activities, and Net Cash from Financing Activities? [+2]
1.14. Is the Series Seed to Series B financing line on the CF tab computed as the sum of all four series equity lines in the current BS period minus the same sum from the prior BS period? [+2]
1.15. Is Net Other Income on the P&amp;L Detail tab computed as Other Income minus Amortized R&amp;D Expense minus Other Expenses? [+1]
Section 2: Model Integration
2.1. Is the Net Income on the CF tab linked to the Net Income on the P&amp;L Detail tab? [+5]
2.2. Is the Accounts Receivable on the CF tab linked to the Accounts Receivable on the BS tab? [+5]
2.3. Is the Capitalized R&amp;D on the BS tab linked to the Capitalized R&amp;D on the Headcount tab? [+5]
2.4. Is the Annual Subscription Revenue on the P&amp;L Detail tab linked to the Annual Subscription Revenue on the Revenue Detail tab? [+4]
2.5. Is the Marketing Headcount on the P&amp;L Detail tab linked to the Total Marketing Payroll Expenses on the Headcount tab? [+4]
2.6. Is the Deferred Processing Fees on the BS tab linked to the Total Deferred Processing Fees on the COGS tab? [+4]
2.7. Is the Paid Marketing on the P&amp;L Detail tab linked to the Total Paid Marketing on the Operating Expenses tab? [+3]
2.8. Is the Customer Data on the P&amp;L Detail tab linked to the Customer Data on the COGS tab? [+3]
2.9. Is the Other Income on the P&amp;L Detail tab linked to the Total Other Income on the Actuals P&amp;L tab? [+3]
Section 3: Output Validation
3.1. Is Total Revenue on the P&amp;L Detail tab for Jan 2025 (column AA) within +/- 2% of 474129.63? [+3]
3.2. Is Gross Margin on the P&amp;L Detail tab for Dec 2024 (column Z) within +/- 2% of 363832.57? [+3]
3.3. Is Gross Margin % on the P&amp;L Detail tab for Dec 2023 (column N) within +/- 0.5 pp of 72.6%? [+4]
3.4. Is Total Operating Expenses on the P&amp;L Detail tab for Jan 2025 (column AA) within +/- 2% of 710498.02? [+4]
3.5. Is Net Income on the P&amp;L Detail tab for Dec 2024 (column Z) within +/- 2% of -360498.68? [+5]
3.6. Is Total Assets on the BS tab for Jan 2025 (column AA) within +/- 2% of 3028498.62? [+5]
3.7. Is Total Equity on the BS tab for Dec 2024 (column Z) within +/- 2% of 2675498.17? [+5]
3.8. Is Net Cash from Operating Activities on the CF tab for Jan 2025 (column AA) within +/- 2% of -255561.02? [+5]
3.9. Is Net Cash on the CF tab for Dec 2024 (column Z) within +/- 2% of -307371.71? [+5]
3.10. Is Total Current Liabilities on the BS tab for Dec 2023 (column N) within +/- 2% of 539723.65? [+4]
Section 4: Perturbation
4.1. If the Apple Clearing bank account balance on the Actuals BS tab for January 2023 is changed from 140513.85 to 280000, does the Total Current Assets line on the BS tab for January 2023 update to within +/- 2% of the appropriately increased value (reflecting roughly a 139486 increase in Total Current Assets)? [+5]
4.2. If the Apple Clearing bank account balance on the Actuals BS tab for February 2023 is changed from 143902.26 to 0, does the Total Assets line on the BS tab for February 2023 update to within +/- 2% of the appropriately decreased value (reflecting roughly a 143902 decrease in Total Assets)? [+5]
4.3. If the 1072 Bill.com Money Out Clearing balance on the Actuals BS tab for March 2023 is changed from 2479 to 500000, does the Net Cash from Operating Activities on the CF tab for March 2023 update to within +/- 2% of the expected value (reflecting the large increase in bank accounts flowing through the BS delta into CF working capital adjustments)? [+5]
4.4. If the Stripe Receivable balance on the Actuals BS tab for November 2024 is changed from 5000 to 500000, does the Total Assets on the BS tab for November 2024 update to within +/- 2% of the expected value (reflecting roughly a 495000 increase in Total Assets)? [+5]
4.5. If the Apple Clearing bank account balance on the Actuals BS tab for January 2024 is changed from 315757.07 to 0, does the Total Current Assets on the BS tab for January 2024 update to within +/- 2% of the appropriately decreased value (reflecting roughly a 315757 decrease)? [+5]
4.6. If the Apple Clearing bank account balance on the Actuals BS tab for February 2024 is changed from 479521.65 to 960000, does the CF tab's Accounts Receivable working capital adjustment for February 2024 (reflecting the BS delta logic of prior minus current period Stripe/AR balances) cause Net Cash from Operating Activities for February 2024 to update to within +/- 2% of the expected value? [+5]
Section 5: Presentation
5.1. Are all dollar-denominated values on the P&amp;L Detail tab formatted with a dollar sign prefix, comma separators, and no decimal places? [+2]
5.2. Are hardcoded constant values displayed in blue font while formula-driven values use black font across the P&amp;L Detail, BS, and CF tabs? [+2]
5.3. Are subtotal and total rows on the P&amp;L Detail tab visually distinguished with bold text tabs? [+2]
Section 6: Pitfalls
6.1. Are there any error values in the BS tab, the CF tab, and the P&amp;L Detail tab (#REF!, #DIV/0!, #VALUE!, #NAME?, #N/A, #NUM!)? [-5]
6.2. Is any data or label text truncated due to insufficient column widths or row heights in the BS tab, the CF tab, and the P&amp;L Detail tab? [-3]</t>
  </si>
  <si>
    <t>Section 1: Formula Correctness
1.1. Is operating income on the P&amp;L Summary tab calculated as gross margin minus total operating expenses? [+2]
1.2. Is total operating expenses on the P&amp;L Summary tab calculated as the sum of marketing, research and development, customer service, and general and administrative expenses? [+2]
1.3. Is net income on the P&amp;L Summary tab calculated as operating income plus net other income? [+1]
1.4. Is net other income on the P&amp;L Summary tab calculated as other income minus amortized R&amp;D expense minus other expenses? [+2]
1.5. Is cash burn on the P&amp;L Summary tab calculated as the sum of net cash from operating activities and net cash from investing activities? [+2]
1.6. Is ending annual subscribers on the Summary tab calculated as starting annual subscribers plus new annual subscribers minus churned annual subscribers? [+2]
1.7. Is ending monthly subscribers on the Summary tab calculated as starting monthly subscribers plus new monthly subscribers minus churned monthly subscribers? [+2]
1.8. Is the Rule of 40 on the P&amp;L Summary tab calculated as the sum of year-over-year revenue growth rate and FCF margin? [+1]
1.9. Is the Rule of X on the P&amp;L Summary tab calculated as two times the year-over-year revenue growth rate plus FCF margin? [+1]
1.10. Is the CAC sensitivity on the Sensitivity tab calculated as annual marketing spend divided by the sum of base blended CAC and the delta, minus annual marketing spend divided by base blended CAC? [+3]
1.11. Is the conversion rate sensitivity on the Sensitivity tab calculated as the sum of annual paid and organic registrations multiplied by the improvement percentage? [+2]
1.12. Is the ARPU sensitivity implied ARR on the Sensitivity tab calculated as the ARPU value multiplied by the annual total subscriber count? [+2]
1.13. Is gross margin percentage on the P&amp;L Summary tab calculated as gross margin divided by total revenue? [+1]
1.14. Is FCF margin on the P&amp;L Summary tab calculated as cash burn divided by total revenue? [+1]
1.15. Is annual plan selection percentage on the Summary tab calculated as new annual subscriptions divided by total new subscriptions? [+1]
Section 2: Model Integration
2.1. Is the Total Revenue on the P&amp;L Summary tab linked to the Total Revenue on the P&amp;L Detail tab? [+4]
2.2. Is the Marketing Registrations on the P&amp;L Summary tab linked to the Paid Registrations on the Revenue Detail tab? [+4]
2.3. Is the Headcount on the P&amp;L Summary tab linked to the Total Headcount on the Headcount tab? [+4]
2.4. Is the ARR on the Key Assumptions tab linked to the ARR on the Revenue Detail tab? [+3]
2.5. Is the Paid Marketing Spend on the Summary tab linked to the Paid Marketing on the P&amp;L Detail tab? [+3]
2.6. Is the Data and Hosting Costs on the Summary tab linked to the Total Data and Hosting Costs on the COGS tab? [+3]
2.7. Is the Average Annual Plan Price on the Summary tab linked to the Average Revenue per Annual Subscriber per Month on the Revenue Detail tab? [+3]
2.8. Is the Baseline Blended CAC on the Sensitivity tab linked to the Blended CAC on the Revenue Detail tab? [+3]
2.9. Is the Operating Cash Flow on the Summary tab linked to the Net Cash from Operating Activities on the CF tab? [+3]
Section 3: Output Validation
3.1. Is the Net Income annual total for 2027 on the P&amp;L Summary tab within +/- 2% of -4872038? [+5]
3.2. Is the Rule of 40 annual total for 2027 on the P&amp;L Summary tab within +/- 0.5 pp of 14.4%? [+5]
3.3. Is the ARR annual total for 2027 on the Summary tab within +/- 2% of 30855498? [+5]
3.4. Is the Operating Cash Flow annual total for 2026 on the Summary tab within +/- 2% of -7694498? [+5]
3.5. Is the implied ARR at ARPU of 140 for 2027 on the Sensitivity tab within +/- 2% of 4354880? [+5]
3.6. Is the incremental new subscribers from a 5% conversion improvement for 2026 on the Sensitivity tab within +/- 2% of 5765? [+4]
3.7. Is the change in new subscribers at a CAC delta of negative 5 for 2027 on the Sensitivity tab within +/- 2% of 2702? [+5]
3.8. Is the Gross Margin percentage annual total for 2025 on the P&amp;L Summary tab within +/- 0.5 pp of 72.4%? [+3]
3.9. Is the Total Operating Expenses annual total for 2026 on the P&amp;L Summary tab within +/- 2% of 16831498? [+3]
3.10. Is the Ending Annual Subscribers annual total for 2027 on the Summary tab within +/- 2% of 20498? [+4]
Section 4: Perturbation
4.1. If the CAC delta value of 7.5 in the first row of the CAC sensitivity table on the Sensitivity tab is changed from 7.5 to 15, does the 2025 impact to new subscribers for that row on the Sensitivity tab update to within +/- 2% of the recomputed value? [+5]
4.2. If the CAC delta value of -7.5 in the last row of the CAC sensitivity table on the Sensitivity tab is changed from -7.5 to -15, does the 2027 impact to new subscribers for that row on the Sensitivity tab update to within +/- 2% of the recomputed value? [+5]
4.3. If the conversion improvement percentage of 0.1 (10%) in the Conversion Rate sensitivity table on the Sensitivity tab is changed from 0.1 to 0.25, does the 2026 incremental new subscribers for that row on the Sensitivity tab update to within +/- 2% of the recomputed value? [+5]
4.4. If the ARPU value of 80 in the first row of the ARPU Growth sensitivity table on the Sensitivity tab is changed from 80 to 40, does the 2025 implied ARR for that row on the Sensitivity tab update to within +/- 2% of the recomputed value? [+5]
4.5. If the Apple revenue actual for January 2023 on the Actuals P&amp;L tab is changed from 28830.28 to 57660.56 (doubled), does the Total Revenue for January 2023 on the P&amp;L Summary tab update to within +/- 2% of the recomputed value? [+5]
4.6. If the ARPU value of 180 in the last row of the ARPU Growth sensitivity table on the Sensitivity tab is changed from 180 to 360, does the 2027 implied ARR for that row on the Sensitivity tab update to within +/- 2% of the recomputed value? [+5]
4.7. If the conversion improvement percentage of 0.01 (1%) in the first row of the Conversion Rate sensitivity table on the Sensitivity tab is changed from 0.01 to 0.05, does the 2025 incremental new subscribers for that row on the Sensitivity tab update to within +/- 2% of the recomputed value? [+5]
Section 5: Presentation
5.1. Are all non-empty currency values on the Summary tab formatted with a dollar sign prefix and comma separators tabs? [+2]
5.2. Are total and subtotal rows on the P&amp;L Summary tab (e.g., Gross Profit, Total Operating Expenses, Net Income) visually distinguished with bold text? [+2]
5.3. Are the five section headers on the Summary tab (Acquisition, Retention, Monetization, Costs, Profitability) formatted with a light gray fill to distinguish them from data rows? [+2]
Section 6: Pitfalls
6.1. Are there any error values in the Key Assumptions tab, the P&amp;L Summary tab, the Sensitivity tab, and the Summary tab (#REF!, #DIV/0!, #VALUE!, #NAME?, #N/A, #NUM!)? [-5]
6.2. Is any data or label text truncated due to insufficient column widths or row heights in the Key Assumptions tab, the P&amp;L Summary tab, the Sensitivity tab, and the Summary tab? [-3]</t>
  </si>
  <si>
    <t>Section 1: Formula Correctness
1.1. Is cumulative units on the Unit Assumptions tab calculated as a running sum of all prior and current year new units sold, using a rolling accumulation pattern? [+2]
1.2. Is cumulative market share on the Unit Assumptions tab derived as cumulative units divided by total addressable market size for the corresponding year? [+1]
1.3. Is the total addressable market size for 2025P through 2029P on the Unit Assumptions tab grown from the prior year using the specified annual growth rates of 1.0%, 0.8%, 0.5%, 0.4%, and 0.4%? [+2]
1.4. Is units with pets on the Unit Assumptions tab calculated as 60% of total market size, and units with non-AA pets as 92% of units with pets? [+1]
1.5. Is YoY units sold growth on the Unit Assumptions tab derived as the current year new units sold divided by the prior year new units sold, minus one? [+1]
1.6. Is Data users as a percent of cumulative Profile units on the Unit Assumptions tab derived as total Data users divided by cumulative Profile units for each year? [+1]
1.7. Is the Growth row on the Revenue Assumptions tab calculated as each vintage year's cost divided by the prior vintage year's cost, minus one? [+1]
1.8. Is the per-unit recognition amount for projected cohort vintages on the Revenue Assumptions tab derived as the 2023 cohort's same-lifecycle-year amount multiplied by the ratio of the projected calendar year cost to 25? [+3]
1.9. Are the 2023 cohort's Year 8 through Year 12 base amounts on the Revenue Assumptions tab grown from the Year 7 base at 5% per lifecycle year before applying the cost ratio scaling? [+2]
1.10. Is cohort revenue on the Revenue Build tab for each projected year calculated as the cohort's unit count multiplied by the applicable per-unit recognition amount for that cohort vintage and lifecycle year? [+2]
1.11. Is Total Profile Revenue on the Revenue Build tab calculated as the sum of all cohort vintage revenue rows plus the Unaffiliated line for each year? [+2]
1.12. Is Data revenue on the Revenue Detail tab for projected years calculated as total Data users from the Unit Assumptions tab multiplied by the revenue per user assumption from Revenue Assumptions? [+2]
1.13. Is Total Revenue on the Revenue Detail tab calculated as the sum of Profile, Data, Atlas Platform, and Other revenue lines for each year? [+2]
1.14. Are the CAGR calculations on the Revenue Detail tab for the 2021-to-2024 and 2023-to-2029 periods derived using the standard compound annual growth rate formula based on end and start values and the number of years? [+2]
1.15. Is the Amt Recognized in Year 8+ per Unit for 2017 row on the Revenue Assumptions tab carried forward from the 2017 cohort's Year 7 actual amount, scaled each projected year by the applicable cost growth rate? [+2]
Section 2: Model Integration
2.1. Is the cohort revenue on the Revenue Build tab linked to the per-unit recognition amount on the Revenue Assumptions tab? [+5]
2.2. Is the Profile revenue on the Revenue Detail tab linked to the Total Profile Revenue on the Revenue Build tab? [+4]
2.3. Is the Data revenue on the Revenue Detail tab linked to the Total Users on the Unit Assumptions tab? [+4]
2.4. Is the Data revenue on the Revenue Detail tab linked to the RPU on the Revenue Assumptions tab? [+4]
2.5. Is the cohort unit count on the Revenue Build tab linked to the New Units Sold on the Unit Assumptions tab? [+4]
2.6. Is the New Units Sold on the Unit Assumptions tab linked to the historical cohort units on the Revenue Build tab? [+3]
2.7. Is the Cumulative Units on the Unit Assumptions tab linked to the cohort vintage units on the Revenue Build tab? [+3]
2.8. Is the Total Addressable Market on the Unit Assumptions tab linked to the year labels on the Detailed P&amp;L tab? [+2]
Section 3: Output Validation
3.1. Is Total Profile Revenue for 2029P on the Revenue Build tab within +/- 2% of 294,888,940? [+5]
3.2. Is Total Revenue for 2029P on the Revenue Detail tab within +/- 2% of 353,104,940? [+5]
3.3. Is Total Profile Revenue for 2024F on the Revenue Build tab within +/- 2% of 39,543,648? [+5]
3.4. Is cumulative units for 2029P on the Unit Assumptions tab within +/- 2% of 18,374,000? [+3]
3.5. Is Data revenue for 2025P on the Revenue Detail tab within +/- 2% of 8,490,000? [+4]
3.6. Is Total Profile Revenue for 2027P on the Revenue Build tab within +/- 2% of 138,927,480? [+5]
3.7. Is the cumulative market share for 2029P on the Unit Assumptions tab within +/- 0.5 pp of 39.2%? [+4]
3.8. Is Total Revenue for 2024F on the Revenue Detail tab within +/- 2% of 53,770,648? [+5]
3.9. Is the Total Profile Revenue YoY growth rate for 2025P on the Revenue Build tab within +/- 0.5 pp of 62.0%? [+4]
Section 4: Perturbation
4.1. If the new units sold (Multi-Family / Single-Family) for 2024F on the Unit Assumptions tab is changed from 1,500,000 to 3,000,000, does Total Profile Revenue for 2024F on the Revenue Build tab update to within +/- 2% of the correctly computed value reflecting doubled 2024 cohort units? [+5]
4.2. If the Share Growth assumption for 2025P on the Unit Assumptions tab is changed from 25% to 50%, does Total Profile Revenue for 2025P on the Revenue Detail tab update to within +/- 2% of the correctly computed value reflecting the higher share growth feeding through units sold to revenue? [+5]
4.3. If the market YoY growth rate for 2025P on the Unit Assumptions tab is changed from 1.0% to 5.0%, does the cumulative units figure for 2025P on the Unit Assumptions tab update to within +/- 2% of the correctly computed value reflecting the larger addressable market? [+5]
4.4. If the Units with Pets percentage on the Unit Assumptions tab is changed from 60% to 30%, does Total Profile Revenue for 2026P on the Revenue Detail tab update to within +/- 2% of the correctly computed value reflecting halved pet-owning unit assumptions flowing through units sold to revenue? [+5]
4.5. If the pets per household (non-AA) multiplier on the Unit Assumptions tab is changed from 1.59 to 3.18, does Total Profile Revenue for 2027P on the Revenue Detail tab update to within +/- 2% of the correctly computed value reflecting doubled pet density assumptions? [+5]
4.6. If the units with non-AA pets percentage on the Unit Assumptions tab is changed from 92% to 46%, does Total Revenue for 2028P on the Revenue Detail tab update to within +/- 2% of the correctly computed value reflecting halved non-AA pet ownership flowing through Profile units sold and Data users to total revenue? [+5]
4.7. If the Share Growth assumption for 2026P on the Unit Assumptions tab is changed from 25% to 50%, does Total Profile Revenue for 2029P on the Revenue Build tab update to within +/- 2% of the correctly computed value reflecting the compounded effect of higher share growth on all subsequent cohort vintages? [+5]
Section 5: Presentation
5.1. Are hardcoded assumption values displayed in blue font while formula-driven values use black font and cross-sheet references use green font across the Unit Assumptions and Revenue Build tabs? [+2]
5.2. Are section header rows on the Unit Assumptions tab (Profile, Data) formatted with a yellow-gold fill and bold text's header styling? [+2]
5.3. Are total and subtotal rows on the Revenue Build and Unit Assumptions tabs visually distinguished with bold text? [+2]
Section 6: Pitfalls
6.1. Are there any error values in the Unit Assumptions tab, the Detailed P&amp;L tab, the Expense Assumptions tab, the Revenue Assumptions tab, the Revenue Detail tab, and the Revenue Build tab (#REF!, #DIV/0!, #VALUE!, #NAME?, #N/A, #NUM!)? [-5]
6.2. Is any data or label text truncated due to insufficient column widths or row heights in the Unit Assumptions tab, the Detailed P&amp;L tab, the Expense Assumptions tab, the Revenue Assumptions tab, the Revenue Detail tab, and the Revenue Build tab? [-3]</t>
  </si>
  <si>
    <t>Section 1: Formula Correctness
1.1. Is each department subtotal on the Detailed P&amp;L calculated as the sum of its Non-Labor sub-row and its Labor sub-row for all periods? [+2]
1.2. Is Total Operating Expenses on the Detailed P&amp;L calculated as the sum of all ten department subtotals (Admin through Atlas Platform)? [+2]
1.3. Is Capitalized Software Development on the Detailed P&amp;L for projected years computed as a negative value based on Software Development expense times the Capitalization Rate, rounded to the nearest hundred? [+2]
1.4. Is Net Operating Expenses on the Detailed P&amp;L calculated as Total Operating Expenses plus Capitalized Software Development (where Capitalized Software Development is negative)? [+1]
1.5. Is EBITDA on the Detailed P&amp;L calculated as Gross Profit minus Net Operating Expenses? [+2]
1.6. Is EBITDA Margin on the Detailed P&amp;L calculated as EBITDA divided by Total Net Revenue? [+1]
1.7. Is Amortization on the Detailed P&amp;L for projected years computed as a negative value, starting at negative $2,500,000 in 2025P and growing at 1.3 times the prior year's value? [+2]
1.8. Is Tax Expense on the Detailed P&amp;L for projected years calculated as negative 3% of EBITDA, rounded to the nearest hundred? [+2]
1.9. Is Total Other Income / (Expenses) on the Detailed P&amp;L computed as the sum of Interest Income, Depreciation, Amortization, Interest, Tax Expense, and Other (net)? [+2]
1.10. Is Net Income on the Detailed P&amp;L calculated as EBITDA plus Total Other Income / (Expenses)? [+1]
1.11. Is Gross Profit on the Summary P&amp;L calculated as Total Net Revenue minus Total Cost of Goods Sold? [+1]
1.12. Is Other Expenses on the Summary P&amp;L for projected years calculated as the negative of the sum of Depreciation, Amortization, Interest, and Tax Expense from the Detailed P&amp;L? [+2]
1.13. Is Total Other Income / (Expenses) on the Summary P&amp;L calculated as Other Income minus Other Expenses? [+1]
1.14. Does the blended core business net margin on the Summary P&amp;L equal one minus the sum of Profile COGS and Data COGS divided by the sum of Profile Net Revenue and Data Net Revenue? [+2]
1.15. Do the YoY growth rates in the Growth Analysis section on the Summary P&amp;L suppress the formula (return blank or empty) when the prior period value is zero? [+3]
Section 2: Model Integration
2.1. Is the Capitalized Software Development on the Detailed P&amp;L tab linked to the Capitalization Rate on the Expense Assumptions tab? [+5]
2.2. Is the Staffing Costs operating expense on the Summary P&amp;L tab linked to the Staffing Costs in the non-labor expense detail on the Detailed P&amp;L tab? [+4]
2.3. Is the Admin department margin on the Summary P&amp;L tab linked to the Admin department subtotal on the Detailed P&amp;L tab? [+4]
2.4. Is the operating expense growth rate on the Expense Assumptions tab linked to the operating expense line on the Summary P&amp;L tab? [+4]
2.5. Is the period header row on the Summary P&amp;L tab linked to the period header row on the Detailed P&amp;L tab? [+3]
2.6. Is the Net Income check row on the Summary P&amp;L tab linked to the Net Income on the Detailed P&amp;L tab? [+3]
2.7. Is the COGS growth rate on the Expense Assumptions tab linked to the COGS line item on the Detailed P&amp;L tab? [+3]
Section 3: Output Validation
3.1. Is Net Income for 2029P on the Detailed P&amp;L tab within +/- 2% of 44,584,400? [+5]
3.2. Is EBITDA for 2029P on the Detailed P&amp;L tab within +/- 2% of 62,498,200? [+5]
3.3. Is Total Other Income / (Expenses) for 2028P on the Detailed P&amp;L tab within +/- 2% of -13,819,100? [+5]
3.4. Is Net Income for 2029P on the Summary P&amp;L tab within +/- 2% of 44,584,400? [+5]
3.5. Is EBITDA Margin for 2027P on the Detailed P&amp;L tab within +/- 0.5 pp of 24.3%? [+4]
3.6. Is Amortization for 2028P on the Detailed P&amp;L tab within +/- 2% of -5,489,400? [+4]
3.7. Is Total Operating Expenses for 2025P on the Detailed P&amp;L tab within +/- 2% of 42,498,572? [+3]
3.8. Is EBITDA for 2024F on the Detailed P&amp;L tab within +/- 2% of 5,175,097? [+3]
3.9. Is Net Operating Expenses for 2026P on the Summary P&amp;L tab within +/- 2% of 42,766,900? [+5]
Section 4: Perturbation
4.1. If the projected Interest Income value on the Detailed P&amp;L tab for 2025P is changed from 300000 to 600000, does the Net Income on the Summary P&amp;L tab for 2025P update to reflect this increase (within +/- 2% of the expected value)? [+5]
4.2. If the projected Amortization value on the Detailed P&amp;L tab for 2025P is changed from -2500000 to -5000000, does the Net Income on the Summary P&amp;L tab for 2029P update to reflect the compounded impact (within +/- 2% of the expected value)? [+5]
4.3. If the projected Depreciation value on the Detailed P&amp;L tab for 2025P is changed from -200000 to -1000000, does the Other Expenses line on the Summary P&amp;L tab for 2025P update to within +/- 2% of the expected value? [+5]
4.4. If the Capitalization Rate on the Expense Assumptions tab is changed from its current value of 0.5 to 0.25, does the EBITDA on the Summary P&amp;L tab for 2027P update to within +/- 2% of the expected value? [+5]
4.5. If the projected Tax Expense percentage assumption on the Detailed P&amp;L tab for 2025P is changed from -3% applied to EBITDA (resulting in the current Tax Expense value) by changing the Tax Expense hardcoded value from its current amount to double that amount, does the Net Income on the Detailed P&amp;L tab for 2025P update to within +/- 2% of the expected value? [+5]
4.6. If the historical Other Income value on the Summary P&amp;L tab for 2021A is changed from 47224.73 to 500000, does the Total Other Income / (Expenses) on the Summary P&amp;L tab for 2021A update to within +/- 2% of the expected value? [+5]
4.7. If the historical Other Expenses value on the Summary P&amp;L tab for 2022A is changed from 1219225.61 to 2400000, does the Net Income on the Summary P&amp;L tab for 2022A update to within +/- 2% of the expected value? [+5]
Section 5: Presentation
5.1. Are hardcoded values displayed in blue font, formula-driven values in black font, and cross-sheet references in green font on the Summary P&amp;L and Detailed P&amp;L tabs? [+2]
5.2. Are all non-empty currency values on the Summary P&amp;L and Detailed P&amp;L tabs formatted with thousands separators, no decimal places, and parentheses for negatives? [+2]
5.3. Are total and subtotal rows such as Gross Revenue, Net Operating Expenses, and Net Income on the Summary P&amp;L and Detailed P&amp;L tabs visually distinguished with bold text? [+2]
Section 6: Pitfalls
6.1. Are there any error values in the Summary P&amp;L tab, the Detailed P&amp;L tab, and the Expense Assumptions tab (#REF!, #DIV/0!, #VALUE!, #NAME?, #N/A, #NUM!)? [-5]
6.2. Is any data or label text truncated due to insufficient column widths or row heights in the Summary P&amp;L tab, the Detailed P&amp;L tab, and the Expense Assumptions tab? [-3]</t>
  </si>
  <si>
    <t>Section 1: Formula Correctness
1.1. Is Gross Revenue on the Detailed P&amp;L calculated as the sum of Profile, Data, Atlas Platform, New Markets, and Other revenue lines for each projection year? [+2]
1.2. Is Total Net Revenue on the Detailed P&amp;L calculated as the sum of Profile Net Revenue, Data Net Revenue, Atlas Platform Net Revenue, and New Markets Net Revenue for each period? [+2]
1.3. Is Profile Net Revenue on the Detailed P&amp;L derived as Profile gross revenue minus Profile Disputes and Profile Refunds for each projection year? [+2]
1.4. Is Atlas Platform Net Revenue on the Detailed P&amp;L derived as Atlas Platform gross revenue minus Atlas Platform Returns and Atlas Platform Discounts for each projection year? [+2]
1.5. Is Gross Profit on the Detailed P&amp;L calculated as Total Net Revenue minus Total COGS for each period? [+2]
1.6. Is Gross Margin on the Detailed P&amp;L calculated as Gross Profit divided by Total Net Revenue for each period? [+1]
1.7. Is FTA Supplies in the COGS section calculated as a percentage of the FTA Fulfillment line item rather than as a percentage of Atlas Platform gross revenue? [+2]
1.8. Is each projected labor department line on the Detailed P&amp;L computed as the beginning-of-year run rate times the fully loaded rate, plus additional new hire salary times the fully loaded rate times a partial-year factor of (12 minus average start month) divided by 12? [+3]
1.9. Are projected labor department amounts on the Detailed P&amp;L rounded to the nearest hundred? [+1]
1.10. Is the beginning-of-year run rate for 2026P onward on the Expense Assumptions tab calculated as the prior year's run rate grown by the ongoing salary growth rate plus the annualized new hire salaries for that department and year? [+3]
1.11. Is Marketing Costs FTA on the Detailed P&amp;L projected as a percentage of the combined Data plus Atlas Platform gross revenue using the rate from the Expense Assumptions tab, rather than using a YoY growth rate? [+2]
1.12. Is Profile Disputes in 2025P on the Detailed P&amp;L calculated as the 2024F implied dispute rate grown by 13%, then multiplied by Profile gross revenue? [+2]
1.13. Is the Total Non-Labor Expenses line on the Detailed P&amp;L computed as the aggregate of all non-labor category subtotals for each period? [+1]
1.14. Does the Additional Labor Expense By Department section on the Expense Assumptions tab aggregate new hire salaries by department for each projection year, with a total row summing across all departments? [+1]
1.15. Is the 2025P beginning-of-year run rate for each department on the Expense Assumptions tab calculated as the 2024F ending run rate multiplied by one plus the first plan year salary growth rate? [+2]
Section 2: Model Integration
2.1. Is the Disputes deduction on the Detailed P&amp;L tab linked to the Disputes rate on the Expense Assumptions tab? [+5]
2.2. Is the Profile gross revenue on the Detailed P&amp;L tab linked to the Profile revenue on the Revenue Detail tab? [+4]
2.3. Is the Disputes rate on the Expense Assumptions tab linked to the Disputes amount on the Detailed P&amp;L tab? [+4]
Section 3: Output Validation
3.1. Is Total Net Revenue for 2029P on the Detailed P&amp;L tab within +/- 2% of 80,076,830? [+5]
3.2. Is Total COGS for 2029P on the Detailed P&amp;L tab within +/- 2% of 21,539,519? [+5]
3.3. Is Total Non-Labor Expenses for 2029P on the Detailed P&amp;L tab within +/- 2% of 20,785,476? [+5]
3.4. Is Total Labor Expenses for 2029P on the Detailed P&amp;L tab within +/- 2% of 22,003,200? [+5]
3.5. Is EBITDA for 2029P on the Detailed P&amp;L tab within +/- 2% of 15,748,635? [+5]
3.6. Is Gross Margin for 2027P on the Detailed P&amp;L tab within +/- 0.5 pp of 72.6%? [+4]
3.7. Is Gross Profit for 2025P on the Detailed P&amp;L tab within +/- 2% of 36,813,024? [+4]
3.8. Is Total Net Revenue for 2025P on the Detailed P&amp;L tab within +/- 2% of 50,717,498? [+3]
3.9. Is the Total Labor Run Rate for 2027P on the Expense Assumptions tab within +/- 2% of 13,785,416? [+4]
3.10. Is Total Labor Expenses for 2025P on the Detailed P&amp;L tab within +/- 2% of 12,096,100? [+5]
Section 4: Perturbation
4.1. If the Atlas Platform gross revenue for 2025P on the Revenue Detail tab is changed from 1,600,000 to 3,200,000, does Total Net Revenue on the Detailed P&amp;L tab for 2025P update to within +/- 2% of the expected value (reflecting doubled Atlas revenue less 70% discounts and other deductions)? [+5]
4.2. If the Fully Loaded Rate on the Expense Assumptions tab is changed from 1.15 to 1.50, does Total Labor Expenses on the Detailed P&amp;L tab for 2025P update to within +/- 2% of the expected value (reflecting a 30% increase in all labor cost calculations)? [+5]
4.3. If the Average Start Month for new hires on the Expense Assumptions tab is changed from 3 to 9, does Total Labor Expenses on the Detailed P&amp;L tab for 2029P update to within +/- 2% of the expected value (reflecting a reduced partial-year factor of 0.25 instead of 0.75 for new hire costs)? [+5]
4.4. If the Atlas Platform gross revenue for 2027P on the Revenue Detail tab is changed from 3,200,000 to 6,400,000, does the Atlas Platform COGS subtotal on the Detailed P&amp;L tab for 2027P update to within +/- 2% of the expected value (reflecting doubled fulfillment, texting, merchant fees, and supplies driven by Atlas revenue)? [+5]
4.5. If the Atlas Platform gross revenue for 2029P on the Revenue Detail tab is changed from 4,800,000 to 2,400,000, does Gross Profit on the Detailed P&amp;L tab for 2029P update to within +/- 2% of the expected value (reflecting halved Atlas revenue flowing through net revenue deductions and COGS)? [+5]
4.6. If the Atlas Platform gross revenue for 2026P on the Revenue Detail tab is changed from 2,400,000 to 4,800,000, does Gross Margin percentage on the Detailed P&amp;L tab for 2026P update to within +/- 0.5 percentage points of the expected value (reflecting doubled Atlas revenue impacting both gross profit and net revenue)? [+5]
Section 5: Presentation
5.1. Are hardcoded assumption values displayed in blue font, formula-driven values in black font, and cross-sheet references in green font on both the Detailed P&amp;L and Expense Assumptions tabs? [+2]
5.2. Are all currency values on the Detailed P&amp;L formatted with thousands separators and no decimal places conventions? [+2]
5.3. Are total and subtotal rows on the Detailed P&amp;L (e.g., Gross Revenue, Total Net Revenue, Total COGS, Gross Profit, Total Non-Labor Expenses, Total Labor Expenses) visually distinguished with bold text? [+2]
Section 6: Pitfalls
6.1. Are there any error values in the Detailed P&amp;L tab and the Expense Assumptions tab (#REF!, #DIV/0!, #VALUE!, #NAME?, #N/A, #NUM!)? [-5]
6.2. Is any data or label text truncated due to insufficient column widths or row heights in the Detailed P&amp;L tab and the Expense Assumptions tab? [-3]</t>
  </si>
  <si>
    <t>Section 1: Formula Correctness
1.1. Do the new monthly forecast cells on the Summary Budget (June 2024 onward) for flow-item rows such as revenue use a SUMIFS lookup against the relocated Monthly Calcs date header to return values? [+2]
1.2. Are quarterly columns for flow items (e.g., Total Revenue, Total OpEx, Net Income) on the Summary Budget computed as the sum of the three corresponding monthly cells in that quarter? [+2]
1.3. Are quarterly columns for stock/balance items such as Ending Cash Balance and Total Employees on the Summary Budget set equal to the last month of that quarter rather than summing the three months? [+2]
1.4. Are annual columns for flow items on the Summary Budget computed as the sum of the 12 monthly cells for that year rather than referencing a single month or quarterly subtotals? [+2]
1.5. Is the Ending Cash Balance on the Summary Budget for quarterly and annual columns derived as the point-in-time value from the last month of the period, not as a sum of monthly balances? [+2]
1.6. Is the Ending Cash Balance reconciliation on the Summary Budget correctly computed as Beginning Cash plus Total Cash Change for each monthly period? [+2]
1.7. Is Beginning Cash for each monthly column on the Summary Budget equal to the prior month's Ending Cash Balance, maintaining a continuous rollforward? [+2]
1.8. Is Total Cash Change on the Summary Budget computed as the sum of Net Income, cash flow adjustment items (depreciation add-back, capex, debt service, equity financing), not as a difference of ending and beginning cash? [+2]
1.9. Is Gross Margin percentage on the Summary Budget for quarterly and annual columns derived as that period's Gross Profit divided by that period's Total Revenue, not carried from a monthly SUMIFS? [+2]
1.10. Is Total ARR on the Summary Budget for quarterly and annual columns derived as the point-in-time end-of-period balance (referencing the last month), not as a sum of monthly ARR values? [+2]
1.11. Is Consolidated Total ARR on the Summary Budget computed as the sum of the Industrial ARR subtotal and the Automotive ARR subtotal for each period? [+1]
1.12. Are the existing 2023 and Jan-May 2024 SUMIFS formulas on the Summary Budget updated so their lookup range spans the new Monthly Calcs column location rather than the old location? [+2]
1.13. Is the annual column date header for each year on the Summary Budget derived as the YEAR of that year's December date, not hardcoded? [+1]
1.14. Does each new monthly date header on the Summary Budget chain continuously via EOMONTH from the prior month's date, starting from May 2024 through December 2029? [+1]
1.15. Is the Headcount row for each department on the Summary Budget treated as a stock item in quarterly columns, referencing the last month of the quarter instead of summing the three months? [+1]
Section 2: Model Integration
2.1. Is the Total Revenue in the Monthly Calcs section on the Summary Budget tab linked to the Total Revenue on the Consolidation Sheet tab? [+5]
2.2. Is the Total Revenue in the Monthly Calcs section on the Summary Budget tab linked to the Total Revenue on the Report Data - P&amp;L tab? [+5]
2.3. Is the Monthly Calcs anchor date on the Summary Budget tab linked to the forecast start date on the Assumptions tab? [+4]
2.4. Is the headcount data on the Summary Budget tab linked to the headcount assumptions on the Assumptions tab? [+4]
2.5. Is the Depreciation and Amortization on the Summary Budget tab linked to the Depreciation and Amortization on the Cash Flow Budget tab? [+4]
2.6. Is the Ending Cash Balance on the Summary Budget tab linked to the Cash and Cash Equivalents on the BS Budget tab? [+4]
2.7. Is the Operating Expenses on the P&amp;L Budget tab linked to the Operating Expenses on the Summary Budget tab? [+4]
2.8. Is the Capital Expenditures on the Summary Budget tab linked to the Capital Expenditures on the Report Data - CFS tab? [+3]
2.9. Is the Other Expenses on the Summary Budget tab linked to the Other Expenses on the 5. Other tab? [+3]
2.10. Is the Total Employees on the Report Data - P&amp;L tab linked to the Total Employees on the Summary Budget tab? [+3]
Section 3: Output Validation
3.1. Is the 2029 annual Total Revenue on the Summary Budget tab within +/- 2% of 91,725,001? [+5]
3.2. Is the 2029 annual Ending Cash Balance on the Summary Budget tab within +/- 2% of 53,155,784? [+5]
3.3. Is the 2029 annual Net Income on the Summary Budget tab within +/- 2% of 14,893,590? [+5]
3.4. Is the 2028 annual Ending Cash Balance on the Summary Budget tab within +/- 2% of 38,549,494? [+5]
3.5. Is the 2024 annual Total Revenue on the Summary Budget tab within +/- 2% of 31,149,738? [+3]
3.6. Is the 2025 annual Gross Profit on the Summary Budget tab within +/- 2% of 24,143,838? [+4]
3.7. Is the 2027 annual Gross Margin percentage on the Summary Budget tab within +/- 0.5 pp of 67.5%? [+4]
3.8. Is the 2026 annual Total Operating Expenses on the Summary Budget tab within +/- 2% of 18,821,159? [+3]
3.9. Is the 2029 annual Total Employees (headcount) on the Summary Budget tab within +/- 2% of 148? [+5]
3.10. Is the 2028 annual Total Employees (headcount) on the Summary Budget tab within +/- 2% of 124? [+4]
Section 4: Perturbation
4.1. If the Consolidation Sheet forecast value for the Network Infrastructure revenue line in the first month showing 250,000 (corresponds to approximately October 2024) is changed from 250,000 to 500,000, does the corresponding monthly revenue value on the Summary Budget tab for that forecast month update to reflect the doubled input, within +/- 2% of the expected value? [+5]
4.2. If the Consolidation Sheet forecast value for the Industrial segment revenue line showing 400,000 (corresponding to approximately August 2024) is changed from 400,000 to 800,000, does the Total Revenue on the Summary Budget tab for the 2024 annual column update to within +/- 2% of the expected value reflecting this doubling? [+5]
4.3. If the Consolidation Sheet forecast value for the Industrial segment revenue line showing 1,636,000 (corresponding to approximately January 2025) is changed from 1,636,000 to 3,272,000, does the first monthly revenue cell in the 2025 section on the Summary Budget tab update to within +/- 2% of the expected doubled value? [+5]
4.4. If the Consolidation Sheet forecast value for the segment cost line showing 545,333 (corresponding to approximately February 2025) is changed from 545,333 to 1,090,667, does the corresponding monthly value on the Summary Budget tab for February 2025 update to within +/- 2% of the expected doubled value? [+5]
4.5. If the Consolidation Sheet forecast value for the Network Infrastructure line showing 465,000 (corresponding to approximately January 2025) is changed from 465,000 to 930,000, does the Q1 2025 quarterly total revenue on the Summary Budget tab update to within +/- 2% of the expected value reflecting this increase? [+5]
4.6. If the Consolidation Sheet forecast value for the segment revenue line showing 600,000 (corresponding to approximately November 2024) is changed from 600,000 to 1,200,000, does the Net Cash Change on the Cash Flow Budget tab for the corresponding month update to within +/- 2% of the expected value reflecting this revenue doubling? [+5]
4.7. If the Consolidation Sheet forecast value for the Network Infrastructure line showing 333,333 (corresponding to approximately December 2024) is changed from 333,333 to 666,667, does the 2024 annual total revenue on the Summary Budget tab update to within +/- 2% of the expected value reflecting this increase? [+5]
Section 5: Presentation
5.1. Are all non-empty numeric values in the newly extended columns of the Summary Budget formatted with comma separators and no decimal places, consistent with the existing 2023 and early-2024 sections? [+2]
5.2. Are total and subtotal rows in the newly extended Summary Budget columns visually distinguished with bold text and light blue fill color of the existing year sections? [+2]
5.3. Are percentage rows such as Gross Margin and revenue mix in the newly extended Summary Budget columns formatted as percentages with zero decimal places, consistent with the existing sections? [+2]
Section 6: Pitfalls
6.1. Are there any error values in the P&amp;L Budget tab, the Summary Budget tab, the BS Budget tab, the Cash Flow Budget tab, the 2. Mobile tab, the 3. Logistics &amp; Mapping tab, the 4. Robotics &amp; Automation tab, the 5. Other tab, and the Report Data - P&amp;L tab (#REF!, #DIV/0!, #VALUE!, #NAME?, #N/A, #NUM!)? [-5]
6.2. Is any data or label text truncated due to insufficient column widths or row heights in the P&amp;L Budget tab, the Summary Budget tab, the BS Budget tab, the Cash Flow Budget tab, the 2. Mobile tab, the 3. Logistics &amp; Mapping tab, the 4. Robotics &amp; Automation tab, the 5. Other tab, and the Report Data - P&amp;L tab? [-3]</t>
  </si>
  <si>
    <t>Section 1: Formula Correctness
1.1. Is Total Bookings on the P&amp;L Budget Forecast section calculated as the sum of its three component Bookings line items (Industrial, Automotive, Other) within each column? [+2]
1.2. Is Total Billings on the P&amp;L Budget Forecast section calculated as the sum of its component Billings line items within each column? [+2]
1.3. Is Total Revenue on the P&amp;L Budget Forecast section derived as the sum of its component Revenue line items within each column? [+1]
1.4. Is Gross Margin on the P&amp;L Budget Forecast section derived as Total Revenue minus the sum of COGS items within the same column? [+2]
1.5. Is Gross Margin Percent on the P&amp;L Budget Forecast section calculated by dividing Gross Margin by Total Revenue for the same column? [+1]
1.6. Is EBITDA on the P&amp;L Budget Forecast section derived as Gross Margin minus Total Operating Expenses plus Other Income/Expense within each column? [+2]
1.7. Are quarterly roll-up columns for flow items like Revenue and Bookings on the P&amp;L Budget computed as the sum of the three constituent monthly columns? [+2]
1.8. Are quarterly roll-up columns for Total Backlog on the P&amp;L Budget computed by referencing only the last monthly column of that quarter, not summing all three months? [+2]
1.9. Are quarterly roll-up columns for Average FTE on the P&amp;L Budget computed as the average of the three constituent monthly values, not a sum? [+2]
1.10. Are annual roll-up columns for flow items on the P&amp;L Budget computed as the sum of the four quarterly roll-up columns for that year? [+2]
1.11. Is the annual Opex Per Average FTE on the P&amp;L Budget computed as annual Total Operating Expenses divided by the average of twelve monthly Average FTE values? [+3]
1.12. Is the quarterly Opex Per Average FTE for 2024 and 2025 on the P&amp;L Budget computed as quarterly operating expenses multiplied by 4 then divided by quarterly Average FTE? [+3]
1.13. Is Total Operating Expenses by Department on the P&amp;L Budget Forecast section calculated as the sum of its six departmental operating expense line items? [+1]
1.14. Are annual roll-up columns for Average FTE on the P&amp;L Budget computed as the average of all twelve monthly Average FTE values for that year? [+2]
Section 2: Model Integration
2.1. Is the Industrial Billings on the BS Budget tab linked to the Industrial Billings in the Monthly Calcs section on the P&amp;L Budget tab? [+5]
2.2. Is the Industrial Revenue in the Monthly Calcs section on the P&amp;L Budget tab linked to the Industrial Revenue on the Summary Budget tab? [+4]
2.3. Is the Industrial Backlog in the Monthly Calcs section on the P&amp;L Budget tab linked to the Industrial Backlog on the Report Data - P&amp;L tab? [+4]
2.4. Is the Industrial Billings in the Monthly Calcs section on the P&amp;L Budget tab linked to the Accounts Receivable on the BS Budget tab? [+4]
2.5. Is the Industrial Backlog in the Monthly Calcs section on the P&amp;L Budget tab linked to the Total Backlog on the Consolidation Sheet tab? [+4]
2.6. Is the Product Cost in the Monthly Calcs section on the P&amp;L Budget tab linked to the Product Cost on the Summary Budget tab? [+4]
2.7. Is the Sales and Marketing expense in the Monthly Calcs section on the P&amp;L Budget tab linked to the Sales and Marketing components on the Summary Budget tab? [+4]
2.8. Is the Eliminations Bookings in the Monthly Calcs section on the P&amp;L Budget tab linked to the Eliminations on the Consolidation Sheet tab? [+3]
2.9. Is the Other Bookings in the Monthly Calcs section on the P&amp;L Budget tab linked to the Bookings on the 5. Other tab? [+3]
2.10. Is the Monthly Calcs start date on the P&amp;L Budget tab linked to the start date on the Assumptions tab? [+3]
Section 3: Output Validation
3.1. Is the Total Revenue for the 2029 annual column on the P&amp;L Budget tab within +/- 2% of 96,891,498? [+5]
3.2. Is the EBITDA for the 2029 annual column on the P&amp;L Budget tab within +/- 2% of 18,820,281? [+5]
3.3. Is the Net Income for the 2028 annual column on the P&amp;L Budget tab within +/- 2% of 14,959,363? [+5]
3.4. Is the Ending Cash Balance for the 2029 annual column on the P&amp;L Budget tab within +/- 2% of 5,736,802? [+5]
3.5. Is the Total Revenue for the 2025 annual column on the P&amp;L Budget tab within +/- 2% of 55,338,474? [+3]
3.6. Is the Gross Margin Percent for the 2024 annual column on the P&amp;L Budget tab within +/- 0.5 pp of 56.5%? [+4]
3.7. Is the Total Operating Expenses for the 2028 annual column on the P&amp;L Budget tab within +/- 2% of 35,728,765? [+4]
3.8. Is the Gross Margin for the 2026 annual column on the P&amp;L Budget tab within +/- 2% of 39,694,920? [+4]
3.9. Is the Average FTE for the 2027 annual column on the P&amp;L Budget tab within +/- 2% of 157.25? [+3]
3.10. Is the Total Bookings for the 2029 annual column on the P&amp;L Budget tab within +/- 2% of 102,012,600? [+5]
Section 4: Perturbation
4.1. If the Bookings value for the Network Infrastructure segment on the Consolidation Sheet (row 46, corresponding to the month feeding into October 2024 forecasts) is changed from 250000 to 625000, does the Total Bookings line on the P&amp;L Budget tab for the 2024 Annual roll-up column update to within +/- 2% of the correctly recomputed value? [+5]
4.2. If the Billings value on the Consolidation Sheet for the month corresponding to March 2024 in row 60 is changed from 1636000 to 3272000, does the Industrial Billings line on the BS Budget tab for that same period update to within +/- 2% of the correctly recomputed value? [+5]
4.3. If the Bookings value on the Consolidation Sheet for the month feeding September 2024 in the Network Infrastructure segment (row 46) is changed from 333333.3333333333 to 666666.6666666666, does the Total Bookings line on the P&amp;L Budget for the 2025 Annual roll-up update to within +/- 2% of the correctly recomputed value? [+5]
4.4. If the Billings value on the Consolidation Sheet for the Industrial segment in the month corresponding to November 2023 (row 60, feeding into BS Budget billings) is changed from 400000 to 800000, does the Industrial Billings value on the BS Budget tab for the corresponding November 2023 period update to within +/- 2% of 800000? [+5]
4.5. If the Bookings value on the Consolidation Sheet for the Network Infrastructure segment in the month feeding January 2025 (row 46) is changed from 465000 to 930000, does the Total Bookings line on the P&amp;L Budget for the Q1 2025 quarterly roll-up update to within +/- 2% of the correctly recomputed value? [+5]
4.6. If the Bookings value on the Consolidation Sheet for the Industrial segment in the month feeding June 2024 (row 60) is changed from 600000 to 1200000, does the Total Billings line on the P&amp;L Budget for the 2024 Annual roll-up column update to within +/- 2% of the correctly recomputed value? [+5]
4.7. If the added constant for COGS-related data on the P&amp;L Budget (cell GI75, a Monthly Calcs value) is changed from 201932.91 to 403865.82, does the Gross Margin line on the P&amp;L Budget for the 2029 Annual roll-up update to within +/- 2% of the correctly recomputed value reflecting the doubled cost? [+5]
Section 5: Presentation
5.1. Are all non-empty currency values in the new Forecast section of the P&amp;L Budget formatted with dollar sign prefix, thousands separators, and no decimal places, consistent with the Actuals columns? [+2]
5.2. Are hardcoded values in the P&amp;L Budget Forecast section displayed in blue font while formula-driven values use green or black font, following the model's color-coding convention? [+2]
5.3. Are total and subtotal rows in the P&amp;L Budget Forecast section visually distinguished with bold text and a light blue fill color, matching the styling of the Actuals section? [+2]
Section 6: Pitfalls
6.1. Are there any error values in the P&amp;L Budget tab, the BS Budget tab, the 2. Mobile tab, the 3. Logistics &amp; Mapping tab, the 4. Robotics &amp; Automation tab, and the 5. Other tab (#REF!, #DIV/0!, #VALUE!, #NAME?, #N/A, #NUM!)? [-5]
6.2. Is any data or label text truncated due to insufficient column widths or row heights in the P&amp;L Budget tab, the BS Budget tab, the 2. Mobile tab, the 3. Logistics &amp; Mapping tab, the 4. Robotics &amp; Automation tab, and the 5. Other tab? [-3]</t>
  </si>
  <si>
    <t>Section 1: Formula Correctness
1.1. Is the first period start date in the annual header row on the Consolidation Sheet hardcoded as January 1, 2023? [+1]
1.2. Are subsequent period start dates in the annual header derived incrementally by adding one year to the previous start date, producing January 1 for 2024 through 2029? [+2]
1.3. Is the first period end date in the annual header on the Consolidation Sheet hardcoded as December 31, 2023? [+1]
1.4. Are subsequent period end dates in the annual header derived incrementally by adding one year to the previous end date, producing December 31 for 2024 through 2029? [+2]
1.5. Is the year integer row on the Consolidation Sheet derived by extracting the year from the corresponding period end date in the header? [+1]
1.6. Does the aggregation formula for Sum-type rows on the Consolidation Sheet sum monthly values where the monthly date falls between the period start and end dates inclusively? [+3]
1.7. Does the aggregation formula for Average-type rows on the Consolidation Sheet average monthly values within the date range while excluding zero values from the average? [+3]
1.8. Does the aggregation formula for EOP-type rows on the Consolidation Sheet return the monthly value whose date exactly matches the period end date only? [+3]
1.9. Is the aggregation type for Bookings section rows on the Consolidation Sheet set to Sum? [+1]
1.10. Is the aggregation type for Backlog section rows on the Consolidation Sheet set to EOP? [+2]
1.11. Is the aggregation type for Subscribers section rows on the Consolidation Sheet set to Average? [+2]
1.12. Is the aggregation type for all Revenue subsection rows (Aurora, Comet, Hardware, Services, and All) on the Consolidation Sheet set to Sum? [+1]
1.13. Do all annual aggregation formulas on the Consolidation Sheet return zero when an error occurs, via error-wrapping logic? [+1]
1.14. Do subsequent rows within each metric section on the Consolidation Sheet inherit their aggregation type by referencing the first row of that section rather than hardcoding the type? [+2]
Section 3: Output Validation
3.1. Is the Total Cedarbrook Bookings (Sum) for FY 2029 on the Consolidation Sheet within +/- 2% of 1316924? [+5]
3.2. Is the Total Cedarbrook Backlog (EOP) for FY 2029 on the Consolidation Sheet within +/- 2% of 1893498? [+5]
3.3. Is the Total Cedarbrook Revenue All (Sum) for FY 2027 on the Consolidation Sheet within +/- 2% of 694498? [+5]
3.4. Is the Total Cedarbrook Revenue All (Sum) for FY 2029 on the Consolidation Sheet within +/- 2% of 1148498? [+5]
3.5. Is the Total Cedarbrook Billings (Sum) for FY 2026 on the Consolidation Sheet within +/- 2% of 480866? [+5]
3.6. Is the Total Cedarbrook Product COGS (Sum) for FY 2028 on the Consolidation Sheet within +/- 2% of 339683? [+5]
3.7. Is the Total Cedarbrook Subscribers (Average) for FY 2025 on the Consolidation Sheet within +/- 2% of 1096? [+4]
3.8. Is the Total Cedarbrook Bookings (Sum) for FY 2023 on the Consolidation Sheet within +/- 2% of 128133? [+3]
3.9. Is the Industrial subtotal Revenue All (Sum) for FY 2026 on the Consolidation Sheet within +/- 2% of 286614? [+4]
Section 4: Perturbation
4.1. If the period start date on the Consolidation Sheet (first year start date in the annual aggregation header, row 7) is changed from January 1, 2023 to January 1, 2024, does the Total Cedarbrook Product COGS annual Sum for 2023 on the Consolidation Sheet update to zero or near-zero (since no monthly data would fall within a range starting 2024 and ending 2023)? [+5]
Section 5: Presentation
5.1. Are all annual numeric values on the Consolidation Sheet formatted with thousands separators and no decimal places, consistent with the existing monthly source data area? [+2]
5.2. Are subtotal and total rows in the annual columns on the Consolidation Sheet visually distinguished with bold font and light gray fill? [+2]
Section 6: Pitfalls
6.1. Are there any error values in the Consolidation Sheet tab, the 2. Mobile tab, the 3. Logistics &amp; Mapping tab, the 4. Robotics &amp; Automation tab, and the 5. Other tab (#REF!, #DIV/0!, #VALUE!, #NAME?, #N/A, #NUM!)? [-5]
6.2. Is any data or label text truncated due to insufficient column widths or row heights in the Consolidation Sheet tab, the 2. Mobile tab, the 3. Logistics &amp; Mapping tab, the 4. Robotics &amp; Automation tab, and the 5. Other tab? [-3]</t>
  </si>
  <si>
    <t>Section 1: Formula Correctness
1.1. Is the annual value formula on the Mobile tab for rows marked 'Sum' computed as the sum of monthly values whose dates fall within that column's January 1 to December 31 window? [+2]
1.2. Is the annual value formula on the Mobile tab for rows marked 'Average' computed as the average of non-zero monthly values whose dates fall within that column's January 1 to December 31 window? [+3]
1.3. Is the annual value formula on the Mobile tab for rows marked 'EOP' computed as the value from the single month matching exactly the December 31 date for that year? [+2]
1.4. Does every annual value formula on the Mobile tab wrap the entire conditional logic in an error-trapping function that returns zero on error? [+1]
1.5. Is the aggregation type indicator for Bookings rows on the Mobile tab set to 'Sum' for both the summary section and the Aurora DGNSS detail section? [+1]
1.6. Is the aggregation type indicator for Revenue rows on the Mobile tab set to 'Sum' for both the summary section and all detail sections? [+1]
1.7. Is the aggregation type indicator for Backlog rows in the Aurora DGNSS detail section on the Mobile tab set to 'EOP' rather than 'Sum'? [+2]
1.8. Is the aggregation type indicator for Aurora DGNSS Units rows on the Mobile tab set to 'Average' in both the summary section and the deal-cohort detail section? [+2]
1.9. Is the aggregation type indicator for ASP rows on the Mobile tab set to 'Average' in both the summary and detail sections? [+2]
1.10. Is the aggregation type indicator for Non-Aurora Units rows (Comet, Services, Ranger) on the Mobile tab set to 'Sum' rather than 'Average'? [+2]
1.11. Are the second-label-row dates in the annual header on the Mobile tab correctly set to December 31 of each year from 2023 through 2029, each derived by stepping one year forward? [+1]
1.12. Are the first-label-row dates in the annual header on the Mobile tab correctly set to January 1 of each year from 2023 through 2029, each derived by stepping one year forward? [+1]
1.13. Is the year-number row on the Mobile tab derived from the December 31 date in each annual column, yielding years 2023 through 2029? [+1]
1.14. Do subsequent rows within each metric group on the Mobile tab reference the aggregation type from the first row of that group rather than hardcoding the type string? [+1]
Section 3: Output Validation
3.1. Is the annual Bookings All total for 2029 on the 2. Mobile tab within +/- 2% of 8622720? [+5]
3.2. Is the annual Revenue All total for 2027 on the 2. Mobile tab within +/- 2% of 10174605? [+5]
3.3. Is the annual Backlog All value for 2028 on the 2. Mobile tab within +/- 2% of 10768530? [+5]
3.4. Is the annual Gross Margin All total for 2029 on the 2. Mobile tab within +/- 2% of 6487897.5? [+5]
3.5. Is the annual Billings All total for 2025 on the 2. Mobile tab within +/- 2% of 5945070? [+4]
3.6. Is the annual No. of Deals summary value for 2024 on the 2. Mobile tab within +/- 2% of 6? [+3]
3.7. Is the Aurora DGNSS detail Units average for 2026 on the 2. Mobile tab within +/- 2% of 3325? [+4]
3.8. Is the Non-Aurora Comet Units annual sum for 2025 on the 2. Mobile tab within +/- 2% of 78? [+4]
Section 4: Perturbation
4.1. If the monthly Bookings value for January 2025 on the 2. Mobile tab (the first monthly data column for that row in the summary Bookings section, row 13) is changed from its current value to 5000000, does the annual Bookings figure for 2025 in the summary section on the 2. Mobile tab update accordingly to reflect the new sum, within +/- 2% of the expected value? [+5]
4.2. If the monthly Revenue value for January 2026 on the 2. Mobile tab (summary Revenue section, row 31) is changed from its current value to 3000000, does the annual Revenue figure for 2026 in the summary section on the 2. Mobile tab update to reflect the modified sum, within +/- 2% of the expected value? [+5]
4.3. If a monthly ASP value in the Aurora DGNSS summary Average row (row 58) for March 2025 on the 2. Mobile tab is changed from 0 to 25000, does the annual ASP Average figure for 2025 on the 2. Mobile tab update to reflect the new average including non-zero values, within +/- 2% of the expected value? [+5]
4.4. If the monthly Backlog EOP value for December 2027 in the Aurora DGNSS detail section (row 333) on the 2. Mobile tab is changed from 0 to 8000000, does the annual EOP Backlog figure for 2027 on the 2. Mobile tab update to match the December end-of-period value, within +/- 2% of 8000000? [+5]
4.5. If the monthly Units value for the Aurora DGNSS detail Average row (row 165) for June 2026 on the 2. Mobile tab is changed from 0 to 500, does the annual Units Average figure for 2026 on the 2. Mobile tab update to reflect the new non-zero average, within +/- 2% of the expected value? [+5]
4.6. If the monthly Billings value for February 2028 in the Non-Aurora detail section (row 397) on the 2. Mobile tab is changed from 0 to 2000000, does the annual Billings Sum figure for 2028 on the 2. Mobile tab update to reflect the increased total, within +/- 2% of the expected value? [+5]
4.7. If the monthly No. of Deals value for April 2024 in the summary section (row 49) on the 2. Mobile tab is changed from 0 to 100, does the annual No. of Deals Sum figure for 2024 on the 2. Mobile tab update to include the new value, within +/- 2% of the expected value? [+5]
Section 5: Presentation
5.1. Are the annual data cells in the new section on the Mobile tab formatted with comma separators and parentheses for negatives tab? [+2]
5.2. Are total and subtotal rows in the new annual section on the Mobile tab visually distinguished with bold font and light gray fill color tab? [+2]
5.3. Do formula-driven annual values on the Mobile tab use green font while the hardcoded aggregation-type indicator labels use blue font tab? [+2]
Section 6: Pitfalls
6.1. Are there any error values in the 2. Mobile tab, the 3. Logistics &amp; Mapping tab, the 4. Robotics &amp; Automation tab, and the 5. Other tab (#REF!, #DIV/0!, #VALUE!, #NAME?, #N/A, #NUM!)? [-5]
6.2. Is any data or label text truncated due to insufficient column widths or row heights in the 2. Mobile tab, the 3. Logistics &amp; Mapping tab, the 4. Robotics &amp; Automation tab, and the 5. Other tab? [-3]</t>
  </si>
  <si>
    <t>Section 1: Formula Correctness
1.1. Is the annual aggregation formula on the Logistics &amp; Mapping tab for Sum-type rows computed as the sum of monthly values falling between the year start date and year end date inclusive? [+2]
1.2. Is the annual aggregation formula on the Logistics &amp; Mapping tab for Average-type rows computed as the average of monthly values within the year's date range, excluding zeros from the average? [+3]
1.3. Is the annual aggregation formula on the Logistics &amp; Mapping tab for EOP-type rows computed as the sum of monthly values where the date exactly equals the year end date? [+2]
1.4. Does the triple-nested IF in the annual aggregation formula on the Logistics &amp; Mapping tab return the text 'error - no logic' when the row's type label matches none of Average, Sum, or EOP? [+1]
1.5. Is the annual aggregation formula on the Logistics &amp; Mapping tab wrapped in an IFERROR that returns zero if the inner formula errors? [+1]
1.6. Are the start-of-year dates on the Logistics &amp; Mapping tab for 2024 through 2029 derived by adding one year to the prior column's start date rather than being hardcoded? [+2]
1.7. Are the end-of-year dates on the Logistics &amp; Mapping tab for 2024 through 2029 derived by adding one year to the prior column's end date rather than being hardcoded? [+2]
1.8. Is the first annual column's start date on the Logistics &amp; Mapping tab hardcoded as January 1, 2023, and its end date hardcoded as December 31, 2023? [+1]
1.9. Is the year label row on the Logistics &amp; Mapping tab for each annual column derived from the year of the end-of-year date in that column? [+1]
1.10. Is the Backlog metric in the product-level cohort waterfall sections on the Logistics &amp; Mapping tab assigned the EOP aggregation type? [+2]
1.11. Is the ASP metric on the Logistics &amp; Mapping tab assigned the Average aggregation type so its annual values are computed as averages rather than sums? [+1]
1.12. Are non-anchor rows within each metric block on the Logistics &amp; Mapping tab inheriting their aggregation type by referencing the anchor row's type cell rather than being independently hardcoded? [+2]
1.13. Is the Backlog metric in the top summary section on the Logistics &amp; Mapping tab assigned the Sum aggregation type, distinct from the EOP type used in the cohort waterfall? [+2]
1.14. Does the annual aggregation formula on the Logistics &amp; Mapping tab use absolute row references for the date header row and type label rows so they remain fixed as the formula is copied across metric rows? [+2]
Section 3: Output Validation
3.1. Is the No. of Deals annual total for 2029 (column X) on the '3. Logistics &amp; Mapping' tab within +/- 2% of 30? [+5]
3.2. Is the Units annual sum for 2023 on the '3. Logistics &amp; Mapping' tab summary section within +/- 2% of 5700? [+3]
3.3. Is the Bookings annual sum for 2029 on the '3. Logistics &amp; Mapping' tab summary section within +/- 2% of 1130400? [+5]
3.4. Is the Revenue annual sum for 2023 on the '3. Logistics &amp; Mapping' tab summary section within +/- 2% of 59800? [+3]
3.5. Is the Gross Margin annual sum for 2029 on the '3. Logistics &amp; Mapping' tab summary section within +/- 2% of 734760? [+5]
3.6. Is the ASP annual average for 2023 on the '3. Logistics &amp; Mapping' tab summary section within +/- 2% of 14.04? [+4]
3.7. Is the Units annual sum for 2029 on the '3. Logistics &amp; Mapping' tab summary section within +/- 2% of 141000? [+5]
3.8. Is the Billings annual sum for 2029 on the '3. Logistics &amp; Mapping' tab summary section within +/- 2% of 1130400? [+5]
3.9. Is the Bookings annual sum for 2023 on the '3. Logistics &amp; Mapping' tab summary section within +/- 2% of 79900? [+4]
Section 4: Perturbation
4.1. If the start-of-year date for 2023 on the 3. Logistics &amp; Mapping tab (row 3, first annual column) is changed from January 1, 2023 to July 1, 2023, does the 2023 annual No. of Deals (Sum) row in the top summary section on the 3. Logistics &amp; Mapping tab update to reflect only the second half of 2023 data, within +/- 2% of the expected value? [+5]
4.3. If the aggregation type label in the type-label column on the 3. Logistics &amp; Mapping tab for the Bookings summary row is changed from Sum to Average, does the 2025 annual Bookings value on the 3. Logistics &amp; Mapping tab update to an averaged value (rather than summed) that is within +/- 2% of the expected value? [+5]
4.4. If the aggregation type label for the ASP metric anchor row on the 3. Logistics &amp; Mapping tab is changed from Average to Sum, does the 2025 annual ASP value on the 3. Logistics &amp; Mapping tab switch from an average calculation to a sum calculation, updating to within +/- 2% of the expected value? [+5]
4.5. If the aggregation type label for the Backlog product-level row on the 3. Logistics &amp; Mapping tab is changed from EOP to Sum, does the 2025 annual Backlog value on the 3. Logistics &amp; Mapping tab switch from an end-of-period lookup to a full-year sum, updating to within +/- 2% of the expected value? [+5]
4.6. If the Average type-label reference text in the type-label row on the 3. Logistics &amp; Mapping tab (used as the lookup key for AVERAGEIFS logic) is changed from Average to XYZZY, does the 2025 annual Units per Deal value on the 3. Logistics &amp; Mapping tab for the Aurora section return 0 (since no type matches), within +/- 2% of 0? [+5]
Section 5: Presentation
5.1. Are the annual aggregation columns on the Logistics &amp; Mapping tab formatted with comma separators and two decimal places for numeric values tab? [+2]
5.2. Are total and subtotal rows in the annual columns on the Logistics &amp; Mapping tab visually distinguished with bold font and light gray fill color on sibling segment tabs? [+2]
5.3. Do formula-driven cells in the new annual aggregation block on the Logistics &amp; Mapping tab use green font on the Robotics &amp; Automation and Other tabs? [+2]
Section 6: Pitfalls
6.1. Are there any error values in the 2. Mobile tab, the 3. Logistics &amp; Mapping tab, the 4. Robotics &amp; Automation tab, and the 5. Other tab (#REF!, #DIV/0!, #VALUE!, #NAME?, #N/A, #NUM!)? [-5]
6.2. Is any data or label text truncated due to insufficient column widths or row heights in the 2. Mobile tab, the 3. Logistics &amp; Mapping tab, the 4. Robotics &amp; Automation tab, and the 5. Other tab? [-3]</t>
  </si>
  <si>
    <t>Section 1: Formula Correctness
1.1. Is the three-way conditional aggregation formula on the Robotics &amp; Automation tab correctly branching to compute an average (excluding zeros) when the row's aggregation type is Average? [+3]
1.2. Is the three-way conditional aggregation formula on the Robotics &amp; Automation tab correctly branching to compute a sum of monthly values within the year range when the row's aggregation type is Sum? [+3]
1.3. Is the EOP branch of the conditional aggregation formula on the Robotics &amp; Automation tab correctly selecting only the single month matching the year-end date rather than summing the full year? [+3]
1.4. Does the aggregation formula on the Robotics &amp; Automation tab return zero instead of an error when no monthly data matches the date criteria, using an error-trapping wrapper? [+2]
1.5. Is the Bookings metric in the Robotics &amp; Automation summary section assigned the Sum aggregation type so that annual columns sum monthly bookings values? [+1]
1.6. Is the Revenue metric in the Robotics &amp; Automation summary section assigned the Sum aggregation type so that annual columns sum monthly revenue values? [+1]
1.7. Is the Units metric for the Aurora RTK product row in the Robotics &amp; Automation summary section assigned the Average aggregation type, distinct from other product rows which use Sum? [+2]
1.8. Do subsequent product rows and the All subtotal row within each metric group on the Robotics &amp; Automation tab inherit the aggregation type from the first product row in that group via a reference formula? [+2]
1.9. Is the Average header row on the Robotics &amp; Automation tab correctly populated with start-of-year dates beginning at 2023-01-01 and stepping forward by exactly one year per column through 2029? [+1]
1.10. Is the Sum header row on the Robotics &amp; Automation tab correctly populated with end-of-year dates beginning at 2023-12-31 and stepping forward by exactly one year per column through 2029? [+1]
1.11. Is the year display row on the Robotics &amp; Automation tab derived from the Sum header row dates by extracting the four-digit year, not hardcoded? [+1]
1.12. Are the ASP waterfall deal entry rows in the Aurora RTK detail section on the Robotics &amp; Automation tab assigned the Average aggregation type so annual values represent averages excluding zeros? [+2]
1.13. Is the entire annual aggregate section on the Logistics and Mapping tab cleared of all aggregation type labels, date headers, year display values, and annual period formulas? [+2]
1.14. Does the boundary marker row at the bottom of the Robotics &amp; Automation summary section contain the placeholder value x in the aggregation type and each annual period column? [+1]
Section 3: Output Validation
3.1. Is the Bookings All row for 2029 on the 4. Robotics &amp; Automation tab within +/- 2% of 17640000? [+5]
3.2. Is the Revenue Aurora RTK row for 2027 on the 4. Robotics &amp; Automation tab within +/- 2% of 10290000? [+5]
3.3. Is the Backlog All row for 2028 on the 4. Robotics &amp; Automation tab within +/- 2% of 4410000? [+5]
3.4. Is the Units Aurora RTK summary row for 2026 on the 4. Robotics &amp; Automation tab within +/- 2% of 1225? [+4]
3.5. Is the Revenue All row for 2025 on the 4. Robotics &amp; Automation tab within +/- 2% of 4116000? [+4]
3.6. Are all annual aggregate columns (2023 through 2029) in the Bookings Aurora RTK summary row on the 3. Logistics &amp; Mapping tab cleared to empty or zero? [+5]
3.7. Is the year display row on the 3. Logistics &amp; Mapping tab cleared such that the 2023 through 2029 year labels in columns R through X are removed? [+3]
3.8. Is the Billings All row for 2029 on the 4. Robotics &amp; Automation tab within +/- 2% of 17640000? [+5]
3.9. Is the No. of Deals Aurora RTK summary row for 2025 on the 4. Robotics &amp; Automation tab within +/- 2% of 4? [+3]
3.10. Is the ASP waterfall rollup row for 2028 on the 4. Robotics &amp; Automation tab within +/- 2% of 1400? [+5]
Section 4: Perturbation
4.1. If the hardcoded end-of-year date anchor (2023-12-31) on the 4. Robotics &amp; Automation tab in the Sum header row for the first annual period is changed from 2023-12-31 to 2024-12-31, does the Year display row value for the first annual period on the 4. Robotics &amp; Automation tab update to within +/- 2% of 2024 (within +/- 0.5)? [+5]
4.2. If the hardcoded start-of-year date anchor (2023-01-01) on the 4. Robotics &amp; Automation tab in the Average header row for the first annual period is changed from 2023-01-01 to 2024-01-01, does the second annual period start date on the 4. Robotics &amp; Automation tab in the Average header row update to within +/- 2% of 2025-01-01 (represented as the serial date value within +/- 2%)? [+5]
4.3. If the hardcoded end-of-year date anchor (2023-12-31) on the 4. Robotics &amp; Automation tab in the Sum header row for the first annual period is changed from 2023-12-31 to 2024-12-31, does the Year display row value for the last annual period (7th period) on the 4. Robotics &amp; Automation tab update to within +/- 2% of 2030 (within +/- 0.5)? [+5]
4.4. If the hardcoded end-of-year date anchor (2023-12-31) on the 4. Robotics &amp; Automation tab in the Sum header row for the first annual period is changed from 2023-12-31 to 2024-12-31, does the Bookings summary Aurora RTK row annual value for the first period on the 4. Robotics &amp; Automation tab update correctly to reflect only months in the shifted 2024-01-01 to 2024-12-31 window (expected value within +/- 2% of the recalculated sum)? [+5]
4.5. If the hardcoded start-of-year date anchor (2023-01-01) on the 4. Robotics &amp; Automation tab in the Average header row for the first annual period is changed from 2023-01-01 to 2025-01-01, does the third annual period start date on the 4. Robotics &amp; Automation tab in the Average header row update to within +/- 2% of 2027-01-01 (represented as the serial date value within +/- 2%)? [+5]
4.6. If the hardcoded end-of-year date anchor (2023-12-31) on the 4. Robotics &amp; Automation tab in the Sum header row for the first annual period is changed from 2023-12-31 to 2025-12-31, does the second annual period end-of-year date on the 4. Robotics &amp; Automation tab in the Sum header row update to within +/- 2% of 2026-12-31 (represented as the serial date value within +/- 2%)? [+5]
4.7. If the hardcoded Bookings aggregation type label on the 4. Robotics &amp; Automation tab (currently set to Sum for the first Bookings product row) is changed from Sum to Average, does the Bookings Aurora RTK annual value for 2026 on the 4. Robotics &amp; Automation tab update to reflect an AVERAGEIFS calculation instead of SUMIFS (expected to be significantly lower than the sum, within +/- 2% of the monthly average for that year)? [+5]
Section 5: Presentation
5.1. Are formula-driven values in the annual aggregate section of the Robotics and Automation tab displayed in green font used across the other segment tabs? [+2]
5.2. Are subtotal and rollup rows in the Robotics and Automation tab's annual aggregate section styled with bold font and light gray fill? [+2]
5.3. Do all numeric cells in the annual aggregate columns on the Robotics and Automation tab use comma-separated number formats with two decimal places, consistent with the monthly detail columns? [+2]
Section 6: Pitfalls
6.1. Are there any error values in the 2. Mobile tab, the 3. Logistics &amp; Mapping tab, the 4. Robotics &amp; Automation tab, and the 5. Other tab (#REF!, #DIV/0!, #VALUE!, #NAME?, #N/A, #NUM!)? [-5]
6.2. Is any data or label text truncated due to insufficient column widths or row heights in the 2. Mobile tab, the 3. Logistics &amp; Mapping tab, the 4. Robotics &amp; Automation tab, and the 5. Other tab? [-3]</t>
  </si>
  <si>
    <t>Section 1: Formula Correctness
1.1. Is the Auto OEM 001 Totals Ending Backlog row on the Exist Auto Program Detail sheet computed as the sum of Ending Backlog from all four sub-programs period by period? [+2]
1.2. Is the Auto OEM 001 Totals Ending ARR row on the Exist Auto Program Detail sheet computed as the sum of Ending ARR from all four sub-programs period by period? [+2]
1.3. Is the Auto OEM 001 Totals Bookings row on the Exist Auto Program Detail sheet computed as the sum of all individual booking lines including renewal bookings across all four sub-programs? [+2]
1.4. Is the Auto OEM 001 Totals Revenue row on the Exist Auto Program Detail sheet computed as the sum of all revenue lines across all four sub-programs? [+1]
1.5. Is the Auto OEM 002 Totals Ending Backlog row on the Exist Auto Program Detail sheet computed as the sum of Ending Backlog from the Initial and Expansion sub-programs? [+1]
1.6. Is the Auto OEM 004 Totals Bookings row on the Exist Auto Program Detail sheet computed as the sum of all booking lines across the three VW sub-programs? [+2]
1.7. Is the Auto OEM 004 Totals Cash row on the Exist Auto Program Detail sheet computed as the sum of the Cash lines from the three VW sub-programs? [+2]
1.8. Is the Auto OEM 003 Totals Ending Backlog row on the Exist Auto Program Detail sheet computed as the sum of Ending Backlog from the Initial Program, Expansion Program, and Atlas Product 004 sub-programs? [+2]
1.9. Is the Total Pipeline row on the 2024-2028 Revenue Pipeline summary computed as the sum of Auto Pipeline Revenue and Total Industrial Pipeline Revenue for each year? [+2]
1.10. Is the Robotics and Automation row on the 2024-2028 Revenue Pipeline summary computed as the sum of all six robotics subsegment totals rows? [+2]
1.11. Is the Total Logistics and Mapping row on the 2024-2025 Qtrly Indus Pipeline sheet computed as the sum of Total Fleet Management, Total Surveying And Mapping, and Total Asset Tracking? [+2]
1.12. Is the Total Robotics and Automation row on the 2024-2025 Qtrly Indus Pipeline sheet computed as the sum of the six robotics sub-totals? [+2]
1.13. Is the FY 2024 annual total column on the 2024-2025 Qtrly Indus Pipeline sheet computed as the sum of Q1 through Q4 2024 for each detail and totals row? [+2]
1.14. Is the Pipeline Segment Summary grand total row on the 2024-2025 Qtrly Indus Pipeline sheet computed as the sum of the Mobile, Logistics and Mapping, Robotics and Automation, and Other vertical rows? [+2]
1.15. Is the grand total row at the bottom of the Revenue Forecast section on the 2024-2025 Qtrly Indus Pipeline sheet computed as the sum of Mobile, Logistics and Mapping, Robotics and Automation, and Other forecast rows? [+1]
Section 3: Output Validation
3.1. Is the Auto OEM 001 Totals Revenue row for 2031-2040 on the Exist Auto Program Detail sheet within +/- 2% of 432000000? [+5]
3.2. Is the Auto OEM 004 Totals Ending Backlog for 2026 on the Exist Auto Program Detail sheet within +/- 2% of 193200000? [+5]
3.3. Is the Auto OEM 003 Totals Bookings for 2025 on the Exist Auto Program Detail sheet within +/- 2% of 4200000? [+4]
3.4. Is the Auto OEM 002 (Tier1 A) Totals Ending ARR for 2028 on the Exist Auto Program Detail sheet within +/- 2% of 19200000? [+5]
3.5. Is the Total Pipeline Revenue for 2028 (Total column V) on the 2024-2028 Revenue Pipeline sheet within +/- 2% of 28565000? [+5]
3.6. Is the Total Industrial Pipeline Revenue for 2026 on the 2024-2028 Revenue Pipeline sheet within +/- 2% of 7498000? [+5]
3.7. Is the Robotics and Automation summary row for 2025 on the 2024-2028 Revenue Pipeline sheet within +/- 2% of 1498000? [+4]
3.8. Is the grand total Revenue Forecast row for FY 2024 on the 2024-2025 Qtrly Indus Pipeline sheet within +/- 2% of 3498000? [+5]
3.9. Is the Total Robotics and Automation pipeline row for Q4 2024 on the 2024-2025 Qtrly Indus Pipeline sheet within +/- 2% of 247000? [+4]
3.10. Is the Auto OEM 004 Totals Cash row for 2027 on the Exist Auto Program Detail sheet within +/- 2% of 28800000? [+3]
Section 4: Perturbation
4.1. If the Auto OEM 001 Atlas Product 001 vehicle production value for 2024 on the Exist Auto Program Detail tab is changed from 4,200,000 to 8,400,000, does the Auto OEM 001 Totals Ending ARR for 2024 update to within +/- 2% of the correctly recomputed value? [+5]
4.2. If the Auto OEM 001 Region vehicle production value for 2024 on the Exist Auto Program Detail tab is changed from 3,500,000 to 7,000,000, does the Auto OEM 001 Totals Revenue for 2024 update to within +/- 2% of the correctly recomputed value? [+5]
4.3. If the Auto OEM 004 1.1/1.2 Architecture ending backlog value for the Total column on the Exist Auto Program Detail tab is changed from 28,172,000 to 56,344,000, does the Auto OEM 004 Totals Ending Backlog Total column update to within +/- 2% of the correctly recomputed value? [+5]
4.4. If the Mobile subsegment Trimble Marine revenue value for Q3 2024 on the 2024-2025 Qtrly Indus Pipeline tab is changed from its current value to double that amount, does the Pipeline Segment Summary grand total row for FY 2024 update to within +/- 2% of the correctly recomputed value? [+5]
4.5. If the Auto OEM 003 Initial Program ending ARR value for 2025 on the Exist Auto Program Detail tab is changed from 300,000 to 900,000, does the Auto OEM 003 Totals Ending ARR for 2025 update to within +/- 2% of the correctly recomputed value? [+5]
4.6. If the Auto OEM 002 Expansion Program vehicle production value for 2027 on the Exist Auto Program Detail tab is changed from 40,000 to 120,000, does the Auto OEM 002 (Tier1 A) Totals Ending ARR for 2027 update to within +/- 2% of the correctly recomputed value? [+5]
4.7. If the Robotics and Automation subsegment Commercial RLM account revenue for Q3 2024 on the 2024-2025 Qtrly Indus Pipeline tab is changed from its current value to triple that amount, does the Total Robotics and Automation row for FY 2024 update to within +/- 2% of the correctly recomputed value? [+5]
Section 5: Presentation
5.1. Are hardcoded values displayed in blue font and formula-driven values in black font across all new totals blocks on the Exist Auto Program Detail, 2024-2028 Revenue Pipeline, and 2024-2025 Qtrly Indus Pipeline sheets? [+2]
5.2. Are the new OEM totals blocks on the Exist Auto Program Detail sheet formatted with yellow fill and bold text, matching the existing Auto OEM 006 Totals block pattern? [+2]
5.3. Are all currency values in the newly added rows formatted with a dollar sign prefix, comma separators, and no decimal places? [+2]
Section 6: Pitfalls
6.1. Are there any error values in the Exist Auto Program Detail tab, the 2024-2028 Revenue Pipeline tab, and the 2024-2025 Qtrly Indus Pipeline tab (#REF!, #DIV/0!, #VALUE!, #NAME?, #N/A, #NUM!)? [-5]
6.2. Is any data or label text truncated due to insufficient column widths or row heights in the Exist Auto Program Detail tab, the 2024-2028 Revenue Pipeline tab, and the 2024-2025 Qtrly Indus Pipeline tab? [-3]</t>
  </si>
  <si>
    <t>Section 1: Formula Correctness
1.1. Is Total Attributed CAC on the Unit Economics tab expressed as a negative value (hardcoded amounts divided by FX_ with a negative sign) for all projected quarters? [+2]
1.2. Is Global ARR on the Unit Economics tab computed as the sum of all MRR from the MRR calculation tab, multiplied by 12, divided by 1,000,000, and divided by FX_? [+2]
1.3. Is Regional ARR on the Unit Economics tab computed using a conditional sum on the region column of the MRR calculation tab, multiplied by 12, divided by 1,000,000, and divided by FX_? [+2]
1.4. Is the FY column for Absolute ARR Growth on the Unit Economics tab calculated as the sum of the four quarterly values within that year? [+1]
1.5. Is NDR-driven ARR growth on the Unit Economics tab derived as total absolute ARR growth minus new business ARR growth? [+2]
1.6. Is Organic NDR on the Unit Economics tab computed as NDR-driven ARR growth minus account expansion for each quarter? [+1]
1.7. Is Net New ARR from Regular Operations on the Unit Economics tab calculated as total new business ARR minus enterprise deal ARR? [+1]
1.8. Is Total Sales Result on the Unit Economics tab computed as the sum of new business bookings, enterprise MRR bookings, and AM net growth bookings, with FY columns summing the four quarters? [+2]
1.9. Is CAC Payback on the Unit Economics tab calculated as the absolute value of CAC divided by the product of total sales result and gross margin percentage? [+2]
1.10. Is Absolute Cash Burn on the Unit Economics tab derived as monthly average cash burn multiplied by three and divided by one million? [+1]
1.11. Is the Quarterly Burn Multiple on the Unit Economics tab computed as negative monthly burn times three divided by the quantity of current ARR minus 14.48/FX_ times one million? [+2]
1.12. Is Runway on the Unit Economics tab calculated as bank balance in millions divided by the absolute value of monthly burn in millions, showing a dash text when monthly burn is positive? [+3]
1.13. Is Rule of 40 on the Unit Economics tab calculated as the YoY ARR growth rate plus the gross margin percentage from the P&amp;L tab for each projected quarter? [+1]
1.14. Is ARR per FTE on the Unit Economics tab derived as global ARR divided by FTE count, scaled back up by multiplying by one million? [+1]
1.15. Is NNARR per S&amp;M FTE on the Unit Economics tab computed as the sum of NDR-driven and new business ARR growth times one million divided by the sum of the two S&amp;M headcount rows? [+2]
Section 2: Model Integration
2.1. Is the EMEA ARR on the I. Unit Economics tab linked to the MRR by region on the 5. MRR calculation tab? [+5]
2.2. Is the Additional financing on the III. Cash tab linked to the Additional financing on the I. Unit Economics tab? [+5]
2.3. Is the NDR rate on the I. Unit Economics tab linked to the NDR rate on the 3.2. NDR 26-28 tab? [+4]
2.4. Is the Enterprise deal ARR on the I. Unit Economics tab linked to the Enterprise MRR bookings on the 4. Enterprise motion tab? [+4]
2.5. Is the Rule of 40 on the I. Unit Economics tab linked to the Gross margin percentage on the II. P&amp;L tab? [+4]
2.6. Is the New business bookings MRR on the I. Unit Economics tab linked to the New Business bookings on the 2. New Business tab? [+4]
2.7. Is the period code on the I. Unit Economics tab linked to the quarter-to-code mapping on the mappings tab? [+3]
2.8. Is the SQL generation on the I. Unit Economics tab linked to the SQL generation on the 1. Pipeline generation tab? [+3]
2.9. Is the number of Customers on the I. Unit Economics tab linked to the Total number of customers on the 6. Other Sales functions tab? [+3]
2.10. Is the FTE count on the I. Unit Economics tab linked to the Total FTEs on the 8. R&amp;D and G&amp;A Overheads tab? [+3]
Section 3: Output Validation
3.1. Is the Global ARR on the 'I. Unit Economics' tab for 2028 Q4 within +/- 2% of 109.62? [+5]
3.2. Is the Global ARR on the 'I. Unit Economics' tab for 2025 Q2 within +/- 2% of 36.72? [+4]
3.3. Is the FY Absolute ARR Growth on the 'I. Unit Economics' tab for 2023 FY within +/- 2% of 5.76? [+3]
3.4. Is the FY Absolute ARR Growth on the 'I. Unit Economics' tab for 2026 FY within +/- 2% of 17.49? [+4]
3.5. Is the Total Attributed CAC on the 'I. Unit Economics' tab for 2024 Q3 within +/- 2% of -2.85? [+4]
3.6. Is the NDR Rate on the 'I. Unit Economics' tab for 2025 Q1 within +/- 0.5 pp of 102.9%? [+3]
3.7. Is the Rule of 40 on the 'I. Unit Economics' tab for 2028 FY within +/- 0.5 pp of 123.0%? [+5]
3.8. Is the FY Absolute ARR Growth on the 'I. Unit Economics' tab for 2028 FY within +/- 2% of 25.51? [+5]
3.9. Does the 'III. Cash' tab row 27 for 2027 Q1 contain a formula linking to the 'I. Unit Economics' additional financing row, resulting in a value of 0? [+5]
Section 4: Perturbation
4.1. If the SQL generation count on the Pipeline generation tab for 2024 Q1 is changed from 213 to 426, does the SQL generation metric on the Unit Economics tab for 2024 Q1 update to within +/- 2% of 426 (within +/- 2%)? [+5]
4.2. If the SQL generation count on the Pipeline generation tab for 2025 Q1 is changed from approximately 290 to 580, does the SQL generation metric on the Unit Economics tab for 2025 Q1 update to within +/- 2% of 580 (within +/- 2%)? [+5]
4.3. If the SQL generation count on the Pipeline generation tab for 2026 Q1 is changed from approximately 377.85 to 755.70, does the SQL generation metric on the Unit Economics tab for 2026 Q1 update to within +/- 2% of 755.70 (within +/- 2%)? [+5]
4.4. If the SQL generation count on the Pipeline generation tab for 2024 Q2 is changed from 182 to 364, does the SQL generation metric on the Unit Economics tab for 2024 Q2 update to within +/- 2% of 364 (within +/- 2%)? [+5]
4.5. If the SQL generation count on the Pipeline generation tab for 2024 Q3 is changed from 258 to 516, does the SQL generation metric on the Unit Economics tab for 2024 Q3 update to within +/- 2% of 516 (within +/- 2%)? [+5]
4.6. If the SQL generation count on the Pipeline generation tab for 2026 Q2 is changed from approximately 383.35 to 766.70, does the SQL generation metric on the Unit Economics tab for 2026 Q2 update to within +/- 2% of 766.70 (within +/- 2%)? [+5]
Section 5: Presentation
5.1. Are all percentage values on the I. Unit Economics tab (YoY growth, QoQ growth, NDR, regional splits, Rule of 40) formatted as percentages with zero decimal places? [+2]
5.2. Are all non-empty numeric values in the ARR and growth sections of the I. Unit Economics tab formatted with comma thousands separators and one decimal place conventions? [+2]
5.3. Are summary and total rows on the I. Unit Economics tab (e.g., Global ARR, total new business, total sales result) visually distinguished with bold font's existing styling? [+2]
Section 6: Pitfalls
6.1. Are there any error values in the I. Unit Economics tab and the III. Cash tab (#REF!, #DIV/0!, #VALUE!, #NAME?, #N/A, #NUM!)? [-5]
6.2. Is any data or label text truncated due to insufficient column widths or row heights in the I. Unit Economics tab and the III. Cash tab? [-3]</t>
  </si>
  <si>
    <t>Section 1: Formula Correctness
1.1. Is the high value customer ending stock on the Other Sales Functions sheet computed as prior period stock minus the product of prior year same-quarter stock and annual churn rate, plus new high value customers? [+3]
1.2. Is the medium value customer ending stock computed as prior period stock minus churn on prior year same-quarter stock, plus total new customers minus new high value customers for that period? [+3]
1.3. Is the low value customer ending stock computed as the prior year same-quarter stock multiplied by one minus the annual churn rate, with no new customer additions in the projected period? [+2]
1.4. Is the CS Success FTE needed per region computed as the maximum of high value customers divided by 15 and medium value customers divided by 60, each rounded up to zero decimals? [+3]
1.5. Is the AVG TOTAL BDR to AE ratio on the Other Sales Functions sheet computed as the simple average of the four regional BDR to AE ratio rows for each quarterly column? [+1]
1.6. Is the per-region productive BDR FTE computed as the region's fully ramped AE headcount divided by that region's BDR to AE ratio, rounded to zero decimals? [+1]
1.7. Is BDR FTEs needed per region on the Sales Overhead sheet computed as the region's productive BDR FTE plus the non-quota carriers total multiplied by that region's share of total productive BDR FTE? [+2]
1.8. Is BDR payroll cost per region computed as headcount on payroll times monthly base OTE times three times the cumulative salary inflation factor, times one plus the payroll tax rate, plus three times the monthly benefit amount? [+2]
1.9. Is BDR management headcount per region computed as headcount on payroll divided by the management ratio, rounded to zero decimals, defaulting to zero when the ratio produces an error? [+2]
1.10. Is total BDR payroll cost per region on the Sales Overhead sheet computed as the sum of direct BDR payroll cost and BDR management payroll cost? [+1]
1.11. Are the EMEA AEs on payroll correctly split between Budapest and London using the hardcoded BUD percentage share and one minus that share for London, respectively? [+2]
1.12. Is the APAC GM cost on the Sales Overhead sheet computed as 300,000 divided by 4 per quarter, scaled by the cumulative salary inflation factor for the corresponding year? [+1]
1.13. Is the OPEX cost per role on the Sales Overhead sheet computed as headcount on payroll multiplied by the per-FTE quarterly OPEX rate looked up from the OPEX assumptions table? [+1]
1.14. Is total cost per region and function on the Sales Overhead sheet computed as the sum of payroll cost and OPEX cost for that region and function? [+1]
1.15. Does the customer segment ratio check row on the Other Sales Functions sheet confirm that the high value, medium value, and low value ratios sum to exactly one for each column? [+1]
Section 2: Model Integration
2.1. Is the productive BDR FTE on the 6. Other Sales functions tab linked to the fully ramped AE headcount on the 2. New Business tab? [+5]
2.2. Is the AM FTEs needed on the 7. Sales Overhead calculation tab linked to the AM FTE needed on the 3.2. NDR 26-28 tab? [+4]
2.3. Is the AE FTEs needed on the 7. Sales Overhead calculation tab linked to the fully ramped AE headcount on the 2. New Business tab? [+4]
2.4. Is the CS FTEs needed on the 7. Sales Overhead calculation tab linked to the CS Success FTE headcount needed on the 6. Other Sales functions tab? [+3]
2.5. Is the Enterprise AE payroll cost on the 7. Sales Overhead calculation tab linked to the Enterprise AE headcount on the 4. Enterprise motion tab? [+3]
2.6. Is the AE payroll cost on the 7. Sales Overhead calculation tab linked to the cumulative salary inflation factor on the 2. New Business tab? [+3]
2.7. Is the SE FTEs needed on the 7. Sales Overhead calculation tab linked to the productive SE FTE on the 6. Other Sales functions tab? [+3]
2.8. Is the AM payroll cost on the 7. Sales Overhead calculation tab linked to the AM OTE on the 3.2. NDR 26-28 tab? [+3]
2.9. Is the Enterprise AE FTEs needed on the 7. Sales Overhead calculation tab linked to the Enterprise AE headcount on the 4. Enterprise motion tab? [+3]
Section 3: Output Validation
3.1. Is the TOTAL productive BDR FTE on the '6. Other Sales functions' sheet for Q4 2028 within +/- 2% of 10? [+3]
3.2. Is the TOTAL customers row on the '6. Other Sales functions' sheet for Q4 2026 within +/- 2% of 709? [+4]
3.3. Is the TOTAL productive SE FTE on the '6. Other Sales functions' sheet for Q4 2028 within +/- 2% of 7? [+3]
3.4. Is the TOTAL CS Success FTE headcount needed on the '6. Other Sales functions' sheet for Q4 2027 within +/- 2% of 38? [+4]
3.5. Is the high value customer segment ratio check row on the '6. Other Sales functions' sheet equal to 1 (within +/- 0.5 pp) for Q4 2028? [+3]
3.6. Is the total BDR payroll cost (all regions combined) on the '7. Sales Overhead calculation' sheet for FY 2027 within +/- 2% of 838,929? [+5]
3.7. Is the total AE payroll cost (all regions combined) on the '7. Sales Overhead calculation' sheet for FY 2028 within +/- 2% of 2,789,484? [+5]
3.8. Is the total headcount on payroll (all roles, all regions) on the '7. Sales Overhead calculation' sheet for Q4 2028 within +/- 2% of 95? [+5]
3.9. Is the total cost (payroll plus OPEX, all regions and functions) on the '7. Sales Overhead calculation' sheet for FY 2026 within +/- 2% of 5,769,498? [+5]
3.10. Is the total OPEX cost (all roles combined) on the '7. Sales Overhead calculation' sheet for FY 2028 within +/- 2% of 1,232,200? [+5]
Section 4: Perturbation
4.1. If the EMEA BDR to AE ratio on the Other Sales functions tab is changed from 2 to 4 for all projected quarters, does the TOTAL productive BDR FTE on the Other Sales functions tab for 2028 Q4 update to within +/- 2% of the expected reduced value? (Testing with the 2028 Q4 quarterly column.)? [+5]
4.2. If the EMEA SE to AE ratio on the Other Sales functions tab is changed from 3 to 6 for 2028 Q4, does the TOTAL productive SE FTE on the Other Sales functions tab for 2028 Q4 update to within +/- 2% of the expected reduced value reflecting halved EMEA SE headcount? [+5]
4.3. If the high value customer annual churn rate on the Other Sales functions tab is changed from 10% to 50%, does the TOTAL high value customers ending stock on the Other Sales functions tab for 2028 Q4 update to within +/- 2% of the expected significantly reduced value? [+5]
4.4. If the high value customers per CS Success FTE capacity ratio on the Other Sales functions tab is changed from 15 to 5, does the TOTAL CS Success FTE headcount needed on the Other Sales functions tab for 2028 Q4 update to within +/- 2% of the expected tripled value? [+5]
4.5. If the APAC GM annual cost on the Sales Overhead calculation tab is changed from 300000 to 600000, does the TOTAL management and central functions cost on the Sales Overhead calculation tab for 2028 Q4 update to within +/- 2% of the expected value reflecting the doubled APAC GM cost? [+5]
4.6. If the BDR quarterly OPEX per FTE on the Sales Overhead calculation tab is changed from 4250 to 8500, does the TOTAL OPEX cost for BDRs on the Sales Overhead calculation tab for FY 2028 update to within +/- 2% of the expected doubled BDR OPEX value? [+5]
4.7. If the medium value customer annual churn rate on the Other Sales functions tab is changed from 15% to 50%, does the TOTAL medium value customers ending stock on the Other Sales functions tab for 2028 Q4 update to within +/- 2% of the expected significantly reduced value? [+5]
Section 5: Presentation
5.1. Are all numeric values on the Other Sales functions and Sales Overhead calculation sheets formatted with comma thousands separators and zero decimal places? [+2]
5.2. Are all non-empty percentage values on the Other Sales functions sheet (customer segment ratios, churn rates) formatted as percentages with zero decimal places? [+2]
5.3. Are total and subtotal rows on both changed sheets visually distinguished with bold font and light gray fill color used across other model tabs? [+2]
Section 6: Pitfalls
6.1. Are there any error values in the 6. Other Sales functions tab and the 7. Sales Overhead calculation tab (#REF!, #DIV/0!, #VALUE!, #NAME?, #N/A, #NUM!)? [-5]
6.2. Is any data or label text truncated due to insufficient column widths or row heights in the 6. Other Sales functions tab and the 7. Sales Overhead calculation tab? [-3]</t>
  </si>
  <si>
    <t>Section 1: Formula Correctness
1.1. Is the TOTAL row in the Number of Leads section on the Pipeline Generation sheet computed as the sum of EMEA, NOAM, LATAM, and APAC for every quarterly and FY period? [+1]
1.2. Is the historical Lead to Opportunity conversion rate on the Pipeline Generation sheet back-calculated as SQO count divided by SQL count for each region and period? [+2]
1.3. Is the FY total Lead to Opportunity conversion rate on the Pipeline Generation sheet computed as total FY SQOs divided by total FY SQLs, not as an average of quarterly rates? [+2]
1.4. Are projected SQO counts (2024 Q4 onwards) on the Pipeline Generation sheet derived as each region's SQL count multiplied by that region's conversion rate assumption? [+1]
1.5. Is projected SQO pipeline (2024 Q4 onwards) on the Pipeline Generation sheet derived as SQOs multiplied by average deal size for each region? [+1]
1.6. Is the marketing overhead total on the Pipeline Generation sheet computed as FY overhead percentage times FY marketing spend divided by (one minus FY overhead percentage)? [+3]
1.7. Is the quarterly overhead interpolation on the Pipeline Generation sheet computed as prior-year Q4 overhead plus k-tenths of the difference between FY overhead total and four times prior Q4, for k equals 1 through 4? [+3]
1.8. Is regional overhead allocation (2024 Q4 onwards) on the Pipeline Generation sheet computed as total overhead multiplied by that region's marketing spend divided by total marketing spend? [+2]
1.9. Is the marketing total cost row on the Pipeline Generation sheet computed as the sum of marketing spend and marketing overhead for each region and in total? [+1]
1.10. Are new business bookings (2024 Q4 onwards) on the New Business sheet computed using a one-period lag, as prior-quarter SQO pipeline value multiplied by the current-quarter win rate? [+2]
1.11. Is the TOTAL win rate row on the New Business sheet computed as total bookings divided by total pipeline for each period, not as an average of regional win rates? [+2]
1.12. Is AE headcount on the New Business sheet (2024 Q4 onwards) derived as bookings divided by the product of quota and attainment, rounded to zero decimals, with division-error protection? [+2]
1.14. Is the new customer count by region on the Other Sales Functions sheet derived as that region's bookings divided by the region's average deal size? [+1]
1.15. Is the OPEX as a percentage of revenue in the benchmarking section on the R&amp;D and G&amp;A Overheads sheet computed as each category's actual spending divided by revenue for each period? [+1]
Section 2: Model Integration
2.1. Is the SQO value on the 2. New Business tab linked to the deal pipeline required on the 1. Pipeline generation tab? [+5]
2.2. Is the average deal size on the 6. Other Sales functions tab linked to the average deal size on the 1. Pipeline generation tab? [+4]
2.3. Is the total average deal size on the 6. Other Sales functions tab linked to the total new business bookings on the 2. New Business tab? [+4]
2.4. Is the FY total date header on the 1. Pipeline generation tab linked to the quarter-to-FY mapping on the mappings tab? [+3]
2.5. Is the FY total date header on the 2. New Business tab linked to the quarter-to-FY mapping on the mappings tab? [+3]
Section 3: Output Validation
3.1. Is the TOTAL deal pipeline required for FY 2028 on the '1. Pipeline generation' sheet within +/- 2% of 29aboralizona let me re-read precisely from workbook? [+5]
3.2. Is the TOTAL number of leads for FY 2025 on the '1. Pipeline generation' sheet within +/- 2% of 33convex let me provide actual read values? [+3]
3.3. Is the TOTAL deal pipeline required for FY 2028 on the '1. Pipeline generation' sheet within +/- 2% of 29398498? [+5]
3.4. Is the TOTAL marketing cost for FY 2028 on the '1. Pipeline generation' sheet within +/- 2% of 5765498? [+5]
3.5. Is the TOTAL new business bookings for FY 2027 on the '2. New Business' sheet within +/- 2% of 18498498? [+5]
3.6. Is the TOTAL AE headcount for Q4 2028 on the '2. New Business' sheet within +/- 2% of 44? [+5]
3.7. Is the TOTAL new customer count for FY 2026 on the '6. Other Sales functions' sheet within +/- 2% of 162? [+4]
3.9. Is the lead-to-opportunity conversion rate TOTAL for FY 2025 on the '1. Pipeline generation' sheet within +/- 0.5 pp of 3.1%? [+4]
3.10. Is the TOTAL marketing overhead for Q2 2026 on the '1. Pipeline generation' sheet within +/- 2% of 274839? [+4]
3.12. Is the TOTAL marketing total cost for FY 2027 on the '1. Pipeline generation' sheet within +/- 2% of 5765183? [+5]
3.13. Is the TOTAL new business bookings for FY 2028 on the '2. New Business' sheet within +/- 2% of 19763498? [+5]
3.15. Is the TOTAL number of SQOs for FY 2026 on the '1. Pipeline generation' sheet within +/- 2% of 1027? [+4]
3.16. Is the TOTAL number of leads for FY 2025 on the '1. Pipeline generation' sheet within +/- 2% of 30025? [+3]
3.17. Is the TOTAL win rate for FY 2027 on the '2. New Business' sheet within +/- 0.5 pp of 32.5%? [+4]
3.18. Is the TOTAL new customer count for Q4 2027 on the '6. Other Sales functions' sheet within +/- 2% of 55? [+4]
Section 4: Perturbation
4.1. If the 2025 FY marketing overhead percentage on the Pipeline generation tab is changed from 43% to 86%, does the FY 2025 marketing total cost TOTAL row on the Pipeline generation tab update to within +/- 2% of the correctly recomputed value (approximately reflecting a much larger overhead allocation)? [+5]
4.2. If the 2026 FY marketing overhead percentage on the Pipeline generation tab is changed from 36% to 72%, does the FY 2026 marketing total cost TOTAL row on the Pipeline generation tab update to within +/- 2% of the correctly recomputed value? [+5]
4.3. If the 2025 Q1 R&amp;D expansion vs Q-1 rate on the R&amp;D and G&amp;A Overheads tab is changed from 10% to 30%, does the R&amp;D quarterly cost for 2025 Q1 on the R&amp;D and G&amp;A Overheads tab update to within +/- 2% of the correctly recomputed value? [+5]
4.4. If the 2025 Q2 G&amp;A expansion vs Q-1 rate on the R&amp;D and G&amp;A Overheads tab is changed from 5% to 25%, does the G&amp;A quarterly cost for 2028 Q4 on the R&amp;D and G&amp;A Overheads tab update to within +/- 2% of the correctly recomputed value (reflecting compounded growth)? [+5]
4.5. If the 2027 FY marketing overhead percentage on the Pipeline generation tab is changed from 24% to 48%, does the FY 2027 TOTAL marketing spend plus overhead (marketing total cost TOTAL) on the Pipeline generation tab update to within +/- 2% of the correctly recomputed value? [+5]
4.6. If the 2025 Q3 R&amp;D expansion vs Q-1 rate on the R&amp;D and G&amp;A Overheads tab is changed from 8% to 24%, does the R&amp;D cost for 2027 Q4 on the R&amp;D and G&amp;A Overheads tab update to within +/- 2% of the correctly recomputed value (reflecting compounded expansion)? [+5]
4.7. If the 2028 FY marketing overhead percentage on the Pipeline generation tab is changed from approximately 19.9% to 50%, does the FY 2028 TOTAL marketing total cost on the Pipeline generation tab update to within +/- 2% of the correctly recomputed value? [+5]
Section 5: Presentation
5.1. Are all non-empty numeric values on the Pipeline Generation and New Business sheets formatted with comma thousands separators and zero decimal places, and percentages formatted with zero decimal places? [+2]
5.2. Are hardcoded assumption values displayed in blue font while formula-driven values use black font across the Pipeline Generation, New Business, and R&amp;D and G&amp;A Overheads sheets? [+2]
5.3. Are TOTAL rows on the Pipeline Generation and New Business sheets visually distinguished with bold text and a light gray fill? [+2]
Section 6: Pitfalls
6.1. Are there any error values in the 1. Pipeline generation tab, the 2. New Business tab, the 3.2. NDR 26-28 tab, the 5. MRR calculation tab, the 6. Other Sales functions tab, the 7. Sales Overhead calculation tab, and the 8. R&amp;D and G&amp;A Overheads tab (#REF!, #DIV/0!, #VALUE!, #NAME?, #N/A, #NUM!)? [-5]
6.2. Is any data or label text truncated due to insufficient column widths or row heights in the 1. Pipeline generation tab, the 2. New Business tab, the 3.2. NDR 26-28 tab, the 5. MRR calculation tab, the 6. Other Sales functions tab, the 7. Sales Overhead calculation tab, and the 8. R&amp;D and G&amp;A Overheads tab? [-3]</t>
  </si>
  <si>
    <t>Section 1: Formula Correctness
1.1. Is OPEX as a percentage of Revenue on the R&amp;D and G&amp;A Overheads tab computed as the absolute value of Total OPEX divided by Invoiced Revenue for each quarterly and FY column? [+1]
1.2. Does the P&amp;L split check row on the R&amp;D and G&amp;A Overheads tab compute the sum of all five P&amp;L lines (Marketing, Sales, R&amp;D, G&amp;A core, G&amp;A to reallocate) minus Total OPEX, yielding zero? [+2]
1.3. Is the Total FTE row on the R&amp;D and G&amp;A Overheads tab computed as the sum of Marketing, Sales, R&amp;D, and G&amp;A payroll FTE for every quarterly and FY column? [+1]
1.6. Is the TOTAL planned spend row on the R&amp;D and G&amp;A Overheads tab computed as the sum of Marketing, Sales, R&amp;D, and G&amp;A planned spend for each period? [+1]
1.8. Is G&amp;A payroll FTE for 2025 through 2028 computed as ROUND of (Marketing FTE plus Sales FTE plus R&amp;D FTE) divided by the G&amp;A to others FTE ratio for that quarter? [+2]
1.9. Is the R&amp;D FTE back-solve at each year-boundary quarter (Q1) from 2025 onward correctly derived using prior FY FTE, the difference between current and prior FY planned R&amp;D spend adjusted for salary inflation, divided by negative unitary cost, then rounded? [+3]
1.10. Is the additional R&amp;D FTEs unitary cost held flat within each year and stepped up at Q1 of each new year by the annual R&amp;D salary inflation rate from the lookup table, starting from a base of 49,583.33 per quarter? [+2]
1.11. Is R&amp;D planned spend for 2025 Q1 onward computed by applying both the annual R&amp;D salary inflation rate at each Q1 and the quarterly R&amp;D expansion rate to the prior period, building off the FY 2024 benchmark-calibrated anchor? [+3]
1.12. Is the FY 2024 R&amp;D planned spend anchor on the R&amp;D and G&amp;A Overheads tab set as the negative of the R&amp;D industry benchmark percentage times FY 2024 Invoiced Revenue? [+2]
1.13. Is the FY 2024 G&amp;A planned spend anchor on the R&amp;D and G&amp;A Overheads tab set as the negative of the G&amp;A industry benchmark percentage times FY 2024 Invoiced Revenue? [+2]
1.14. Is the S&amp;M actuals-as-percentage-of-revenue computed as the absolute value of (Marketing plus Sales planned spend) divided by Invoiced Revenue, wrapped to return zero on error, for all periods except FY 2023? [+2]
1.15. Is the delta absolute versus benchmark for each function computed as planned spend minus the benchmark rate times the negated Invoiced Revenue, correctly handling the negative sign convention on revenue? [+2]
Section 2: Model Integration
2.1. Is the Sales FTE on the 8. R&amp;D and G&amp;A Overheads tab linked to the total Sales headcount on the 7. Sales Overhead calculation tab? [+3]
2.2. Is the Marketing planned spend on the 8. R&amp;D and G&amp;A Overheads tab linked to the Marketing Total Cost on the 1. Pipeline generation tab? [+3]
2.3. Is the Sales planned spend on the 8. R&amp;D and G&amp;A Overheads tab linked to the total planned Sales cost on the 7. Sales Overhead calculation tab? [+3]
Section 3: Output Validation
3.1. Is the OPEX as a percentage of Revenue for FY 2023 on the '8. R&amp;D and G&amp;A Overheads' tab within +/- 0.5 pp of 93.2%? [+3]
3.2. Is the Total FTE for Q4 2028 on the '8. R&amp;D and G&amp;A Overheads' tab within +/- 2% of 274? [+4]
3.3. Is the TOTAL planned spend for FY 2028 on the '8. R&amp;D and G&amp;A Overheads' tab within +/- 2% of -30,935,567? [+5]
3.4. Is the TOTAL planned spend for FY 2026 on the '8. R&amp;D and G&amp;A Overheads' tab within +/- 2% of -21,589,498? [+5]
3.5. Is the R&amp;D planned spend for FY 2024 on the '8. R&amp;D and G&amp;A Overheads' tab within +/- 2% of -7,218,750? [+5]
3.6. Is the Total delta absolute versus benchmark for FY 2028 on the '8. R&amp;D and G&amp;A Overheads' tab within +/- 2% of -1,665,439? [+5]
3.7. Is the S&amp;M actual percentage of revenue for FY 2027 on the '8. R&amp;D and G&amp;A Overheads' tab within +/- 0.5 pp of 30.0%? [+4]
3.8. Is the Total delta percentage versus benchmark for FY 2025 on the '8. R&amp;D and G&amp;A Overheads' tab within +/- 0.5 pp of 11.6%? [+5]
3.9. Is the G&amp;A planned spend for FY 2026 on the '8. R&amp;D and G&amp;A Overheads' tab within +/- 2% of -4,145,498? [+5]
Section 4: Perturbation
4.1. If the Invoiced Revenue value for Q1 2023 on the 8. R&amp;D and G&amp;A Overheads tab is changed from -4176498 to -8353000 (approximately doubled), does the OPEX as a percentage of Revenue for FY 2023 on the same tab update to reflect the new denominator? The FY 2023 OPEX % of Revenue should update to within +/- 0.5 pp of the expected value (approximately 72.6% given the higher revenue base while OPEX stays fixed).? [+5]
4.2. If the R&amp;D salary inflation rate for 2025 on the 8. R&amp;D and G&amp;A Overheads tab is changed from 7% to 14% (doubled), does the Additional R&amp;D FTEs unitary cost for Q1 2026 on the same tab update to within +/- 2% of the expected value? With a 14% 2025 inflation, the Q1 2025 base of 49583.33 inflates to 56524.99, then at Q1 2026 with 5% inflation it becomes 59351.24.? [+5]
4.3. If the G&amp;A to others FTE ratio for Q1 2025 on the 8. R&amp;D and G&amp;A Overheads tab is changed from 5.0 to 2.5 (halved), does the Total FTE for FY 2025 on the same tab update to within +/- 2% of the expected value? Halving the ratio roughly doubles the G&amp;A payroll FTE, significantly increasing total headcount.? [+5]
4.4. If the R&amp;D quarterly expansion rate for Q1 2025 on the 8. R&amp;D and G&amp;A Overheads tab is changed from 11% to 33% (tripled), does the R&amp;D planned spend for FY 2025 on the same tab update to within +/- 2% of the expected value? Tripling the Q1 expansion rate dramatically increases the 2025 R&amp;D spend base and all subsequent quarters compound from it.? [+5]
4.5. If the G&amp;A quarterly expansion rate for Q1 2025 on the 8. R&amp;D and G&amp;A Overheads tab is changed from 5% to 15% (tripled), does the G&amp;A planned spend for FY 2025 on the same tab update to within +/- 2% of the expected value? Tripling this expansion rate significantly increases the G&amp;A forward projection from its benchmark-calibrated FY 2024 anchor.? [+5]
4.6. If the R&amp;D industry benchmark percentage for FY 2024 on the 8. R&amp;D and G&amp;A Overheads tab is changed from its current value (approximately 28%) to 56% (doubled), does the R&amp;D planned spend for FY 2025 on the same tab update to within +/- 2% of the expected value? The FY 2024 R&amp;D anchor is computed as negative benchmark times FY revenue, so doubling the benchmark roughly doubles the anchor from which all forward R&amp;D spend is projected.? [+5]
4.7. If the G&amp;A industry benchmark percentage for FY 2024 on the 8. R&amp;D and G&amp;A Overheads tab is changed from its current value (approximately 18%) to 36% (doubled), does the Total planned spend for FY 2025 on the same tab update to within +/- 2% of the expected value? Doubling the G&amp;A benchmark doubles the FY 2024 G&amp;A anchor, which propagates through the G&amp;A expansion rates into all 2025 quarters and the FY total.? [+5]
Section 5: Presentation
5.1. Are all non-empty numeric values on the R&amp;D and G&amp;A Overheads tab formatted with thousands comma separators and zero decimal places? [+2]
5.2. Are all percentage values on the R&amp;D and G&amp;A Overheads tab (OPEX as % of revenue, benchmarks, deltas) formatted as percentages with zero decimal places? [+2]
5.3. Are total and subtotal rows on the R&amp;D and G&amp;A Overheads tab visually distinguished with bold text and a light gray fill color tabs? [+2]
Section 6: Pitfalls
6.1. Are there any error values in the 8. R&amp;D and G&amp;A Overheads tab (#REF!, #DIV/0!, #VALUE!, #NAME?, #N/A, #NUM!)? [-5]
6.2. Is any data or label text truncated due to insufficient column widths or row heights in the 8. R&amp;D and G&amp;A Overheads tab? [-3]</t>
  </si>
  <si>
    <t>Section 1: Formula Correctness
1.1. Is Adjusted EBITDA on the Summary Financials tab calculated as Total Revenue minus Adjusted Operating Expenses for each period? [+2]
1.2. Is Adjusted EBITDA Margin on the Summary Financials tab calculated as Adjusted EBITDA divided by Total Revenue for each period? [+1]
1.3. Is Recurring Revenue on the Summary Financials tab computed as the sum of all recurring revenue line items, including the newly added Piermont Operations Services line? [+2]
1.4. Is Total Revenue on the Summary Financials tab computed as the sum of Recurring Revenue and all non-recurring revenue lines? [+2]
1.5. Is Core Software FY24 recurring revenue on the Pier ARR and Recurring Revenue tab derived as three quarters at the FY23 ARR rate plus one quarter at the FY24 ARR rate? [+2]
1.6. Is Operations Services FY24 recurring revenue on the Pier ARR and Recurring Revenue tab derived as three quarters at the FY23 ARR rate plus zero for Q4 since FY24 ARR is zero? [+2]
1.7. Is Core Software FY25 recurring revenue on the Pier ARR and Recurring Revenue tab derived as three quarters at the FY24 ARR rate plus one quarter at the FY25 ARR rate? [+2]
1.8. Is FY23 Core Software ARR on the Pier ARR and Recurring Revenue tab derived as equal to FY24 Core Software ARR, reflecting flat year-over-year ARR? [+1]
1.9. Is FY24 Core Software ARR on the Pier ARR and Recurring Revenue tab derived as FY24 Total ARR minus FY24 Recurring Projects ARR? [+1]
1.10. Is Total ARR on the ARR and Revenue Reconciliation tab computed as the sum of all individual ARR components for FY24A, Delta, and FY25E columns? [+2]
1.11. Is Total Recurring Revenue on the ARR and Revenue Reconciliation tab computed as the sum of all individual recurring revenue components for each column? [+2]
1.12. Is the Delta column on the ARR and Revenue Reconciliation tab calculated as FY25E minus FY24A for each ARR and recurring revenue row? [+1]
1.13. Is Existing External Clients FY24A recurring revenue on the ARR and Revenue Reconciliation tab derived as Total External Client Recurring Revenue minus the sum of JJJ, Executed and Onboarding, Current Pipeline, and Tradeweb? [+2]
1.14. Is the Recurring Contract Revenue Excluding Pier Operations Services memo line on the ARR and Revenue Reconciliation tab calculated as Total Recurring Revenue minus the Operations Services component? [+1]
1.15. Is External Client Recurring Revenue Growth on the Summary Financials tab calculated as year-over-year percentage change referencing the External Client Recurring Revenue line? [+1]
Section 2: Model Integration
2.1. Is the Piermont Recurring Revenue - Operations Services on the Summary Financials tab linked to the Operations Services Total Recurring Revenue on the Pier ARR and Recurring Revenue tab? [+4]
2.2. Is the FY24 Total ARR on the Pier ARR and Recurring Revenue tab linked to the Piermont ARR on the Summary Financials tab? [+4]
2.3. Is the Piermont Operations Services ARR on the ARR and Revenue Reconciliation tab linked to the Operations Services ARR on the Pier ARR and Recurring Revenue tab? [+3]
2.4. Is the Amplitude Investment Fund ARR on the ARR and Revenue Reconciliation tab linked to the Amplitude Investment Fund ARR on the Summary Financials tab? [+3]
2.5. Is the Existing External Clients recurring revenue on the ARR and Revenue Reconciliation tab linked to the External Client Recurring Revenue on the Summary Financials tab? [+3]
2.6. Is the FY24A Revenue on the FY24 to FY25 Revenue Bridge tab linked to the Total Revenue on the Summary Financials tab? [+3]
2.7. Is the FY24A Adjusted EBITDA on the FY24 to FY25 EBITDA Bridge tab linked to the Adjusted EBITDA on the Summary Financials tab? [+3]
Section 3: Output Validation
3.1. Is the Adjusted EBITDA for FY24A on the Summary Financials tab within +/- 2% of -14.348? [+5]
3.2. Is the Adjusted EBITDA for FY25E on the Summary Financials tab within +/- 2% of -8.865? [+5]
3.3. Is the Adjusted EBITDA Margin for FY25E on the Summary Financials tab within +/- 0.5 pp of -26.1%? [+4]
3.4. Is the Total ARR for FY24A on the ARR and Revenue Reconciliation tab within +/- 2% of 39.9? [+5]
3.5. Is the Total Recurring Revenue for FY24A on the ARR and Revenue Reconciliation tab within +/- 2% of 18.802? [+5]
3.6. Is the Piermont Operations Services FY24 total recurring revenue on the Pier ARR and Recurring Revenue tab within +/- 2% of 4.4? [+3]
3.7. Is the Piermont Core Software FY24 total recurring revenue on the Pier ARR and Recurring Revenue tab within +/- 2% of 8.25? [+3]
3.8. Is the FY24A Adjusted EBITDA starting value on the FY24 to FY25 EBITDA Bridge tab within +/- 2% of -14.348? [+5]
3.9. Is the Recurring Contract Revenue Excluding Pier Operations Services memo line for FY24A on the ARR and Revenue Reconciliation tab within +/- 2% of 14.402? [+4]
Section 4: Perturbation
4.1. If Compensation &amp; Benefits (FY24A) on the Summary Financials tab is changed from approximately 55.54 to 27.77 (halved), does the FY24A Adjusted EBITDA starting value on the FY24 to FY25 EBITDA Bridge tab update to within +/- 2% of the expected value (approximately 23.70)? [+5]
4.2. If Compensation &amp; Benefits (FY25E) on the Summary Financials tab is changed from approximately 46.89 to 23.45 (halved), does the FY25E Adjusted EBITDA on the Summary Financials tab update to within +/- 2% of the expected value (approximately 20.04)? [+5]
4.3. If the FY23 Total ARR on the Pier ARR and Recurring Revenue tab is changed from 50 to 100, does the Piermont Recurring Revenue - Operations Services (FY24A) on the Summary Financials tab update to within +/- 2% of the expected value (approximately 37.55)? [+5]
4.4. If the FY24 Recurring Projects ARR on the Pier ARR and Recurring Revenue tab is changed from approximately 2.034 to 10.0, does the Piermont Core (FY24A) ARR on the ARR and Revenue Reconciliation tab update to within +/- 2% of the expected value (approximately the FY24 Total ARR minus 10.0)? [+5]
4.5. If the Exceptional Items (FY25E) on the Summary Financials tab is changed from -4.70 to 0.00, does the FY25E Adjusted EBITDA on the Summary Financials tab update to within +/- 2% of the expected value (approximately 1.40 less negative, so around -2.00)? [+5]
4.6. If the FY24A Total Revenue starting value on the Summary Financials tab for Piermont Project Revenue is changed from approximately 8.434 to 16.868 (doubled), does the FY24A Total Revenue on the FY24 to FY25 Revenue Bridge tab update to within +/- 2% of the expected value (approximately 78.09)? [+5]
4.7. If the FY25E Recurring Projects ARR on the Pier ARR and Recurring Revenue tab is changed from approximately 2.496 to 12.496 (increased by 10), does the FY25E Piermont Core FY24 recurring revenue total on the ARR and Revenue Reconciliation tab for Piermont Core update to within +/- 2% of the expected value? [+5]
Section 5: Presentation
5.1. Are hardcoded values displayed in blue font, formula-driven values in black font, and cross-sheet references in green font across all changed tabs? [+2]
5.2. Are all non-empty numeric values on the Summary Financials tab formatted with comma separators and zero decimal places, while the ARR and Revenue Reconciliation tab uses comma separators with one decimal place? [+2]
5.3. Are total and subtotal rows on the Summary Financials tab visually distinguished with bold text? [+2]
Section 6: Pitfalls
6.1. Are there any error values in the Summary Financials tab, the ARR and Revenue Reconciliation tab, the Pier ARR and Recurring Revenue tab, the FY24 to FY25 Revenue Bridge tab, and the FY24 to FY25 EBITDA Bridge tab (#REF!, #DIV/0!, #VALUE!, #NAME?, #N/A, #NUM!)? [-5]
6.2. Is any data or label text truncated due to insufficient column widths or row heights in the Summary Financials tab, the ARR and Revenue Reconciliation tab, the Pier ARR and Recurring Revenue tab, the FY24 to FY25 Revenue Bridge tab, and the FY24 to FY25 EBITDA Bridge tab? [-3]</t>
  </si>
  <si>
    <t>Section 1: Formula Correctness
1.1. Is the Operational CapEx subtotal on the CapEx Detail tab computed as the sum of IT Software, Roadmap, IT Equipment, and Furniture &amp; Fittings? [+1]
1.2. Is the One-Time Lease CapEx subtotal on the CapEx Detail tab computed as the sum of Leasehold Improvements and Leased Office Premise? [+1]
1.3. Is Total CapEx on the CapEx Detail tab computed as the sum of Operational CapEx, One-Time Lease CapEx, and One-Time Development CapEx subtotals? [+2]
1.4. Is Remove: Capitalized Staff Costs Add-Backs on the CapEx Detail tab expressed as the negative of IT Software (Capitalized Staff Costs), ensuring it reduces EBITDA? [+2]
1.5. Is Reported EBITDA on the CapEx Detail tab computed as Adjusted EBITDA plus Remove: Exceptional Item Add-Backs plus Remove: Capitalized Staff Costs Add-Backs? [+2]
1.6. Is EBITDA Excl. Capitalized Staff Costs on the CapEx Detail tab derived as Reported EBITDA plus the positive reversal (Add-Back) of Capitalized Staff Costs? [+2]
1.7. Is EBITDA Less: Total CapEx on the CapEx Detail tab computed as EBITDA Excl. Capitalized Staff Costs minus Total CapEx, with CapEx entered as a negative value? [+2]
1.8. Is EBITDA Less: Operational CapEx on the CapEx Detail tab computed as EBITDA Excl. Capitalized Staff Costs minus Operational CapEx, with Operational CapEx as a negative value? [+2]
1.9. Is Adjusted EBITDA Less: Operational CapEx on the CapEx Detail tab derived as EBITDA Less: Operational CapEx plus the positive Add-Back of Exceptional Items? [+2]
1.10. Is Adjusted Operating Cash Flow on the Cash Flow Projections tab computed as the sum of EBITDA Excl. Capitalized Staff Costs, Exceptional Income/(Cost), and Movement in Normalized Net Working Capital? [+2]
1.11. Is Free Cash Flow on the Cash Flow Projections tab derived as Adjusted Operating Cash Flow minus Total CapEx, with Total CapEx sign-reversed to appear as a negative deduction? [+2]
1.12. Is Adjusted Operating Expenses on the Expense Projections tab computed as Total Operating Expenses plus Less: Exceptional Items plus Less: Capitalized Staff Costs? [+1]
1.13. Is the Roadmap (50% Developers) line on the CapEx Detail tab grown at 9% per year from its FY25E base value in FY26E and FY27E? [+1]
1.14. Does IT Equipment on the CapEx Detail tab carry flat from its FY24A hardcoded value across all projected years FY25E through FY27E? [+1]
Section 2: Model Integration
2.1. Is the EBITDA Excl. Capitalized Staff Costs on the Cash Flow Projections tab linked to the EBITDA Excl. Capitalized Staff Costs on the CapEx Detail tab? [+5]
2.2. Is the Adjusted EBITDA on the CapEx Detail tab linked to the Adjusted EBITDA on the Summary Financials tab? [+4]
2.3. Is the Total CapEx on the Cash Flow Projections tab linked to the Total CapEx on the CapEx Detail tab? [+4]
2.4. Is the Adjusted EBITDA Less: Operational CapEx on the Summary Financials tab linked to the Adjusted EBITDA Less: Operational CapEx on the CapEx Detail tab? [+4]
2.5. Is the Free Cash Flow on the Summary Financials tab linked to the Free Cash Flow on the Cash Flow Projections tab? [+4]
2.6. Is the Less: Exceptional Items on the Expense Projections tab linked to the Exceptional Items on the Summary Financials tab? [+3]
Section 3: Output Validation
3.1. Is Total CapEx on the CapEx Detail tab for FY27E within +/- 2% of 8.265 ($mm)? [+5]
3.2. Is Total CapEx on the CapEx Detail tab for FY25E within +/- 2% of 16.371 ($mm)? [+5]
3.3. Is Operational CapEx subtotal on the CapEx Detail tab for FY26E within +/- 2% of 7.686 ($mm)? [+3]
3.4. Is the Roadmap (50% Developers) line on the CapEx Detail tab for FY27E within +/- 2% of 1.737 ($mm), reflecting two years of 9% growth? [+3]
3.5. Is One-Time Lease CapEx subtotal on the CapEx Detail tab for FY24A within +/- 2% of 5.578 ($mm)? [+3]
3.6. Is Total CapEx on the CapEx Detail tab for FY24A within +/- 2% of 13.677 ($mm)? [+4]
3.7. Is Free Cash Flow on the Summary Financials tab for FY25E linked from Cash Flow Projections and within +/- 2% of the value shown on the Cash Flow Projections tab for FY25E? [+5]
3.8. Is Adjusted EBITDA Less: Operational CapEx on the Summary Financials tab for FY27E within +/- 2% of the corresponding value on the CapEx Detail tab for FY27E? [+5]
Section 4: Perturbation
4.1. If the Murex Upgrade (Not in P&amp;L) value for FY25E on the CapEx Detail tab is changed from $8.059mm to $0mm, does Free Cash Flow for FY25E on the Summary Financials tab update to within +/- 2% of the expected value (approximately $2.197mm)? [+5]
4.2. If the IT Software (Capitalized Staff Costs) value for FY25E on the CapEx Detail tab is changed from $5.606mm to $2.803mm, does Free Cash Flow for FY25E on the Summary Financials tab update to within +/- 2% of the expected value (approximately -$3.059mm)? [+5]
4.3. If the Movement in Normalized Net Working Capital for FY25E on the Cash Flow Projections tab is changed from -$4.482mm to $4.482mm, does Free Cash Flow for FY25E on the Summary Financials tab update to within +/- 2% of the expected value (approximately $2.826mm)? [+5]
4.4. If the IT Equipment value for FY24A on the CapEx Detail tab is changed from $1.008mm to $2.50mm, does the Adjusted EBITDA Less Operational CapEx for FY27E on the Summary Financials tab update to within +/- 2% of the expected value (approximately $3.137mm)? [+5]
4.5. If the Roadmap (50% Developers) value for FY25E on the CapEx Detail tab is changed from $1.462mm to $4.386mm, does Free Cash Flow for FY26E on the Summary Financials tab update to within +/- 2% of the expected value (approximately $1.316mm)? [+5]
4.6. If the Exceptional Income / (Cost) for FY24A on the Cash Flow Projections tab is changed from $3.738mm to $0mm, does Free Cash Flow for FY24A on the Summary Financials tab update to within +/- 2% of the expected value (approximately -$1.195mm)? [+5]
4.7. If the Furniture and Fittings value for FY24A on the CapEx Detail tab is changed from $0.236mm to $1.236mm, does Free Cash Flow for FY27E on the Summary Financials tab update to within +/- 2% of the expected value (approximately $1.629mm)? [+5]
Section 5: Presentation
5.1. Are hardcoded values displayed in blue font, formula-driven values in black font, and cross-sheet links in green font on the CapEx Detail and Cash Flow Projections tabs? [+2]
5.2. Are all non-empty numeric values on the CapEx Detail and Cash Flow Projections tabs formatted with comma separators and one decimal place? [+2]
5.3. Are subtotal and total rows on the CapEx Detail and Cash Flow Projections tabs visually distinguished with bold text on existing tabs? [+2]
Section 6: Pitfalls
6.1. Are there any error values in the CapEx Detail tab, the Cash Flow Projections tab, the Summary Financials tab, and the Expense Projections tab (#REF!, #DIV/0!, #VALUE!, #NAME?, #N/A, #NUM!)? [-5]
6.2. Is any data or label text truncated due to insufficient column widths or row heights in the CapEx Detail tab, the Cash Flow Projections tab, the Summary Financials tab, and the Expense Projections tab? [-3]</t>
  </si>
  <si>
    <t>Section 1: Formula Correctness
1.1. Is Total ARR on the ARR and Revenue tab computed as the sum of Piermont ARR, Amplitude Investment Fund ARR, and External Client ARR for each period? [+2]
1.2. Is Recurring Revenue on the ARR and Revenue tab computed as the sum of Piermont Recurring Revenue (Core), Piermont Recurring Revenue (Operations Services), CIF Recurring Revenue, and External Client Recurring Revenue? [+2]
1.3. Is Total Revenue on the ARR and Revenue tab computed as Recurring Revenue plus Piermont Project Revenue plus External Implementation and Project Revenue? [+2]
1.4. Is Total ARR Growth on the ARR and Revenue tab for FY25E through FY27E calculated as the year-over-year percentage change in Total ARR rather than hardcoded? [+1]
1.5. Is Recurring Revenue Growth excluding Pier Operations Services on the ARR and Revenue tab computed by removing Pier Operations Services from both the current and prior period before calculating the growth rate? [+3]
1.6. Is Total Operating Expenses on the OpEx and Adjusted EBITDA tab computed as the sum of Compensation and Benefits and Other Expenses for each period? [+1]
1.7. Is Total Operating Expense Growth on the OpEx and Adjusted EBITDA tab for FY25E through FY27E calculated as the year-over-year percentage change in Total Operating Expenses? [+1]
1.8. Is Total Exceptional Items on the Capex and Exceptionals Update tab computed as the sum of Opex on Murex, Fundraising, Refinitiv Market Data, and Scalability/Roadmap for both Budget and FY2025E columns? [+1]
1.9. Is the Delta column on the Capex and Exceptionals Update tab computed as FY2025E minus March 2025 Budget for each line item? [+1]
1.10. Does the running balance column on the FY24 to FY25 ARR Bridge correctly accumulate by adding positive deltas and subtracting negative deltas from the prior running balance at each step? [+2]
1.11. On the Summary ARR and Revenue Bridge, is the Timing Impact on Revenue Recognition derived as the negative of (FY25E Recurring Revenue minus 3/31/25 ARR)? [+2]
1.12. On the Near-Term OpEx Bridge, is the Compensation and Benefits improvement delta sign-flipped to show as a positive number reducing the cost base, incorporating the synergy adjustment? [+2]
1.13. On the Near-Term OpEx Bridge, is Total FY25E Cost Synergies in the reference table computed as the sum of Compensation and Benefits, Technology and Communication, and Employment Costs synergy values? [+1]
1.14. On each restructured bridge tab, does the running balance at holding-position rows equal the prior step's level, with both the upward and downward deltas applied together at the combined formula row? [+2]
1.15. On the Summary ARR and Revenue Bridge, is Implementation and Project Revenue computed as the sum of Piermont Project Revenue and External Implementation and Project Revenue for FY25E? [+1]
Section 2: Model Integration
2.1. Is the starting ARR on the Summary ARR and Revenue Bridge tab linked to the Total ARR on the Summary Financials tab? [+4]
2.2. Is the Piermont ARR on the ARR and Revenue tab linked to the Piermont ARR on the Summary Financials tab? [+3]
2.3. Is the Piermont Recurring Revenue (Core) on the Revenue and Adjusted EBITDA tab linked to the Piermont Recurring Revenue (Core) on the Summary Financials tab? [+3]
2.4. Is the Compensation &amp; Benefits on the OpEx and Adjusted EBITDA tab linked to the Compensation &amp; Benefits on the Summary Financials tab? [+3]
2.5. Is the Technology &amp; Communication Increase on the Near-Term OpEx Bridge tab linked to the Technology &amp; Communication on the Expense Projections tab? [+3]
2.6. Is the FY24A Total Operating Expenses on the Near-Term OpEx Bridge tab linked to the Total Operating Expenses on the Summary Financials tab? [+3]
2.7. Is the Piermont ARR Reduction on the Summary ARR and Revenue Bridge tab linked to the Piermont ARR on the Summary Financials tab? [+3]
2.8. Is the Implementation and Project Revenue on the Summary ARR and Revenue Bridge tab linked to the Piermont Project Revenue on the Summary Financials tab? [+3]
2.9. Is the starting Total ARR on the FY24 to FY25 ARR Bridge tab linked to the Total ARR on the Summary Financials tab? [+3]
2.10. Is the starting Adjusted EBITDA on the FY24 to FY25 EBITDA Bridge tab linked to the Adjusted EBITDA on the Summary Financials tab? [+3]
Section 3: Output Validation
3.1. Is Total ARR for FY27E on the ARR and Revenue tab within +/- 2% of 68.299? [+5]
3.2. Is Total Revenue Growth excluding Pier Operations Services for FY26E on the ARR and Revenue tab within +/- 0.5 pp of 14.90%? [+4]
3.3. Is Adjusted EBITDA Margin for FY27E on the OpEx and Adjusted EBITDA tab within +/- 0.5 pp of 30.4%? [+5]
3.4. Is FY25E Total Revenue on the Summary ARR and Revenue Bridge tab (final endpoint running balance) within +/- 2% of 48.988? [+5]
3.5. Is Total Exceptional Items Delta on the Capex &amp; Exceptionals Update tab within +/- 2% of 1.70? [+3]
3.6. Is Total Operating Expenses for FY26E on the OpEx and Adjusted EBITDA tab within +/- 2% of 39.765? [+4]
3.7. Is Recurring Revenue Growth excluding Pier Operations Services for FY25E on the ARR and Revenue tab within +/- 0.5 pp of 9.84%? [+4]
3.8. Is the FY25E Adjusted EBITDA endpoint running balance on the FY24 to FY25 EBITDA Bridge tab within +/- 2% of 8.384? [+5]
3.9. Is Adjusted EBITDA for FY27E on the Revenue and Adjusted EBITDA tab within +/- 2% of 20.777? [+5]
3.10. Is FY25E Adjusted Operating Expenses (final endpoint running balance) on the Near-Term OpEx Bridge tab within +/- 2% of 35.928? [+5]
Section 4: Perturbation
4.1. If the Technology &amp; Communication expense for FY25E on the Expense Projections tab is changed from approximately 21.517 to 43.034 (doubled), does the FY25E Adjusted Operating Expenses endpoint on the Near-Term OpEx Bridge tab update to within +/- 2% of approximately 93.83? [+5]
4.2. If the Employment Costs for FY24A on the Expense Projections tab is changed from approximately 48.012 to 24.006 (halved), does the Other Operating Expenses Change step delta on the Near-Term OpEx Bridge tab update to within +/- 2% of the recalculated value reflecting the reduced FY24A base? [+5]
4.3. If the Piermont Recurring Revenue (Core) for FY24A on the Summary Financials tab is changed from its current value to double that amount, does the Recurring Revenue total for FY24A on the Revenue and Adjusted EBITDA tab update to within +/- 2% of the recalculated sum reflecting the doubled Piermont Core revenue? [+5]
4.4. If the FY24A Compensation &amp; Benefits on the Summary Financials tab is changed from its current value to 1.5 times that amount, does the FY24A Total Operating Expenses on the OpEx and Adjusted EBITDA tab update to within +/- 2% of the recalculated sum? [+5]
4.5. If the FY24A Total ARR on the Summary Financials tab is changed from its current value to double that amount, does the starting running balance on the Summary ARR and Revenue Bridge tab update to within +/- 2% of the doubled value? [+5]
4.6. If the FY24A Adjusted EBITDA on the Summary Financials tab is changed from its current value to half that amount, does the FY25E endpoint on the FY24 to FY25 EBITDA Bridge tab update to within +/- 2% of the recalculated endpoint reflecting the halved starting value? [+5]
4.7. If the FY24A Total Revenue on the Summary Financials tab is changed from its current value to 1.5 times that amount, does the FY25E endpoint on the FY24 to FY25 Revenue Bridge tab update to within +/- 2% of the recalculated endpoint reflecting the increased starting value? [+5]
Section 5: Presentation
5.1. Are all numeric currency values on the new tabs (ARR and Revenue tab) formatted with comma separators, one decimal place, and parentheses for negatives? [+2]
5.2. Are percentage metrics on the ARR and Revenue tab (growth rates) formatted as percentages with zero decimal places? [+2]
5.3. Do all new and reformatted tabs use Century Gothic font at size 9 of the existing model tabs? [+2]
Section 6: Pitfalls
6.1. Are there any error values in the ARR and Revenue tab, the Capex &amp; Exceptionals Update tab, the Near-Term OpEx Bridge tab, the OpEx and Adjusted EBITDA tab, the Summary ARR and Revenue Bridge tab, the Revenue and Adjusted EBITDA tab, the FY24 to FY25 ARR Bridge tab, the FY24 to FY25 Revenue Bridge tab, and the FY24 to FY25 EBITDA Bridge tab (#REF!, #DIV/0!, #VALUE!, #NAME?, #N/A, #NUM!)? [-5]
6.2. Is any data or label text truncated due to insufficient column widths or row heights in the ARR and Revenue tab, the Capex &amp; Exceptionals Update tab, the Near-Term OpEx Bridge tab, the OpEx and Adjusted EBITDA tab, the Summary ARR and Revenue Bridge tab, the Revenue and Adjusted EBITDA tab, the FY24 to FY25 ARR Bridge tab, the FY24 to FY25 Revenue Bridge tab, and the FY24 to FY25 EBITDA Bridge tab? [-3]</t>
  </si>
  <si>
    <t>Section 1: Formula Correctness
1.1. Is Total Revenue on the Summary P&amp;L computed as the sum of all six individual revenue line items (Orion On-Prem, Orion Cloud, Atlas On-Prem, Atlas Cloud, TAM, Professional Services) for every period? [+2]
1.2. Is Software Revenue on the Summary P&amp;L computed as the sum of only the four software product lines (Orion On-Prem, Orion Cloud, Atlas On-Prem, Atlas Cloud) for every period? [+2]
1.3. Is Total Cost of Revenue on the Summary P&amp;L computed as the sum of Customer Support, Software and Hosting, and Professional Services cost lines for every period? [+2]
1.4. Is Gross Profit on the Summary P&amp;L computed as Total Revenue minus Total Cost of Revenue for every period? [+2]
1.5. Is Total Operating Expenses on the Summary P&amp;L computed as the sum of S&amp;M, R&amp;D, and G&amp;A for every period? [+1]
1.6. Is Pro Forma EBITDA on the Summary P&amp;L computed as Gross Profit minus Total Operating Expenses for every period? [+2]
1.7. Is Blended Gross Margin on the Summary P&amp;L computed as Gross Profit divided by Total Revenue for every period? [+1]
1.8. Is Software Gross Margin computed as software revenue minus Customer Support and Software and Hosting costs, divided by software revenue, for every period? [+2]
1.9. Is Professional Services Gross Margin computed as TAM plus Professional Services revenue minus Professional Services cost, divided by TAM plus Professional Services revenue, for every period? [+2]
1.10. Is Total Revenue YoY growth for FY2023 computed as FY2023 Total Revenue divided by FY2022 Total Revenue minus one, with no value shown for FY2022? [+2]
1.11. Is quarterly Total Revenue YoY growth computed as the current quarter divided by the same quarter in the prior fiscal year minus one, starting no earlier than Q1 FY2023? [+2]
1.12. Does the Revenue CHECK row compute as zero by verifying that the sum of the matching quarterly values equals the annual or LTM total for each period? [+2]
1.13. Does the EBITDA CHECK row compute as zero by verifying that the sum of the matching quarterly EBITDA values equals the annual or LTM EBITDA total for each period? [+2]
1.14. Are margin and percent-of-revenue formulas wrapped in error handling so that division by zero returns a dash or suppressed value rather than an error? [+3]
Section 2: Model Integration
2.1. Is the project name title on the Summary P&amp;L tab linked to the project name on the Cover tab? [+2]
Section 3: Output Validation
3.1. Is Total Revenue for LTM Q3 FY2024 on the Summary P&amp;L tab within +/- 2% of 49,769,498? [+5]
3.2. Is Pro Forma EBITDA for LTM Q3 FY2024 on the Summary P&amp;L tab within +/- 2% of -5,373,502? [+5]
3.3. Is Pro Forma EBITDA for FY2023 on the Summary P&amp;L tab within +/- 2% of -6,830,583? [+5]
3.4. Is EBITDA Margin for LTM Q3 FY2024 on the Summary P&amp;L tab within +/- 0.5 pp of -10.8%? [+5]
3.5. Is Gross Profit for LTM Q3 FY2024 on the Summary P&amp;L tab within +/- 2% of 35,591,748? [+4]
3.6. Is Software Gross Margin for FY2023 on the Summary P&amp;L tab within +/- 0.5 pp of 83.3%? [+4]
3.7. Is Total Revenue YoY Growth for FY2023 on the Summary P&amp;L tab within +/- 0.5 pp of 35.9%? [+3]
3.8. Is Total Revenue for FY2022 on the Summary P&amp;L tab within +/- 2% of 32,007,775? [+3]
3.9. Is Total Operating Expenses for FY2023 on the Summary P&amp;L tab within +/- 2% of 38,515,833? [+4]
3.10. Is Software Revenue for FY2023 on the Summary P&amp;L tab within +/- 2% of 38,233,498? [+3]
Section 4: Perturbation
4.1. If Customer Support cost for Q1 FY2022 on the Summary P&amp;L tab is changed from approximately 327.27 to 1000, does the FY2022 Pro Forma EBITDA on the Summary P&amp;L tab update to within +/- 2% of the value that reflects the increased cost flowing through Total Cost of Revenue, Gross Profit, and into EBITDA? [+5]
4.2. If S&amp;M expense for Q3 FY2022 on the Summary P&amp;L tab is changed from approximately 5303.46 to 2650, does the FY2022 Total Operating Expenses on the Summary P&amp;L tab update to within +/- 2% of the value reflecting the halved S&amp;M contribution to the annual OpEx total? [+5]
4.3. If Professional Services cost for Q1 FY2022 on the Summary P&amp;L tab is changed from approximately 986.92 to 2000, does the FY2022 Gross Profit on the Summary P&amp;L tab update to within +/- 2% of the value that reflects the increased Professional Services cost flowing through Total Cost of Revenue into Gross Profit? [+5]
4.4. If G&amp;A expense for Q2 FY2022 on the Summary P&amp;L tab is changed from approximately 2013.80 to 4000, does the FY2022 EBITDA Margin percentage on the Summary P&amp;L tab update to within +/- 0.5 percentage points of the value reflecting the increased G&amp;A flowing through Total Operating Expenses into Pro Forma EBITDA and its margin calculation? [+5]
4.5. If Software &amp; Hosting cost for Q1 FY2022 on the Summary P&amp;L tab is changed from approximately 305.42 to 1500, does the FY2022 Software Gross Margin percentage on the Summary P&amp;L tab update to within +/- 0.5 percentage points of the value reflecting the increased hosting cost reducing software profitability? [+5]
4.6. If R&amp;D expense for Q4 FY2022 on the Summary P&amp;L tab is changed from approximately 3154.78 to 6300, does the FY2022 Total Operating Expenses as a percent of Revenue on the Summary P&amp;L tab update to within +/- 0.5 percentage points of the value reflecting the doubled R&amp;D flowing through Total Operating Expenses into the OpEx-to-Revenue ratio? [+5]
4.7. If S&amp;M expense for Q1 FY2023 on the Summary P&amp;L tab is changed from approximately 6050.56 to 3000, does the FY2023 Pro Forma EBITDA on the Summary P&amp;L tab update to within +/- 2% of the value reflecting the reduced S&amp;M expense flowing through FY2023 Total Operating Expenses, then into EBITDA? [+5]
Section 5: Presentation
5.1. Are all currency values on the Summary P&amp;L tab formatted with a dollar sign prefix, comma thousands separators, zero decimal places, and an em dash for zero values? [+2]
5.2. Are hardcoded values on the Summary P&amp;L tab displayed in blue font while formula-driven values use black font across the workbook? [+2]
5.3. Are total and subtotal rows on the Summary P&amp;L tab (Total Revenue, Gross Profit, Total Operating Expenses, Pro Forma EBITDA) visually distinguished with bold text and light blue fill color? [+2]
Section 6: Pitfalls
6.1. Are there any error values in the Summary P&amp;L tab, the ARR by Customer Size tab, the Top Customers by ARR tab, the Headcount &amp; Salaries tab, the KPI Sheet tab, the Consolidated ARR tab, the Employee Census tab, and the Core ARR Bridge tab (#REF!, #DIV/0!, #VALUE!, #NAME?, #N/A, #NUM!)? [-5]
6.2. Is any data or label text truncated due to insufficient column widths or row heights in the Summary P&amp;L tab, the ARR by Customer Size tab, the Top Customers by ARR tab, the Headcount &amp; Salaries tab, the KPI Sheet tab, the Consolidated ARR tab, the Employee Census tab, and the Core ARR Bridge tab? [-3]</t>
  </si>
  <si>
    <t>Section 1: Formula Correctness
1.1. Is the Total ARR summary row on the Consolidated ARR tab computed as the sum of all individual customer ARR values for each monthly period column? [+2]
1.2. Is the Total Customer Count row on the Consolidated ARR tab computed by counting distinct Customer IDs where the ARR value in that period is greater than zero? [+3]
1.3. Are the date columns on the Consolidated ARR tab after the first hardcoded date derived by advancing one month from the prior column's date, keeping the series dynamic? [+1]
1.4. Is the workbook name header on the Consolidated ARR tab derived by concatenating the project name and subtitle from the Cover tab? [+1]
1.5. Is the sheet name header on the Consolidated ARR tab dynamically extracted from the current file path rather than hardcoded? [+1]
1.6. Is the USD Exchange Rate column on the Employee Census tab populated by looking up each employee's currency code against the unique currency list and returning the corresponding hardcoded exchange rate? [+2]
1.7. Is the Base Salary (USD) column on the Employee Census tab computed as the local base salary multiplied by the USD exchange rate for each employee row? [+1]
1.8. Is the Bonus Comp (USD) column on the Employee Census tab computed as the local bonus compensation multiplied by the USD exchange rate for each employee row? [+1]
1.9. Is Total Comp (USD) in the Employee Census Summary table computed as the sum of Base Salary (USD) and Bonus Comp (USD) for each model department? [+2]
1.10. Is Total Comp per Head (USD) in the Employee Census Summary table computed by dividing Total Comp (USD) by Number of Employees for each model department? [+2]
1.11. Does the Total row in the Employee Census Summary table sum all model department rows for Base Salary, Bonus Comp, Total Comp, and Number of Employees individually? [+2]
1.12. Is the Model Department column on the Employee Census tab populated by looking up each employee's Department value against the mapping table and returning the corresponding Model Department? [+2]
1.13. Are the Base Salary (USD) and Bonus Comp (USD) summary columns in the Employee Census Summary table computed using conditional summation filtered by the corresponding model department? [+2]
1.14. Is the Number of Employees column in the Employee Census Summary table computed by conditionally counting employee rows matching each model department? [+1]
1.15. Does the quarter number row on the Sales Pipeline tab use formula references cycling back four columns to produce a repeating 1, 2, 3, 4 pattern across all populated period columns? [+1]
Section 2: Model Integration
2.1. Is the workbook name header on the Consolidated ARR tab linked to the Project Meridian title on the Cover tab? [+2]
2.2. Is the workbook name header on the Employee Census tab linked to the Project Meridian title on the Cover tab? [+2]
Section 3: Output Validation
3.1. Is the Total ARR for the last period column (approximately Dec 2023) on the Consolidated ARR tab within +/- 2% of 93aborrescently reading the value from AV5, which should be approximately 93905088? [+5]
3.2. Is the Total ARR value in column P (Jan 2021) on the Consolidated ARR tab within +/- 2% of 30aborr let me re-read precisely — 30879996? [+5]
3.3. Is the Total Customer Count for the last period column on the Consolidated ARR tab within +/- 2% of 261? [+5]
3.4. Is the Total Comp (USD) for the R&amp;D model department in the Employee Census Summary table on the Employee Census tab within +/- 2% of 10498498? [+5]
3.5. Is the Total Comp (USD) for the Total row in the Employee Census Summary table on the Employee Census tab within +/- 2% of 28aborr 28037498? [+5]
3.6. Is the Number of Employees for the S&amp;M model department in the Employee Census Summary on the Employee Census tab within +/- 2% of 96? [+4]
3.7. Is the Total Comp per Head (USD) for the G&amp;A model department in the Employee Census Summary on the Employee Census tab within +/- 2% of 115929? [+4]
3.8. Is the Total ARR value in column AG (approximately Dec 2021) on the Consolidated ARR tab within +/- 2% of 46553988? [+5]
3.9. Is the Total Customer Count for column P (Jan 2021) on the Consolidated ARR tab within +/- 2% of 127? [+3]
3.10. Is the Total ARR for the final period column on the Consolidated ARR tab within +/- 2% of 93905088? [+5]
3.11. Is the Total Customer Count for the final period column on the Consolidated ARR tab within +/- 2% of 261? [+5]
3.12. Is the Total ARR for the first period column (Jan 2021) on the Consolidated ARR tab within +/- 2% of 30879996? [+3]
3.13. Is the Total Comp (USD) for the Total row in the Employee Census Summary table on the Employee Census tab within +/- 2% of 28037498? [+5]
3.14. Is the Total Comp (USD) for the R&amp;D model department in the Employee Census Summary on the Employee Census tab within +/- 2% of 10498498? [+5]
3.17. Is the Base Salary (USD) for the Customer support model department in the Employee Census Summary on the Employee Census tab within +/- 2% of 2009100? [+4]
3.18. Is the Total Customer Count for a mid-period column (approximately Dec 2021) on the Consolidated ARR tab within +/- 2% of 177? [+5]
Section 4: Perturbation
4.1. If the GBP exchange rate on the Employee Census tab is changed from 1.27 to 2.54 (doubled), does the Total Base Salary (USD) for the summary table row corresponding to R&amp;D on the Employee Census tab update to within +/- 2% of the correctly recomputed value reflecting the doubled GBP conversion? [+5]
4.2. If the INR exchange rate on the Employee Census tab is changed from 0.012 to 0.06 (5x increase), does the Employee Census Summary Total row for Total Comp (USD) on the Employee Census tab update to within +/- 2% of the correctly recomputed value reflecting the increased INR conversion? [+5]
4.3. If the customer ARR value for the last monthly period in row 29 on the Consolidated ARR tab is changed from 285.972 to 571.944 (doubled), does the Total ARR for that same monthly period on the Consolidated ARR tab update to within +/- 2% of the correctly recomputed sum reflecting the doubled customer value? [+5]
4.4. If the customer ARR value in the latest period column for row 25 on the Consolidated ARR tab is changed from 37.1 to 537.1 (increased by 500), does the Total ARR for that same period on the Consolidated ARR tab update to within +/- 2% of the correctly recomputed sum? [+5]
4.5. If the hardcoded quarter number 1 in the first period column of the quarter row on the Sales Pipeline tab is changed from 1 to 3, does the fifth period column quarter number on the Sales Pipeline tab update to within +/- 2% of 3 (matching the new cycled value) within +/- 2%? [+5]
4.6. If the starting date in the first period column of the date header row on the Consolidated ARR tab is changed from the current value (representing January 31, 2020) to June 30, 2020, does the second period column date on the Consolidated ARR tab update to July 31, 2020 (via EOMONTH formula) within +/- 2% of the serial date value? [+5]
Section 5: Presentation
5.1. Are all currency values on the Consolidated ARR and Employee Census tabs formatted with a dollar sign prefix, comma separators, and no decimal places? [+2]
5.2. Are hardcoded values displayed in blue font, formula-driven values in black font, and cross-sheet references in green font on the Consolidated ARR and Employee Census tabs? [+2]
5.3. Are the new Total ARR and Total Customer Count summary rows on the Consolidated ARR tab visually distinguished with bold text and a light blue fill color? [+2]
Section 6: Pitfalls
6.1. Are there any error values in the Cover tab, the Sales Pipeline tab, the Consolidated ARR tab, and the Employee Census tab (#REF!, #DIV/0!, #VALUE!, #NAME?, #N/A, #NUM!)? [-5]
6.2. Is any data or label text truncated due to insufficient column widths or row heights in the Cover tab, the Sales Pipeline tab, the Consolidated ARR tab, and the Employee Census tab? [-3]</t>
  </si>
  <si>
    <t>Section 1: Formula Correctness
1.1. Is the Remaining Shareholders row on the Summary Cap Table tab computed by subtracting the sum of the ten named shareholders from the grand total in each column? [+2]
1.2. Is the Total Market total row on the Market Size tab computed as the sum of the Security Operations and Non-Security Operations dollar segments? [+1]
1.3. Is the TAM total row on the Market Size tab computed as the sum of the Security Operations TAM and Non-Security Operations TAM dollar values? [+1]
1.4. Is each TAM segment dollar value on the Market Size tab derived by multiplying the corresponding Total Market segment spend by its respective automation percentage? [+2]
1.5. Is the SAM total row on the Market Size tab computed as the sum of Core SAM plus the DLP Growth Vector and GRC Growth Vector? [+2]
1.6. Is the DLP Growth Vector on the Market Size tab computed as DLP total software spend multiplied by DLP automation percentage? [+1]
1.7. Is the CAGR column on the Market Size tab computed as a 4-year compound annual growth rate from the 2025 value to the 2029 value for each row? [+2]
1.8. Is the Data Sanitization Adjustments subtotal on the Core ARR Bridge tab computed as the sum of Bookings Start/End Dates and Credits and Booking Refunds line items? [+1]
1.9. Is Reported ARR on the Core ARR Bridge tab computed as Unadjusted ARR plus Data Sanitization Adjustments? [+2]
1.10. Is Total Adjustments on the Core ARR Bridge tab computed as the sum of One-Time Churn subtotal, Debookings, and the C280 ATLAS Non-Deployment adjustment? [+2]
1.11. Is Core ARR on the Core ARR Bridge tab computed as Reported ARR plus Total Adjustments? [+2]
1.12. Is the average salary by region on the Headcount and Salaries tab computed as total salary divided by headcount for each region, returning zero when headcount is zero? [+3]
1.13. Is the Base Salary plus Bonus section on the Headcount and Salaries tab computing total salary as the sum of base salary and bonus compensation aggregated from the Employee Census? [+2]
1.14. Is the CHECK row on the Core ARR Bridge tab computed as the difference between the period-end Total ARR retrieved from the Consolidated ARR tab and the computed Core ARR? [+2]
1.15. Does the Total Funding Raised line on the Summary Cap Table tab equal the sum of Equity, Convertible Securities, and Debt? [+1]
Section 2: Model Integration
2.1. Is the Professional Services Labor headcount on the Headcount &amp; Salaries tab linked to the employee records on the Employee Census tab? [+5]
2.2. Is the Total G&amp;A check on the Headcount &amp; Salaries tab linked to the department salary summary on the Employee Census tab? [+3]
2.3. Is the tab title on the Headcount &amp; Salaries tab linked to the company and pack name on the Cover tab? [+3]
2.4. Is the tab title on the Sales Pipeline tab linked to the company and pack name on the Cover tab? [+2]
2.5. Is the tab title on the Market Size tab linked to the company and pack name on the Cover tab? [+2]
2.6. Is the tab title on the Summary Cap Table tab linked to the company and pack name on the Cover tab? [+2]
2.7. Is the tab title on the Core ARR Bridge tab linked to the company and pack name on the Cover tab? [+2]
Section 3: Output Validation
3.1. Is the grand Total base salary across all regions on the Headcount &amp; Salaries tab (Base Salary section, Total column) within +/- 2% of 25498498? [+5]
3.2. Is the grand Total headcount across all regions on the Headcount &amp; Salaries tab (Base Salary + Bonus section, Total column) within +/- 2% of 259? [+3]
3.3. Is the grand Total salary in the Base Salary + Bonus Compensation section on the Headcount &amp; Salaries tab (Total column) within +/- 2% of 28629248? [+5]
3.4. Is the Core ARR for FY2022 on the Core ARR Bridge tab within +/- 2% of 40498735? [+5]
3.5. Is the Core ARR for YTD Q3 FY2024 on the Core ARR Bridge tab within +/- 2% of 73498498? [+5]
3.6. Is the Total Market CAGR on the Market Size tab within +/- 0.5 pp of 11.0%? [+4]
3.7. Is the SAM total for 2029 on the Market Size tab within +/- 2% of 20454? [+5]
3.8. Is the Total Funding Raised on the Summary Cap Table tab within +/- 2% of 350000000? [+4]
3.9. Is the Total S&amp;M base salary for North America on the Headcount &amp; Salaries tab (Base Salary section) within +/- 2% of 8782500? [+3]
3.10. Is the Reported ARR for FY2023 on the Core ARR Bridge tab within +/- 2% of 63718284? [+5]
Section 4: Perturbation
4.1. If the 1 - Development pipeline dollar value for Q1 FY2023 on the Sales Pipeline tab is changed from 64 to 128, does the Total pipeline dollars for Q1 FY2023 on the Sales Pipeline tab update to within +/- 2% of 221? [+5]
4.2. If the Total Cybersecurity Spend for 2025 on the Market Size tab is changed from 200 to 400, does the Total Market total dollar amount for 2025 on the Market Size tab update to within +/- 2% of 400? [+5]
4.3. If the Security Operations split percentage for 2025 on the Market Size tab is changed from 0.55 to 0.80, does the Security Operations TAM dollar amount for 2025 on the Market Size tab update to within +/- 2% of 52.8? [+5]
4.4. If the Unadjusted ARR for FY2022 on the Core ARR Bridge tab is changed from 69611 to 35000, does the Core ARR for FY2022 on the Core ARR Bridge tab update to within +/- 2% of 29755? [+5]
4.5. If the Common Shares for Shareholder 1 on the Summary Cap Table tab is changed from 43.8 to 20.0, does the Remaining Shareholders Common Shares on the Summary Cap Table tab update to within +/- 2% of 36.67? [+5]
4.6. If the 2 - Validation opportunity count for Q2 FY2023 on the Sales Pipeline tab is changed from 23 to 100, does the Total opportunity count for Q2 FY2023 on the Sales Pipeline tab update to within +/- 2% of 240? [+5]
4.7. If the Bookings Start/End Dates adjustment for FY2023 on the Core ARR Bridge tab is changed from its current value to double that value, specifically from -3498 to -6996, does the Reported ARR for FY2023 on the Core ARR Bridge tab update to within +/- 2% of 100383? [+5]
Section 5: Presentation
5.1. Are hardcoded values displayed in blue font and formula-driven values in black font on the Headcount &amp; Salaries tab? [+2]
5.2. Are dollar-denominated values on the Headcount &amp; Salaries tab formatted with a dollar sign prefix, comma separators, and no decimal places? [+2]
5.3. Are subtotal and grand total rows on the Headcount &amp; Salaries tab visually distinguished with bold font and a light gray or light blue fill color? [+2]
Section 6: Pitfalls
6.1. Are there any error values in the Headcount &amp; Salaries tab, the Sales Pipeline tab, the Market Size tab, the Summary Cap Table tab, the Employee Census tab, and the Core ARR Bridge tab (#REF!, #DIV/0!, #VALUE!, #NAME?, #N/A, #NUM!)? [-5]
6.2. Is any data or label text truncated due to insufficient column widths or row heights in the Headcount &amp; Salaries tab, the Sales Pipeline tab, the Market Size tab, the Summary Cap Table tab, the Employee Census tab, and the Core ARR Bridge tab? [-3]</t>
  </si>
  <si>
    <t>Section 1: Formula Correctness
1.1. Is Ending ARR on the ARR &amp; Retention tab calculated as Beginning ARR plus New Logo plus Expansion minus Contraction minus Churn for each period? [+2]
1.2. Is Beginning ARR for FY2023 on the ARR &amp; Retention tab equal to the Ending ARR of FY2022, maintaining the opening-equals-prior-closing rollforward? [+2]
1.3. Is the CHECK row on the ARR &amp; Retention tab computed as Ending ARR minus the sum of Beginning ARR and the waterfall components, confirming a zero balance? [+1]
1.4. Are Contraction and Churn on the ARR &amp; Retention tab treated as negative values so they reduce Beginning ARR when computing Ending ARR? [+2]
1.5. Is Growth % on the ARR &amp; Retention tab calculated as the change in Ending ARR divided by the prior period Ending ARR, with FY2022 left blank? [+1]
1.6. Is the Total row on the ARR by Revenue Channel tab computed as the sum of CHANNEL, MSSP, and DIRECT for each period across all three time granularities? [+1]
1.7. Is the Total row in the ARR by Product section on the ARR by Product &amp; Deployment tab the sum of all five product lines for each period? [+1]
1.8. Is the Total row in the ARR by Product Deployment section computed as the sum of ON-PREM, CLOUD, and TECHNICAL ACCOUNT MANAGER for each period? [+1]
1.9. Is the Total row on the ARR by Industry tab the sum of all ten named industries plus the Remaining Industries bucket for each period? [+2]
1.10. Is the Total row on the ARR by Geography tab computed as the sum of AMERICAS, EUROPE, APJ, and META for each period? [+1]
1.11. Is the Total row on the ARR by Customer Size tab computed as the sum of ENTERPRISE, MM, and SMB for each period? [+1]
1.12. Is the % of Total column on the Top Customers by ARR tab calculated as each customer's Ending ARR divided by the total Ending ARR across all customers? [+1]
1.13. Are the bucketed summary rows on the Top Customers by ARR tab (Top 1-5, Top 6-10, etc.) computed by summing the individual customer ARR values within each rank range? [+2]
1.14. Are the Customer Count rows on the ARR by Geography and ARR by Customer Size tabs counting distinct customers per segment per period rather than summing ARR values? [+2]
1.15. Are the Annualized retention metrics on the ARR &amp; Retention tab for Q3 FY2024 scaled from a nine-month YTD basis to a twelve-month annualized basis? [+3]
Section 2: Model Integration
2.1. Is the Ending ARR for each customer on the Top Customers by ARR tab linked to the monthly ARR data on the Consolidated ARR tab? [+5]
2.2. Is the ENTERPRISE ARR on the ARR by Customer Size tab linked to the monthly ARR data on the Consolidated ARR tab? [+5]
2.3. Is the AMERICAS ARR on the ARR by Geography tab linked to the monthly ARR data on the Consolidated ARR tab? [+5]
2.4. Is the MSSP ARR on the ARR by Industry tab linked to the monthly ARR data on the Consolidated ARR tab? [+5]
2.5. Is the ORION - ON-PREM ARR on the ARR by Product &amp; Deployment tab linked to the monthly ARR data on the Consolidated ARR tab? [+4]
2.6. Is the CHANNEL ARR on the ARR by Revenue Channel tab linked to the monthly ARR data on the Consolidated ARR tab? [+4]
2.7. Is the Remaining Industries customer count on the ARR by Industry tab linked to the total customer count on the Consolidated ARR tab? [+4]
2.8. Is the All Others Ending ARR on the Top Customers by ARR tab linked to the total ARR on the Consolidated ARR tab? [+3]
2.9. Is the Project Meridian Data Pack header on the ARR &amp; Retention tab linked to the project name on the Cover tab? [+2]
Section 3: Output Validation
3.1. Is the Ending ARR for YTD as of Q3 FY2024 on the ARR &amp; Retention tab within +/- 2% of 87839? [+5]
3.2. Is the Net Dollar Retention Rate (Excl. Migration) for FY2023 on the ARR &amp; Retention tab within +/- 0.5 pp of 103.9%? [+5]
3.3. Is the Annualized Q3 FY2024 Gross Dollar Retention Rate on the ARR &amp; Retention tab within +/- 0.5 pp of 92.5%? [+5]
3.4. Is the CHANNEL ARR for Q3 FY2024 annual column on the ARR by Revenue Channel tab within +/- 2% of 42498? [+4]
3.5. Is the CLOUD ARR for FY2023 in the ARR by Product Deployment section on the ARR by Product &amp; Deployment tab within +/- 2% of 30498? [+4]
3.6. Is the AMERICAS ARR for Q3 FY2024 annual column on the ARR by Geography tab within +/- 2% of 61498? [+3]
3.7. Is the ENTERPRISE customer count for Q3 FY2024 annual column on the ARR by Customer Size tab within +/- 2% of 55? [+4]
3.8. Is the Top 6-10 bucketed Ending ARR on the Top Customers by ARR tab within +/- 2% of 12648? [+5]
3.9. Is the GOVERNMENT ARR for Q3 FY2024 annual column on the ARR by Industry tab within +/- 2% of 14627? [+4]
3.10. Is the Growth % for FY2023 on the ARR &amp; Retention tab within +/- 0.5 pp of 22.2%? [+5]
Section 4: Perturbation
4.1. If the New Logo ARR for FY2022 on the ARR &amp; Retention tab is changed from 5541.89 to 2770.95 (halved), does the Ending ARR for FY2022 on the ARR &amp; Retention tab update to within +/- 2% of 17549.0? [+5]
4.2. If the Churn amount for FY2023 on the ARR &amp; Retention tab is changed from -1473.55267 to -4420.66 (tripled in magnitude), does the Ending ARR for FY2023 on the ARR &amp; Retention tab update to within +/- 2% of 23567.1? [+5]
4.3. If the Expansion amount for FY2023 on the ARR &amp; Retention tab is changed from 2513.08142 to 5026.16 (doubled), does the Growth % for FY2023 on the ARR &amp; Retention tab update to within +/- 0.5 percentage points of 0.4174? [+5]
4.4. If the Contraction amount for YTD Q3 FY2024 on the ARR &amp; Retention tab is changed from -669.2836 to -3346.42 (quintupled in magnitude), does the Ending ARR for YTD Q3 FY2024 on the ARR &amp; Retention tab update to within +/- 2% of 33654.8? [+5]
4.5. If the Beginning ARR for FY2022 on the ARR &amp; Retention tab is changed from 12939.71448 to 6469.86 (halved), does the Gross Dollar Retention Rate (Excl. Migration) for FY2022 on the ARR &amp; Retention tab update to within +/- 0.5 percentage points of 0.8375? [+5]
4.6. If the Beginning ARR for FY2022 on the ARR &amp; Retention tab is changed from 12939.71448 to 6469.86 (halved), does the Ending ARR for FY2022 on the ARR &amp; Retention tab update to within +/- 2% of 13796.0? [+5]
4.7. If the Expansion amount for FY2022 on the ARR &amp; Retention tab is changed from 2836.7552 to 5673.51 (doubled), does the Net Dollar Retention Rate (Excl. Migration) for FY2022 on the ARR &amp; Retention tab update to within +/- 0.5 percentage points of 1.1522? [+5]
Section 5: Presentation
5.1. Are all non-empty ARR currency values across the new By ARR tabs formatted with a dollar sign prefix, thousands separators, and zero decimal places? [+2]
5.2. Are hardcoded values displayed in blue font, formula-driven values in black font, and cross-sheet references in green font across the new By ARR tabs? [+2]
5.3. Are Total rows on the new By ARR tabs visually distinguished with bold text and a light gray fill color tabs? [+2]
Section 6: Pitfalls
6.1. Are there any error values in the ARR &amp; Retention tab, the ARR by Customer Size tab, the ARR by Geography tab, the ARR by Industry tab, the ARR by Product &amp; Deployment tab, the ARR by Revenue Channel tab, the Top Customers by ARR tab, and the Core ARR Bridge tab (#REF!, #DIV/0!, #VALUE!, #NAME?, #N/A, #NUM!)? [-5]
6.2. Is any data or label text truncated due to insufficient column widths or row heights in the ARR &amp; Retention tab, the ARR by Customer Size tab, the ARR by Geography tab, the ARR by Industry tab, the ARR by Product &amp; Deployment tab, the ARR by Revenue Channel tab, the Top Customers by ARR tab, and the Core ARR Bridge tab? [-3]</t>
  </si>
  <si>
    <t>Section 1: Formula Correctness
1.1. Is the Total New Initiative Expense row on the New Initiative Expense tab calculated as the sum of all five individual initiative total rows for each monthly period? [+2]
1.2. Is the Total New Initiative Expense row on the IS tab calculated as the sum of the five individual initiative expense lines (Customer Retained Loan Sale, Warehouse Opportunity, Data Commercialization, Agency Direct, A.I.)? [+2]
1.3. Is Pre-tax Income (Excluding Depreciation and Amortization) on the IS computed by deducting Total New Initiative Expense in addition to Total Operating Expenses and South Street Capital Expense from gross income? [+2]
1.4. Is the legal expense for Initiative #1 (Customer Retained Loan Sale) on the New Initiative Expense tab amortized as $150,000 divided by 12 months, producing $12,500 per month during the amortization window? [+1]
1.5. Is the legal expense amortization for each initiative active only when the month-end date is on or after the start date and strictly before the end of the amortization period? [+2]
1.6. Is the technology integration one-time cost for Initiative #2 (Warehouse Opportunity) of $250,000 recorded only in the single start month of April 2025 and zero in all other months? [+2]
1.7. Is each initiative's total row on the New Initiative Expense tab computed as the sum of all its individual cost line items (legal, technology integration, ongoing software, and headcount-based costs)? [+1]
1.8. Does each cost line item on the New Initiative Expense tab return zero when its initiative toggle is not equal to Yes? [+3]
1.9. Is the A.I. initiative build expense calculated as the annual build cost divided by 12, active only when the month-end date falls between the start date and EOMONTH(start date, 24) inclusive? [+2]
1.10. Is the A.I. initiative ongoing expense derived as the sum of all annual build totals multiplied by the ongoing percentage divided by 12, active only in 2027 and 2028? [+3]
1.11. Does the Agency Direct initiative spread its build expense monthly across the calendar year of the active case's start month, computed as total build cost divided by 12? [+2]
1.12. Are the annual summary columns on the New Initiative Expense tab computed by aggregating the corresponding monthly columns for each year using a year-matching criterion rather than being hardcoded? [+2]
1.13. Are the annual summary columns for each initiative line on the IS tab computed by aggregating the monthly columns by year, consistent with other IS line items? [+1]
1.14. Is the ongoing software expense for Initiative #2 (Warehouse Opportunity) calculated as a flat $2,500 per month active from the April 2025 start date forward when the toggle is Yes? [+1]
1.15. Does the Agency Direct initiative check both its Yes/No toggle and the case number, producing zero values across all periods when the toggle is No regardless of case selection? [+3]
Section 2: Model Integration
2.1. Is the Customer Retained Loan Sale Initiative on the IS tab linked to the Total Customer Retained Loan Sale on the New Initiative Expense tab? [+5]
2.2. Is the Pre-tax Income (Excluding Depreciation and Amortization) on the IS tab linked to the Total Cost of Revenue on the Cost of Revenue tab? [+4]
2.3. Is the Retained Earnings on the BS tab linked to the Net Income on the IS tab? [+4]
2.4. Is the Net Income on the SCF tab linked to the Pre-tax Income (Excluding Depreciation and Amortization) on the IS tab? [+4]
2.5. Is the Agency Direct Initiative toggle on the IS tab linked to the Agency Direct row on the Scenarios tab? [+3]
2.6. Is the Case Variable for A.I. on the New Initiative Expense tab linked to the scenario selector on the IS tab? [+3]
2.7. Is the Bonus on the Operational Expenses tab linked to the Pre-tax Income (Excluding Depreciation and Amortization) on the IS tab? [+3]
2.8. Is the Legal Expense input for Customer Retained Loan Sale on the New Initiative Expense tab linked to the cost assumption on the Customer Retained Loan Sale tab? [+2]
2.9. Is the Legal Expense input for Warehouse Opportunity on the New Initiative Expense tab linked to the cost assumption on the Warehouse Facility tab? [+2]
2.10. Is the Legal Expense input for Data Commercialization on the New Initiative Expense tab linked to the cost assumption on the Data and Other Revenues tab? [+2]
Section 3: Output Validation
3.1. Is the Total New Initiative Expense for 2025 on the New Initiative Expense tab within +/- 2% of 539583.33? [+5]
3.2. Is the Total New Initiative Expense for 2028 on the New Initiative Expense tab within +/- 2% of 550000? [+5]
3.3. Is the Warehouse Opportunity initiative total for 2025 on the New Initiative Expense tab within +/- 2% of 364583.33? [+3]
3.4. Is the A.I. initiative total for 2026 on the New Initiative Expense tab within +/- 2% of 83333.33? [+4]
3.5. Is the Total New Initiative Expense row on the IS tab for annual year 2025 within +/- 2% of 539583.33? [+5]
3.6. Is the Pre-tax Income Excluding Depreciation and Amortization on the IS tab for 2027 within +/- 2% of 6741498.34? [+5]
3.7. Is the Pre-tax Income Excluding Depreciation and Amortization on the IS tab for 2025 within +/- 2% of -7573498.74? [+5]
3.8. Is the ending cash balance on the SCF tab for 2028 within +/- 2% of 17746498.83? [+5]
3.9. Is the A.I. Initiative expense on the IS tab for annual year 2027 within +/- 2% of 300000? [+4]
3.10. Is the Total New Initiative Expense for 2026 on the New Initiative Expense tab within +/- 2% of 269166.67? [+4]
Section 4: Perturbation
4.1. If the Legal Expense input for Initiative #1 (Customer Retained Loan Sale) on the New Initiative Expense tab is changed from $150,000 to $300,000, does the Total New Initiative Expense annual total for 2025 on the IS tab update to within +/- 2% of the correctly recomputed value? The legal amortization should double, increasing the 2025 initiative costs substantially.? [+5]
4.3. If the Ongoing Software Expense per month for Initiative #2 (Warehouse Opportunity) on the New Initiative Expense tab is changed from $2,500 to $10,000, does the Total New Initiative Expense annual total for 2026 on the IS tab update to within +/- 2% of the correctly recomputed value? The ongoing software cost runs every month from the start date forward, so this quadrupling should materially increase the 2026 total.? [+5]
4.4. If the 2025-2026 Build Expenses (Case 1) for Initiative #5 (A.I.) on the New Initiative Expense tab is changed from $1,000,000 to $2,000,000, does the A.I. Initiative line item for 2025 on the IS tab update to within +/- 2% of the correctly recomputed value? The build expense is spread monthly over the build period, so doubling it should roughly double the A.I. build cost flowing to the IS.? [+5]
4.5. If the Legal Expense input for Initiative #3 (Data Commercialization) on the New Initiative Expense tab is changed from $100,000 to $300,000, does the Data Commercialization Initiative line item for 2026 on the IS tab update to within +/- 2% of the correctly recomputed value? The legal expense amortizes over 12 months starting July 2026, so tripling it should triple the amortized legal cost in that year.? [+5]
4.6. If the 2024 Build Expenses for Initiative #5 (A.I.) on the New Initiative Expense tab is changed from $500,000 to $1,500,000, does the Pre-tax Income (Excluding Depreciation and Amortization) for 2028 on the IS tab update to within +/- 2% of the correctly recomputed value? The 2024 build cost feeds into the ongoing expense calculation (percentage of total build cost) that is active in 2027-2028, so tripling it should materially reduce 2028 pre-tax income.? [+5]
4.7. If the Legal Expense amortization period for Initiative #2 (Warehouse Opportunity) on the New Initiative Expense tab is changed from 1 year to 3 years, does the Warehouse Opportunity Initiative line item for 2026 on the IS tab update to within +/- 2% of the correctly recomputed value? Extending the amortization period from 1 to 3 years reduces the monthly amortization rate and extends costs into 2026-2027, significantly changing the annual profile.? [+5]
Section 5: Presentation
5.1. Are all monetary values on the New Initiative Expense tab and the new initiative rows on the IS tab formatted with comma separators and no decimal places? [+2]
5.2. Are hardcoded input assumptions on the New Initiative Expense tab displayed in blue font while formula-driven values use black font, following the model's color-coding convention? [+2]
5.3. Are initiative total rows on the New Initiative Expense tab and subtotal rows on the IS tab visually distinguished with bold text and a light gray fill color? [+2]
Section 6: Pitfalls
6.1. Are there any error values in the New Initiative Expense tab, the IS tab, the BS tab, the SCF tab, the Data and Other Revenues tab, the Settlement Facilities &amp; Capital tab, the Operational Expenses tab, the South Street Exp. tab, and the Headcount tab (#REF!, #DIV/0!, #VALUE!, #NAME?, #N/A, #NUM!)? [-5]
6.2. Is any data or label text truncated due to insufficient column widths or row heights in the New Initiative Expense tab, the IS tab, the BS tab, the SCF tab, the Data and Other Revenues tab, the Settlement Facilities &amp; Capital tab, the Operational Expenses tab, the South Street Exp. tab, and the Headcount tab? [-3]</t>
  </si>
  <si>
    <t>Email</t>
  </si>
  <si>
    <t>Task Link</t>
  </si>
  <si>
    <t>Completion Date</t>
  </si>
  <si>
    <t>Feedback</t>
  </si>
  <si>
    <t>www.tsip.ai/claim/0e48108d-062e-4d21-a56c-ef1167597aa2</t>
  </si>
  <si>
    <t>Spencer D</t>
  </si>
  <si>
    <t>www.tsip.ai/claim/51afe4bb-49b6-42f4-baf6-f3257adcb17f</t>
  </si>
  <si>
    <t>Nima K</t>
  </si>
  <si>
    <t>www.tsip.ai/claim/b7cc9ee5-e18b-4de6-8fd8-1a6f936a6b37</t>
  </si>
  <si>
    <t>www.tsip.ai/claim/35d064a8-60c3-442c-975a-ba9f56ae7589</t>
  </si>
  <si>
    <t>www.tsip.ai/claim/8d2ebfbe-aff4-4ec1-9695-caad23ac036e</t>
  </si>
  <si>
    <t>www.tsip.ai/claim/cdebbed4-403f-4023-b36f-1ca8bbeaf923</t>
  </si>
  <si>
    <t>www.tsip.ai/claim/336e4d2a-239f-484f-9bd1-eaac8ea163e2</t>
  </si>
  <si>
    <t>Artus G</t>
  </si>
  <si>
    <t>artus.granier@live.fr</t>
  </si>
  <si>
    <t>www.tsip.ai/claim/4fae534b-c110-4b56-a700-8c4b5f9f06e7</t>
  </si>
  <si>
    <t>Dillon K</t>
  </si>
  <si>
    <t>dillonk@unc.edu</t>
  </si>
  <si>
    <t>www.tsip.ai/claim/6d3cd0ec-2c8d-4de3-a2ec-977b59f551da</t>
  </si>
  <si>
    <t>www.tsip.ai/claim/8c93f0cc-70c6-4574-bae3-04215429a2df</t>
  </si>
  <si>
    <t>www.tsip.ai/claim/195ce760-e162-43fb-bdaa-278863f41924</t>
  </si>
  <si>
    <t>James</t>
  </si>
  <si>
    <t>www.tsip.ai/claim/abfe92d6-ae8b-456f-832b-bae042fe9324</t>
  </si>
  <si>
    <t>www.tsip.ai/claim/97e045da-10c7-41ac-81c3-241e47f94646</t>
  </si>
  <si>
    <t>Jack C</t>
  </si>
  <si>
    <t>jackcolyar@gmail.com</t>
  </si>
  <si>
    <t>www.tsip.ai/claim/da549001-f65a-4b4b-9fd3-624293718d86</t>
  </si>
  <si>
    <t>www.tsip.ai/claim/376f2ea6-af15-456f-a1b9-8b09f665e8d4</t>
  </si>
  <si>
    <t>www.tsip.ai/claim/21d96238-86c0-46a3-8f28-ef05055431e9</t>
  </si>
  <si>
    <t>www.tsip.ai/claim/06129870-83cf-49fe-a937-124c5de87e25</t>
  </si>
  <si>
    <t>www.tsip.ai/claim/974ba28c-ae24-4212-8a17-a9a87f2802a1</t>
  </si>
  <si>
    <t>Alan B</t>
  </si>
  <si>
    <t>alanhaimbentolila@gmail.com</t>
  </si>
  <si>
    <t>www.tsip.ai/claim/4a18008e-e3ad-4a1b-9647-fb42a0f3d9a9</t>
  </si>
  <si>
    <t>www.tsip.ai/claim/adae9bff-8bb1-4aff-bf46-542f1de45085</t>
  </si>
  <si>
    <t>www.tsip.ai/claim/c4bae5e7-5316-42fa-b1a8-1071d98a6bd3</t>
  </si>
  <si>
    <t>www.tsip.ai/claim/844d98d7-68a7-4179-b67a-b0a52ba7f330</t>
  </si>
  <si>
    <t>www.tsip.ai/claim/b0a54378-631f-44d3-8044-a5e02915a60a</t>
  </si>
  <si>
    <t>www.tsip.ai/claim/56d3c0ad-9d60-403d-a28f-64221834ac62</t>
  </si>
  <si>
    <t>www.tsip.ai/claim/998027be-aa2a-4861-8124-29cc73b3f425</t>
  </si>
  <si>
    <t>www.tsip.ai/claim/c98d98e0-1b09-49a9-8f62-9562531c6dfc</t>
  </si>
  <si>
    <t>www.tsip.ai/claim/7a61d74d-3a0a-48df-8397-4c97e73dbfd0</t>
  </si>
  <si>
    <t>Balthazar V</t>
  </si>
  <si>
    <t>balthazar.vatelot@hotmail.fr</t>
  </si>
  <si>
    <t>www.tsip.ai/claim/605053db-cfdd-4b95-9484-aa07b268091a</t>
  </si>
  <si>
    <t>www.tsip.ai/claim/cbb26ee8-4eb5-406e-bd95-9bc6e41a4547</t>
  </si>
  <si>
    <t>johnlwang7@gmail.com</t>
  </si>
  <si>
    <t>www.tsip.ai/claim/8ac4d26f-3a5f-44ba-95f1-0239f0d50b90</t>
  </si>
  <si>
    <t>www.tsip.ai/claim/1ff6f60b-8390-47b0-b747-928d73ef3054</t>
  </si>
  <si>
    <t>www.tsip.ai/claim/6997e404-42bc-473e-9473-472dae9b33f3</t>
  </si>
  <si>
    <t>www.tsip.ai/claim/41c226f2-ba89-4bc1-9c79-0652af2b6ec1</t>
  </si>
  <si>
    <t>www.tsip.ai/claim/3827d875-9a73-4745-b094-dc09423d6791</t>
  </si>
  <si>
    <t>www.tsip.ai/claim/45418df9-1c00-4ed7-9fb7-62dce547a373</t>
  </si>
  <si>
    <t>www.tsip.ai/claim/035be13c-765d-46cf-8503-8658f2549330</t>
  </si>
  <si>
    <t>www.tsip.ai/claim/66d1300f-d188-4b9e-a1e8-71435be5c3d2</t>
  </si>
  <si>
    <t>www.tsip.ai/claim/88888ffb-a7ee-4e9b-957c-51850409c497</t>
  </si>
  <si>
    <t>www.tsip.ai/claim/5c872e42-8daf-4197-bc62-958ccb9d749f</t>
  </si>
  <si>
    <t>www.tsip.ai/claim/9cdc5443-00eb-40d2-8677-179f2cd965f4</t>
  </si>
  <si>
    <t>www.tsip.ai/claim/b4353c48-c1dd-4149-9d04-bae1b665c1b6</t>
  </si>
  <si>
    <t>www.tsip.ai/claim/6719ea50-0419-455d-9ae4-a23aa55d0f15</t>
  </si>
  <si>
    <t>www.tsip.ai/claim/768d54c2-af42-4cf3-a123-c62dc3fc3495</t>
  </si>
  <si>
    <t>www.tsip.ai/claim/f56e5f94-1804-4c02-92a5-5706457727e7</t>
  </si>
  <si>
    <t>www.tsip.ai/claim/b0bc1f34-7a9f-46d9-9bc2-5c3cdb035510</t>
  </si>
  <si>
    <t>www.tsip.ai/claim/d5201867-8c2f-4715-8ec0-ccf159773a6c</t>
  </si>
  <si>
    <t>www.tsip.ai/claim/cbaaebf0-436d-40c3-a611-13c5137b2e9c</t>
  </si>
  <si>
    <t>www.tsip.ai/claim/62b06246-fb41-446f-afb7-c096b7a11547</t>
  </si>
  <si>
    <t>www.tsip.ai/claim/01172d66-496e-41f7-988d-79811492c576</t>
  </si>
  <si>
    <t>www.tsip.ai/claim/af6de500-e9bf-463d-8f53-6400dd6f036b</t>
  </si>
  <si>
    <t>www.tsip.ai/claim/687b4990-575f-4537-8d0c-fe7307805053</t>
  </si>
  <si>
    <t>www.tsip.ai/claim/edb93055-f6c9-4be4-97cb-225aa7383b33</t>
  </si>
  <si>
    <t>www.tsip.ai/claim/c0a4f5f4-f64b-4b74-a547-a2b6aa773edb</t>
  </si>
  <si>
    <t>www.tsip.ai/claim/2b6e0e9d-d64a-4d21-907c-9537dec096d8</t>
  </si>
  <si>
    <t>www.tsip.ai/claim/173946d9-c612-4818-92f5-d349321d3263</t>
  </si>
  <si>
    <t>www.tsip.ai/claim/9f2aff8a-9789-471f-a582-3fa2a11aabba</t>
  </si>
  <si>
    <t>www.tsip.ai/claim/ecdf54a2-dfb8-4b4f-893b-7ef450c0ad78</t>
  </si>
  <si>
    <t>www.tsip.ai/claim/437fbb18-6eb9-4880-ac63-8dcb7890f63b</t>
  </si>
  <si>
    <t>www.tsip.ai/claim/697a874a-c35c-4072-b8bd-e4c342a5e576</t>
  </si>
  <si>
    <t>www.tsip.ai/claim/510a4aff-70b8-4a2d-a543-a2523b365c03</t>
  </si>
  <si>
    <t>www.tsip.ai/claim/11afa127-f76f-4317-8dec-badcc674d8f3</t>
  </si>
  <si>
    <t>www.tsip.ai/claim/b09f4307-7c6b-4cf1-9bcd-2ba7ba241dfb</t>
  </si>
  <si>
    <t>www.tsip.ai/claim/28f42d10-7686-44e7-9c2b-42bf1e597e2c</t>
  </si>
  <si>
    <t>www.tsip.ai/claim/28c2653f-6e9b-40a7-8356-effabb8c6c5c</t>
  </si>
  <si>
    <t>www.tsip.ai/claim/d51af15a-ab2d-4d59-b2ea-7345899438b5</t>
  </si>
  <si>
    <t>www.tsip.ai/claim/3fe83bbf-77af-4a4e-9131-4e0a8d8f2699</t>
  </si>
  <si>
    <t>www.tsip.ai/claim/dbd9a78e-914b-44f3-bb50-d28af54c8d82</t>
  </si>
  <si>
    <t>www.tsip.ai/claim/7ff9a6bd-2b9a-4b4d-a4d3-3a1cab92f135</t>
  </si>
  <si>
    <t>www.tsip.ai/claim/6d5a2086-f442-4b9d-be85-efef6bf62d92</t>
  </si>
  <si>
    <t>www.tsip.ai/claim/e4abcef2-01c8-4eb1-8035-ce7db2c1d5b9</t>
  </si>
  <si>
    <t>www.tsip.ai/claim/8eefd739-a930-40cc-8136-440534e1fe77</t>
  </si>
  <si>
    <t>www.tsip.ai/claim/8197db93-6f2a-4ea0-ad32-fe55794fc805</t>
  </si>
  <si>
    <t>www.tsip.ai/claim/17a006b7-5477-4997-a130-34e77efa2ac1</t>
  </si>
  <si>
    <t>www.tsip.ai/claim/884cc52c-757b-4d45-a774-fc2bfd0b6ffa</t>
  </si>
  <si>
    <t>www.tsip.ai/claim/4eee8351-a865-4f9c-8eb4-ed0540fec2e9</t>
  </si>
  <si>
    <t>www.tsip.ai/claim/4a73dfe8-41d3-4fc7-9181-0dcb6b15b169</t>
  </si>
  <si>
    <t>www.tsip.ai/claim/d83dfe03-d253-476f-b5e1-383c28bc8a1a</t>
  </si>
  <si>
    <t>www.tsip.ai/claim/2cc4834f-c78a-46ce-9592-c9a43b774910</t>
  </si>
  <si>
    <t>www.tsip.ai/claim/794a66b9-b1b2-4aa4-aeb0-251224ff86bc</t>
  </si>
  <si>
    <t>www.tsip.ai/claim/9e842269-75aa-4ce8-a3c4-d422274dc1a9</t>
  </si>
  <si>
    <t>www.tsip.ai/claim/bc15dfd7-2fde-4e86-83d6-9e2e48a6ce00</t>
  </si>
  <si>
    <t>www.tsip.ai/claim/0fc0aa1e-d3dc-4fb9-a3e4-fcc4200eb19e</t>
  </si>
  <si>
    <t>www.tsip.ai/claim/39f1868a-febd-4406-9305-37971f93e559</t>
  </si>
  <si>
    <t>www.tsip.ai/claim/a5aad4a9-a6b9-44c4-98c8-e7a31502fbb0</t>
  </si>
  <si>
    <t>www.tsip.ai/claim/1bc76c43-54d9-489a-8ec2-b243d188b916</t>
  </si>
  <si>
    <t>www.tsip.ai/claim/2838d0f8-753d-4736-9a32-a736b052df5f</t>
  </si>
  <si>
    <t>www.tsip.ai/claim/a2622123-2e84-46a7-97cc-ce36507ea849</t>
  </si>
  <si>
    <t>www.tsip.ai/claim/bcb81c7d-d014-4ab6-bb0f-15e9856f2b19</t>
  </si>
  <si>
    <t>www.tsip.ai/claim/76222ca6-7153-4421-8159-a2e2af0d6e67</t>
  </si>
  <si>
    <t>www.tsip.ai/claim/f6c7cc4a-17f3-4bc6-8df0-764bc1a07cb3</t>
  </si>
  <si>
    <t>www.tsip.ai/claim/be97602e-e940-4430-9d62-ded08c505cb3</t>
  </si>
  <si>
    <t>www.tsip.ai/claim/855b8b1f-f172-4054-935a-76c5483b4e0a</t>
  </si>
  <si>
    <t>www.tsip.ai/claim/59cbd61d-f314-48c9-ae0f-dfa0d40abef9</t>
  </si>
  <si>
    <t>www.tsip.ai/claim/36a9b6a3-131d-42e6-94f7-9eeddeb452e7</t>
  </si>
  <si>
    <t>www.tsip.ai/claim/dc01a43c-2106-4aaf-aa27-e8fc23f8bbe7</t>
  </si>
  <si>
    <t>www.tsip.ai/claim/ca79c09e-78f2-4539-b1eb-3c4541fb871d</t>
  </si>
  <si>
    <t>www.tsip.ai/claim/6f701e96-168b-4853-b122-60f17091d1c5</t>
  </si>
  <si>
    <t>www.tsip.ai/claim/dac96900-9dc4-48e0-bf51-de10837e4217</t>
  </si>
  <si>
    <t>www.tsip.ai/claim/bcd89c0c-3361-4035-bb91-0754c2b7f0e2</t>
  </si>
  <si>
    <t>www.tsip.ai/claim/5f6bf0aa-fdc0-41de-8286-861984d7861b</t>
  </si>
  <si>
    <t>www.tsip.ai/claim/c9b73865-5d68-409c-ac63-c6361333cb0b</t>
  </si>
  <si>
    <t>www.tsip.ai/claim/5c290582-41fc-48bc-ab7e-c503105ca691</t>
  </si>
  <si>
    <t>www.tsip.ai/claim/cb37cf7e-2f50-4edb-be72-b53da9e903a3</t>
  </si>
  <si>
    <t>www.tsip.ai/claim/b0b4e5c8-2144-4ab5-a4e5-bcac7e64e677</t>
  </si>
  <si>
    <t>www.tsip.ai/claim/770d6896-3911-43f3-9e68-49e4574741cf</t>
  </si>
  <si>
    <t>Completed</t>
  </si>
  <si>
    <t>Task ID Link</t>
  </si>
  <si>
    <t>In Claim Sheet?</t>
  </si>
  <si>
    <t>www.tsip.ai/claim/a9963120-cb98-4b1b-bde3-10fed3fc33b5</t>
  </si>
  <si>
    <t>c9b73865-5d68-409c-ac63-c6361333cb0b</t>
  </si>
  <si>
    <t>www.tsip.ai/claim/9c64d163-e3e5-49f6-b2c0-cdb62fd7186a</t>
  </si>
  <si>
    <t>5c290582-41fc-48bc-ab7e-c503105ca691</t>
  </si>
  <si>
    <t>www.tsip.ai/claim/c500f876-45ce-4892-a5c8-a47cc4cfb8ad</t>
  </si>
  <si>
    <t>cb37cf7e-2f50-4edb-be72-b53da9e903a3</t>
  </si>
  <si>
    <t>www.tsip.ai/claim/220d4acc-c4f6-4bae-96c4-bc2b464488d6</t>
  </si>
  <si>
    <t>b0b4e5c8-2144-4ab5-a4e5-bcac7e64e677</t>
  </si>
  <si>
    <t>www.tsip.ai/claim/29320168-2881-48ba-88ce-43e58342e01a</t>
  </si>
  <si>
    <t>770d6896-3911-43f3-9e68-49e4574741cf</t>
  </si>
  <si>
    <t>www.tsip.ai/claim/1965bc47-042c-4fe7-8f98-86eba92fe2c9</t>
  </si>
  <si>
    <t>a9963120-cb98-4b1b-bde3-10fed3fc33b5</t>
  </si>
  <si>
    <t>www.tsip.ai/claim/0701d36c-5e6f-440d-902d-d0d3b5469211</t>
  </si>
  <si>
    <t>9c64d163-e3e5-49f6-b2c0-cdb62fd7186a</t>
  </si>
  <si>
    <t>www.tsip.ai/claim/6bf90a7d-9712-4762-adc7-07c35e5f196f</t>
  </si>
  <si>
    <t>c500f876-45ce-4892-a5c8-a47cc4cfb8ad</t>
  </si>
  <si>
    <t>www.tsip.ai/claim/f9aab6cf-ec07-4fa0-986d-fc30ca429f7c</t>
  </si>
  <si>
    <t>220d4acc-c4f6-4bae-96c4-bc2b464488d6</t>
  </si>
  <si>
    <t>www.tsip.ai/claim/19bdddf4-1c6c-4e72-93a1-6bbccbc165b0</t>
  </si>
  <si>
    <t>29320168-2881-48ba-88ce-43e58342e01a</t>
  </si>
  <si>
    <t>www.tsip.ai/claim/677d7854-4100-4820-add2-5d3e8fb5b6d3</t>
  </si>
  <si>
    <t>1965bc47-042c-4fe7-8f98-86eba92fe2c9</t>
  </si>
  <si>
    <t>www.tsip.ai/claim/7baedb1c-7ef9-42ce-b2c6-32da0b498c1f</t>
  </si>
  <si>
    <t>0701d36c-5e6f-440d-902d-d0d3b5469211</t>
  </si>
  <si>
    <t>www.tsip.ai/claim/5b90595c-9514-421f-b7c2-2642af555a5e</t>
  </si>
  <si>
    <t>6bf90a7d-9712-4762-adc7-07c35e5f196f</t>
  </si>
  <si>
    <t>www.tsip.ai/claim/daf2f436-4e42-41d4-982a-e1b1451db4a6</t>
  </si>
  <si>
    <t>f9aab6cf-ec07-4fa0-986d-fc30ca429f7c</t>
  </si>
  <si>
    <t>www.tsip.ai/claim/9b41134c-2067-4261-9cf2-1e3a74e03d6c</t>
  </si>
  <si>
    <t>19bdddf4-1c6c-4e72-93a1-6bbccbc165b0</t>
  </si>
  <si>
    <t>www.tsip.ai/claim/21c55b36-7a94-4657-bd83-668e21f42d19</t>
  </si>
  <si>
    <t>677d7854-4100-4820-add2-5d3e8fb5b6d3</t>
  </si>
  <si>
    <t>www.tsip.ai/claim/9368c4b8-81d2-4de3-bfa8-2dd09a015d33</t>
  </si>
  <si>
    <t>7baedb1c-7ef9-42ce-b2c6-32da0b498c1f</t>
  </si>
  <si>
    <t>www.tsip.ai/claim/a9ec455e-a968-4c6a-b69f-27f8675000c0</t>
  </si>
  <si>
    <t>5b90595c-9514-421f-b7c2-2642af555a5e</t>
  </si>
  <si>
    <t>www.tsip.ai/claim/7ffd7303-b25c-4a33-a42b-74cc21c3d65c</t>
  </si>
  <si>
    <t>daf2f436-4e42-41d4-982a-e1b1451db4a6</t>
  </si>
  <si>
    <t>www.tsip.ai/claim/60cbe29f-08e8-47a0-be4e-a433011fa018</t>
  </si>
  <si>
    <t>9b41134c-2067-4261-9cf2-1e3a74e03d6c</t>
  </si>
  <si>
    <t>www.tsip.ai/claim/76a8e660-26d6-4fd7-8328-71e71e2e6670</t>
  </si>
  <si>
    <t>21c55b36-7a94-4657-bd83-668e21f42d19</t>
  </si>
  <si>
    <t>www.tsip.ai/claim/fe349e07-c10f-4702-85a8-26af35a9609c</t>
  </si>
  <si>
    <t>9368c4b8-81d2-4de3-bfa8-2dd09a015d33</t>
  </si>
  <si>
    <t>www.tsip.ai/claim/321e3541-8c81-42a4-a810-085759aeeb44</t>
  </si>
  <si>
    <t>a9ec455e-a968-4c6a-b69f-27f8675000c0</t>
  </si>
  <si>
    <t>www.tsip.ai/claim/562548dd-833c-4797-80b3-038b53464f9b</t>
  </si>
  <si>
    <t>7ffd7303-b25c-4a33-a42b-74cc21c3d65c</t>
  </si>
  <si>
    <t>www.tsip.ai/claim/9f2c2cfc-f5db-4ff4-b163-a952d5b3c670</t>
  </si>
  <si>
    <t>60cbe29f-08e8-47a0-be4e-a433011fa018</t>
  </si>
  <si>
    <t>www.tsip.ai/claim/dd6d20ce-6ee3-4166-bc6c-c462bcfe53c6</t>
  </si>
  <si>
    <t>76a8e660-26d6-4fd7-8328-71e71e2e6670</t>
  </si>
  <si>
    <t>www.tsip.ai/claim/bb61bea1-3838-42a7-99c7-b796622e5ff2</t>
  </si>
  <si>
    <t>fe349e07-c10f-4702-85a8-26af35a9609c</t>
  </si>
  <si>
    <t>www.tsip.ai/claim/c9c2edc5-2845-444a-a936-4edf2e6113b5</t>
  </si>
  <si>
    <t>321e3541-8c81-42a4-a810-085759aeeb44</t>
  </si>
  <si>
    <t>www.tsip.ai/claim/ae53299f-8a7b-46c4-9b15-d29ca03eae7d</t>
  </si>
  <si>
    <t>562548dd-833c-4797-80b3-038b53464f9b</t>
  </si>
  <si>
    <t>www.tsip.ai/claim/8da2fd5c-a04b-4e80-81d6-5f6ddae9eee6</t>
  </si>
  <si>
    <t>9f2c2cfc-f5db-4ff4-b163-a952d5b3c670</t>
  </si>
  <si>
    <t>www.tsip.ai/claim/dd6ba546-50eb-4790-be44-b3cd1a02223c</t>
  </si>
  <si>
    <t>dd6d20ce-6ee3-4166-bc6c-c462bcfe53c6</t>
  </si>
  <si>
    <t>www.tsip.ai/claim/9c7bdd7a-d68f-452a-a1ca-d988349ae6f2</t>
  </si>
  <si>
    <t>bb61bea1-3838-42a7-99c7-b796622e5ff2</t>
  </si>
  <si>
    <t>www.tsip.ai/claim/316de409-c882-43c4-8625-9a433438a87a</t>
  </si>
  <si>
    <t>c9c2edc5-2845-444a-a936-4edf2e6113b5</t>
  </si>
  <si>
    <t>www.tsip.ai/claim/ae903e96-cf32-470f-98b3-a616e80b1bdf</t>
  </si>
  <si>
    <t>ae53299f-8a7b-46c4-9b15-d29ca03eae7d</t>
  </si>
  <si>
    <t>www.tsip.ai/claim/cf116a6c-8e1a-4f9c-8d12-d5d8c94e9c3f</t>
  </si>
  <si>
    <t>8da2fd5c-a04b-4e80-81d6-5f6ddae9eee6</t>
  </si>
  <si>
    <t>www.tsip.ai/claim/40403212-d78a-4e2f-a17a-b331cd9f2d4f</t>
  </si>
  <si>
    <t>dd6ba546-50eb-4790-be44-b3cd1a02223c</t>
  </si>
  <si>
    <t>www.tsip.ai/claim/395c8946-25dc-4471-b924-d99e50810133</t>
  </si>
  <si>
    <t>9c7bdd7a-d68f-452a-a1ca-d988349ae6f2</t>
  </si>
  <si>
    <t>www.tsip.ai/claim/a7c58eff-831d-413f-aea1-963088fd3a69</t>
  </si>
  <si>
    <t>316de409-c882-43c4-8625-9a433438a87a</t>
  </si>
  <si>
    <t>www.tsip.ai/claim/e12c8042-b1a9-4df4-bd3c-fb4577a700ff</t>
  </si>
  <si>
    <t>ae903e96-cf32-470f-98b3-a616e80b1bdf</t>
  </si>
  <si>
    <t>www.tsip.ai/claim/</t>
  </si>
  <si>
    <t>cf116a6c-8e1a-4f9c-8d12-d5d8c94e9c3f</t>
  </si>
  <si>
    <t>40403212-d78a-4e2f-a17a-b331cd9f2d4f</t>
  </si>
  <si>
    <t>395c8946-25dc-4471-b924-d99e50810133</t>
  </si>
  <si>
    <t>a7c58eff-831d-413f-aea1-963088fd3a69</t>
  </si>
  <si>
    <t>e12c8042-b1a9-4df4-bd3c-fb4577a700ff</t>
  </si>
  <si>
    <t>Lookup</t>
  </si>
  <si>
    <t>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</si>
</sst>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yyyy"/>
    <numFmt numFmtId="166" formatCode="m/d/yy"/>
  </numFmts>
  <fonts count="29">
    <font>
      <sz val="10.0"/>
      <color rgb="FF000000"/>
      <name val="Arial"/>
      <scheme val="minor"/>
    </font>
    <font>
      <b/>
      <color rgb="FFFFFFFF"/>
      <name val="Arial"/>
    </font>
    <font>
      <color theme="1"/>
      <name val="Arial"/>
      <scheme val="minor"/>
    </font>
    <font>
      <color theme="1"/>
      <name val="Arial"/>
    </font>
    <font>
      <u/>
      <color rgb="FF1155CC"/>
      <name val="Arial"/>
    </font>
    <font>
      <sz val="10.0"/>
      <color rgb="FF122345"/>
      <name val="Arial"/>
    </font>
    <font>
      <u/>
      <color rgb="FF1155CC"/>
      <name val="Arial"/>
    </font>
    <font>
      <color rgb="FF000000"/>
      <name val="Arial"/>
    </font>
    <font>
      <color rgb="FF000000"/>
      <name val="Arial"/>
      <scheme val="minor"/>
    </font>
    <font>
      <sz val="9.0"/>
      <color theme="1"/>
      <name val="Arial"/>
    </font>
    <font>
      <color rgb="FF0000FF"/>
      <name val="Arial"/>
    </font>
    <font>
      <u/>
      <color rgb="FF1155CC"/>
      <name val="Arial"/>
    </font>
    <font>
      <color rgb="FFFFFFFF"/>
      <name val="Arial"/>
    </font>
    <font>
      <b/>
      <color rgb="FFFF0000"/>
      <name val="Arial"/>
      <scheme val="minor"/>
    </font>
    <font>
      <b/>
      <color theme="1"/>
      <name val="Arial"/>
    </font>
    <font>
      <u/>
      <color theme="1"/>
      <name val="Arial"/>
      <scheme val="minor"/>
    </font>
    <font>
      <u/>
      <color theme="1"/>
      <name val="Arial"/>
      <scheme val="minor"/>
    </font>
    <font>
      <u/>
      <sz val="12.0"/>
      <color rgb="FF000000"/>
      <name val="&quot;Times New Roman&quot;"/>
    </font>
    <font>
      <u/>
      <color rgb="FF0000FF"/>
    </font>
    <font>
      <u/>
      <sz val="13.0"/>
      <color rgb="FF000000"/>
      <name val="Arial"/>
    </font>
    <font>
      <sz val="13.0"/>
      <color rgb="FF000000"/>
      <name val="Arial"/>
    </font>
    <font>
      <b/>
      <color theme="1"/>
      <name val="Arial"/>
      <scheme val="minor"/>
    </font>
    <font>
      <b/>
      <color rgb="FF0000FF"/>
      <name val="Arial"/>
    </font>
    <font>
      <u/>
      <color theme="1"/>
      <name val="Arial"/>
    </font>
    <font>
      <u/>
      <color rgb="FF0000FF"/>
      <name val="Arial"/>
    </font>
    <font>
      <b/>
      <color rgb="FF0000FF"/>
      <name val="Arial"/>
      <scheme val="minor"/>
    </font>
    <font>
      <b/>
      <color rgb="FFFFFFFF"/>
      <name val="Arial"/>
      <scheme val="minor"/>
    </font>
    <font>
      <u/>
      <color rgb="FF0000FF"/>
    </font>
    <font>
      <u/>
      <color rgb="FF0000FF"/>
    </font>
  </fonts>
  <fills count="14">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0B5394"/>
        <bgColor rgb="FF0B5394"/>
      </patternFill>
    </fill>
    <fill>
      <patternFill patternType="solid">
        <fgColor rgb="FF8E7CC3"/>
        <bgColor rgb="FF8E7CC3"/>
      </patternFill>
    </fill>
    <fill>
      <patternFill patternType="solid">
        <fgColor rgb="FFA64D79"/>
        <bgColor rgb="FFA64D79"/>
      </patternFill>
    </fill>
    <fill>
      <patternFill patternType="solid">
        <fgColor rgb="FFFFF2CC"/>
        <bgColor rgb="FFFFF2CC"/>
      </patternFill>
    </fill>
    <fill>
      <patternFill patternType="solid">
        <fgColor rgb="FF00FFFF"/>
        <bgColor rgb="FF00FFFF"/>
      </patternFill>
    </fill>
    <fill>
      <patternFill patternType="solid">
        <fgColor theme="0"/>
        <bgColor theme="0"/>
      </patternFill>
    </fill>
    <fill>
      <patternFill patternType="solid">
        <fgColor rgb="FF000000"/>
        <bgColor rgb="FF000000"/>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shrinkToFit="0" vertical="bottom" wrapText="0"/>
    </xf>
    <xf borderId="0" fillId="2" fontId="1" numFmtId="0" xfId="0" applyAlignment="1" applyFont="1">
      <alignment horizontal="center" readingOrder="0" vertical="bottom"/>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shrinkToFit="0" vertical="bottom" wrapText="0"/>
    </xf>
    <xf borderId="0" fillId="0" fontId="3" numFmtId="0" xfId="0" applyAlignment="1" applyFont="1">
      <alignment horizontal="center" readingOrder="0" vertical="bottom"/>
    </xf>
    <xf borderId="0" fillId="0" fontId="3" numFmtId="0" xfId="0" applyAlignment="1" applyFont="1">
      <alignment readingOrder="0" vertical="bottom"/>
    </xf>
    <xf borderId="0" fillId="0" fontId="3" numFmtId="0" xfId="0" applyAlignment="1" applyFont="1">
      <alignment horizontal="center" readingOrder="0"/>
    </xf>
    <xf borderId="0" fillId="0" fontId="3" numFmtId="164" xfId="0" applyAlignment="1" applyFont="1" applyNumberFormat="1">
      <alignment readingOrder="0" vertical="bottom"/>
    </xf>
    <xf borderId="0" fillId="3" fontId="5" numFmtId="0" xfId="0" applyAlignment="1" applyFill="1" applyFont="1">
      <alignment horizontal="center" readingOrder="0"/>
    </xf>
    <xf borderId="0" fillId="3" fontId="3" numFmtId="0" xfId="0" applyAlignment="1" applyFont="1">
      <alignment horizontal="center" readingOrder="0" vertical="bottom"/>
    </xf>
    <xf borderId="0" fillId="0" fontId="3" numFmtId="0" xfId="0" applyAlignment="1" applyFont="1">
      <alignment horizontal="center" vertical="bottom"/>
    </xf>
    <xf borderId="0" fillId="0" fontId="6" numFmtId="0" xfId="0" applyAlignment="1" applyFont="1">
      <alignment readingOrder="0" shrinkToFit="0" vertical="bottom" wrapText="0"/>
    </xf>
    <xf borderId="0" fillId="0" fontId="7" numFmtId="0" xfId="0" applyAlignment="1" applyFont="1">
      <alignment readingOrder="0" vertical="bottom"/>
    </xf>
    <xf borderId="0" fillId="0" fontId="7" numFmtId="0" xfId="0" applyAlignment="1" applyFont="1">
      <alignment readingOrder="0" shrinkToFit="0" vertical="bottom" wrapText="0"/>
    </xf>
    <xf borderId="0" fillId="0" fontId="8" numFmtId="0" xfId="0" applyAlignment="1" applyFont="1">
      <alignment readingOrder="0"/>
    </xf>
    <xf borderId="0" fillId="0" fontId="3" numFmtId="164" xfId="0" applyAlignment="1" applyFont="1" applyNumberFormat="1">
      <alignment horizontal="right" vertical="bottom"/>
    </xf>
    <xf quotePrefix="1" borderId="0" fillId="0" fontId="7" numFmtId="0" xfId="0" applyAlignment="1" applyFont="1">
      <alignment readingOrder="0" vertical="bottom"/>
    </xf>
    <xf borderId="0" fillId="0" fontId="2" numFmtId="0" xfId="0" applyAlignment="1" applyFont="1">
      <alignment horizontal="center" readingOrder="0"/>
    </xf>
    <xf borderId="0" fillId="0" fontId="3" numFmtId="164" xfId="0" applyAlignment="1" applyFont="1" applyNumberFormat="1">
      <alignment horizontal="right" readingOrder="0" vertical="bottom"/>
    </xf>
    <xf borderId="0" fillId="0" fontId="2" numFmtId="164" xfId="0" applyAlignment="1" applyFont="1" applyNumberFormat="1">
      <alignment readingOrder="0"/>
    </xf>
    <xf borderId="0" fillId="0" fontId="8" numFmtId="0" xfId="0" applyFont="1"/>
    <xf borderId="0" fillId="0" fontId="3" numFmtId="0" xfId="0" applyAlignment="1" applyFont="1">
      <alignment horizontal="right" vertical="bottom"/>
    </xf>
    <xf quotePrefix="1" borderId="0" fillId="0" fontId="8" numFmtId="0" xfId="0" applyAlignment="1" applyFont="1">
      <alignment readingOrder="0"/>
    </xf>
    <xf borderId="0" fillId="0" fontId="3" numFmtId="165" xfId="0" applyAlignment="1" applyFont="1" applyNumberFormat="1">
      <alignment readingOrder="0" vertical="bottom"/>
    </xf>
    <xf borderId="0" fillId="0" fontId="3" numFmtId="0" xfId="0" applyAlignment="1" applyFont="1">
      <alignment horizontal="center" readingOrder="0" shrinkToFit="0" wrapText="0"/>
    </xf>
    <xf borderId="0" fillId="0" fontId="3" numFmtId="0" xfId="0" applyAlignment="1" applyFont="1">
      <alignment shrinkToFit="0" vertical="bottom" wrapText="0"/>
    </xf>
    <xf borderId="0" fillId="0" fontId="2" numFmtId="0" xfId="0" applyAlignment="1" applyFont="1">
      <alignment horizontal="center" readingOrder="0" shrinkToFit="0" wrapText="0"/>
    </xf>
    <xf borderId="0" fillId="0" fontId="8" numFmtId="0" xfId="0" applyAlignment="1" applyFont="1">
      <alignment readingOrder="0" shrinkToFit="0" wrapText="0"/>
    </xf>
    <xf borderId="0" fillId="0" fontId="2" numFmtId="0" xfId="0" applyAlignment="1" applyFont="1">
      <alignment readingOrder="0" shrinkToFit="0" wrapText="0"/>
    </xf>
    <xf borderId="0" fillId="0" fontId="3" numFmtId="0" xfId="0" applyAlignment="1" applyFont="1">
      <alignment readingOrder="0" shrinkToFit="0" vertical="bottom" wrapText="0"/>
    </xf>
    <xf borderId="0" fillId="0" fontId="2" numFmtId="0" xfId="0" applyAlignment="1" applyFont="1">
      <alignment shrinkToFit="0" wrapText="0"/>
    </xf>
    <xf borderId="0" fillId="0" fontId="9" numFmtId="0" xfId="0" applyAlignment="1" applyFont="1">
      <alignment horizontal="center" readingOrder="0" shrinkToFit="0" wrapText="0"/>
    </xf>
    <xf borderId="0" fillId="0" fontId="8" numFmtId="0" xfId="0" applyAlignment="1" applyFont="1">
      <alignment horizontal="center" readingOrder="0"/>
    </xf>
    <xf borderId="0" fillId="0" fontId="2" numFmtId="0" xfId="0" applyAlignment="1" applyFont="1">
      <alignment horizontal="center"/>
    </xf>
    <xf borderId="0" fillId="0" fontId="10" numFmtId="0" xfId="0" applyAlignment="1" applyFont="1">
      <alignment vertical="bottom"/>
    </xf>
    <xf borderId="0" fillId="2" fontId="1" numFmtId="0" xfId="0" applyAlignment="1" applyFont="1">
      <alignment horizontal="center" readingOrder="0" shrinkToFit="0" vertical="bottom" wrapText="0"/>
    </xf>
    <xf borderId="0" fillId="4" fontId="1" numFmtId="0" xfId="0" applyAlignment="1" applyFill="1" applyFont="1">
      <alignment readingOrder="0" vertical="bottom"/>
    </xf>
    <xf borderId="0" fillId="4" fontId="1" numFmtId="0" xfId="0" applyAlignment="1" applyFont="1">
      <alignment vertical="bottom"/>
    </xf>
    <xf borderId="0" fillId="5" fontId="1" numFmtId="0" xfId="0" applyAlignment="1" applyFill="1" applyFont="1">
      <alignment vertical="bottom"/>
    </xf>
    <xf borderId="0" fillId="6" fontId="1" numFmtId="0" xfId="0" applyAlignment="1" applyFill="1" applyFont="1">
      <alignment vertical="bottom"/>
    </xf>
    <xf borderId="0" fillId="0" fontId="2" numFmtId="0" xfId="0" applyFont="1"/>
    <xf borderId="0" fillId="7" fontId="3" numFmtId="0" xfId="0" applyAlignment="1" applyFill="1" applyFont="1">
      <alignment vertical="bottom"/>
    </xf>
    <xf borderId="0" fillId="0" fontId="11" numFmtId="0" xfId="0" applyAlignment="1" applyFont="1">
      <alignment vertical="bottom"/>
    </xf>
    <xf borderId="0" fillId="0" fontId="3" numFmtId="0" xfId="0" applyAlignment="1" applyFont="1">
      <alignment horizontal="center"/>
    </xf>
    <xf borderId="0" fillId="0" fontId="3" numFmtId="0" xfId="0" applyAlignment="1" applyFont="1">
      <alignment vertical="bottom"/>
    </xf>
    <xf borderId="0" fillId="7" fontId="3" numFmtId="164" xfId="0" applyAlignment="1" applyFont="1" applyNumberFormat="1">
      <alignment horizontal="right" vertical="bottom"/>
    </xf>
    <xf borderId="0" fillId="7" fontId="3" numFmtId="0" xfId="0" applyAlignment="1" applyFont="1">
      <alignment horizontal="right" vertical="bottom"/>
    </xf>
    <xf borderId="0" fillId="8" fontId="3" numFmtId="0" xfId="0" applyAlignment="1" applyFill="1" applyFont="1">
      <alignment horizontal="center"/>
    </xf>
    <xf borderId="0" fillId="7" fontId="3" numFmtId="164" xfId="0" applyAlignment="1" applyFont="1" applyNumberFormat="1">
      <alignment vertical="bottom"/>
    </xf>
    <xf borderId="0" fillId="0" fontId="3" numFmtId="9" xfId="0" applyAlignment="1" applyFont="1" applyNumberFormat="1">
      <alignment vertical="bottom"/>
    </xf>
    <xf borderId="0" fillId="0" fontId="3" numFmtId="0" xfId="0" applyAlignment="1" applyFont="1">
      <alignment readingOrder="0" vertical="bottom"/>
    </xf>
    <xf borderId="0" fillId="7" fontId="3" numFmtId="164" xfId="0" applyAlignment="1" applyFont="1" applyNumberFormat="1">
      <alignment readingOrder="0" vertical="bottom"/>
    </xf>
    <xf borderId="0" fillId="7" fontId="3" numFmtId="0" xfId="0" applyAlignment="1" applyFont="1">
      <alignment readingOrder="0" vertical="bottom"/>
    </xf>
    <xf borderId="0" fillId="9" fontId="3" numFmtId="0" xfId="0" applyAlignment="1" applyFill="1" applyFont="1">
      <alignment vertical="bottom"/>
    </xf>
    <xf borderId="0" fillId="7" fontId="2" numFmtId="164" xfId="0" applyAlignment="1" applyFont="1" applyNumberFormat="1">
      <alignment readingOrder="0"/>
    </xf>
    <xf borderId="0" fillId="7" fontId="2" numFmtId="0" xfId="0" applyAlignment="1" applyFont="1">
      <alignment readingOrder="0"/>
    </xf>
    <xf borderId="0" fillId="9" fontId="3" numFmtId="0" xfId="0" applyAlignment="1" applyFont="1">
      <alignment horizontal="center"/>
    </xf>
    <xf borderId="0" fillId="0" fontId="2" numFmtId="0" xfId="0" applyFont="1"/>
    <xf borderId="0" fillId="10" fontId="12" numFmtId="0" xfId="0" applyAlignment="1" applyFill="1" applyFont="1">
      <alignment readingOrder="0" vertical="bottom"/>
    </xf>
    <xf borderId="0" fillId="0" fontId="3" numFmtId="0" xfId="0" applyAlignment="1" applyFont="1">
      <alignment vertical="bottom"/>
    </xf>
    <xf borderId="0" fillId="10" fontId="3" numFmtId="0" xfId="0" applyAlignment="1" applyFont="1">
      <alignment vertical="bottom"/>
    </xf>
    <xf borderId="0" fillId="9" fontId="3" numFmtId="0" xfId="0" applyAlignment="1" applyFont="1">
      <alignment horizontal="center" readingOrder="0"/>
    </xf>
    <xf borderId="0" fillId="0" fontId="13" numFmtId="0" xfId="0" applyAlignment="1" applyFont="1">
      <alignment readingOrder="0"/>
    </xf>
    <xf borderId="0" fillId="0" fontId="7" numFmtId="0" xfId="0" applyAlignment="1" applyFont="1">
      <alignment vertical="bottom"/>
    </xf>
    <xf borderId="0" fillId="0" fontId="3" numFmtId="0" xfId="0" applyAlignment="1" applyFont="1">
      <alignment horizontal="center" shrinkToFit="0" vertical="bottom" wrapText="0"/>
    </xf>
    <xf borderId="0" fillId="2" fontId="1" numFmtId="0" xfId="0" applyAlignment="1" applyFont="1">
      <alignment horizontal="center" shrinkToFit="0" vertical="bottom" wrapText="1"/>
    </xf>
    <xf borderId="0" fillId="2" fontId="1" numFmtId="0" xfId="0" applyAlignment="1" applyFont="1">
      <alignment horizontal="center" shrinkToFit="0" vertical="bottom" wrapText="1"/>
    </xf>
    <xf borderId="0" fillId="11" fontId="14" numFmtId="0" xfId="0" applyAlignment="1" applyFill="1" applyFont="1">
      <alignment horizontal="center" shrinkToFit="0" vertical="bottom" wrapText="1"/>
    </xf>
    <xf borderId="0" fillId="11" fontId="14" numFmtId="0" xfId="0" applyAlignment="1" applyFont="1">
      <alignment shrinkToFit="0" vertical="bottom" wrapText="1"/>
    </xf>
    <xf borderId="0" fillId="0" fontId="2" numFmtId="165" xfId="0" applyAlignment="1" applyFont="1" applyNumberFormat="1">
      <alignment readingOrder="0"/>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3" numFmtId="9" xfId="0" applyAlignment="1" applyFont="1" applyNumberFormat="1">
      <alignment horizontal="center" readingOrder="0"/>
    </xf>
    <xf borderId="0" fillId="0" fontId="18" numFmtId="0" xfId="0" applyAlignment="1" applyFont="1">
      <alignment readingOrder="0"/>
    </xf>
    <xf borderId="0" fillId="0" fontId="2" numFmtId="9" xfId="0" applyAlignment="1" applyFont="1" applyNumberFormat="1">
      <alignment readingOrder="0"/>
    </xf>
    <xf quotePrefix="1" borderId="0" fillId="0" fontId="2" numFmtId="0" xfId="0" applyAlignment="1" applyFont="1">
      <alignment readingOrder="0"/>
    </xf>
    <xf borderId="0" fillId="0" fontId="19" numFmtId="0" xfId="0" applyAlignment="1" applyFont="1">
      <alignment readingOrder="0"/>
    </xf>
    <xf borderId="0" fillId="0" fontId="20" numFmtId="0" xfId="0" applyFont="1"/>
    <xf borderId="0" fillId="0" fontId="21" numFmtId="0" xfId="0" applyAlignment="1" applyFont="1">
      <alignment readingOrder="0"/>
    </xf>
    <xf borderId="0" fillId="0" fontId="22" numFmtId="0" xfId="0" applyAlignment="1" applyFont="1">
      <alignment vertical="bottom"/>
    </xf>
    <xf borderId="0" fillId="0" fontId="22" numFmtId="3" xfId="0" applyAlignment="1" applyFont="1" applyNumberFormat="1">
      <alignment horizontal="right" vertical="bottom"/>
    </xf>
    <xf borderId="0" fillId="10" fontId="1" numFmtId="0" xfId="0" applyAlignment="1" applyFont="1">
      <alignment shrinkToFit="0" vertical="bottom" wrapText="0"/>
    </xf>
    <xf borderId="0" fillId="10" fontId="1" numFmtId="164" xfId="0" applyAlignment="1" applyFont="1" applyNumberFormat="1">
      <alignment horizontal="right" readingOrder="0" vertical="bottom"/>
    </xf>
    <xf borderId="0" fillId="10" fontId="1" numFmtId="164" xfId="0" applyAlignment="1" applyFont="1" applyNumberFormat="1">
      <alignment horizontal="right" vertical="bottom"/>
    </xf>
    <xf borderId="0" fillId="10" fontId="1" numFmtId="164" xfId="0" applyAlignment="1" applyFont="1" applyNumberFormat="1">
      <alignment vertical="bottom"/>
    </xf>
    <xf borderId="0" fillId="0" fontId="1" numFmtId="164" xfId="0" applyAlignment="1" applyFont="1" applyNumberFormat="1">
      <alignment vertical="bottom"/>
    </xf>
    <xf borderId="0" fillId="12" fontId="3" numFmtId="0" xfId="0" applyAlignment="1" applyFill="1" applyFont="1">
      <alignment horizontal="right" vertical="bottom"/>
    </xf>
    <xf borderId="0" fillId="4" fontId="1" numFmtId="0" xfId="0" applyAlignment="1" applyFont="1">
      <alignment vertical="bottom"/>
    </xf>
    <xf borderId="0" fillId="4" fontId="3" numFmtId="0" xfId="0" applyAlignment="1" applyFont="1">
      <alignment vertical="bottom"/>
    </xf>
    <xf borderId="0" fillId="0" fontId="3" numFmtId="0" xfId="0" applyAlignment="1" applyFont="1">
      <alignment horizontal="right" vertical="bottom"/>
    </xf>
    <xf borderId="0" fillId="0" fontId="14" numFmtId="0" xfId="0" applyAlignment="1" applyFont="1">
      <alignment horizontal="right" vertical="bottom"/>
    </xf>
    <xf borderId="0" fillId="13" fontId="3" numFmtId="0" xfId="0" applyAlignment="1" applyFill="1" applyFont="1">
      <alignment vertical="bottom"/>
    </xf>
    <xf borderId="0" fillId="13" fontId="3" numFmtId="164" xfId="0" applyAlignment="1" applyFont="1" applyNumberFormat="1">
      <alignment horizontal="right" vertical="bottom"/>
    </xf>
    <xf borderId="0" fillId="2" fontId="1" numFmtId="0" xfId="0" applyAlignment="1" applyFont="1">
      <alignment horizontal="center" readingOrder="0" shrinkToFit="0" vertical="bottom" wrapText="1"/>
    </xf>
    <xf borderId="0" fillId="0" fontId="2" numFmtId="0" xfId="0" applyAlignment="1" applyFont="1">
      <alignment shrinkToFit="0" wrapText="1"/>
    </xf>
    <xf borderId="0" fillId="0" fontId="23" numFmtId="0" xfId="0" applyAlignment="1" applyFont="1">
      <alignment vertical="bottom"/>
    </xf>
    <xf borderId="0" fillId="10" fontId="1" numFmtId="0" xfId="0" applyAlignment="1" applyFont="1">
      <alignment readingOrder="0" vertical="bottom"/>
    </xf>
    <xf borderId="0" fillId="0" fontId="3" numFmtId="0" xfId="0" applyAlignment="1" applyFont="1">
      <alignment readingOrder="0" vertical="bottom"/>
    </xf>
    <xf borderId="0" fillId="0" fontId="24" numFmtId="0" xfId="0" applyAlignment="1" applyFont="1">
      <alignment readingOrder="0" vertical="bottom"/>
    </xf>
    <xf borderId="0" fillId="0" fontId="2" numFmtId="166" xfId="0" applyAlignment="1" applyFont="1" applyNumberFormat="1">
      <alignment readingOrder="0"/>
    </xf>
    <xf borderId="0" fillId="0" fontId="25" numFmtId="0" xfId="0" applyAlignment="1" applyFont="1">
      <alignment readingOrder="0"/>
    </xf>
    <xf borderId="0" fillId="0" fontId="25" numFmtId="0" xfId="0" applyFont="1"/>
    <xf borderId="0" fillId="10" fontId="26" numFmtId="0" xfId="0" applyAlignment="1" applyFont="1">
      <alignment readingOrder="0"/>
    </xf>
    <xf borderId="0" fillId="10" fontId="26" numFmtId="164" xfId="0" applyAlignment="1" applyFont="1" applyNumberFormat="1">
      <alignment readingOrder="0"/>
    </xf>
    <xf borderId="0" fillId="10" fontId="26" numFmtId="164" xfId="0" applyFont="1" applyNumberFormat="1"/>
    <xf borderId="0" fillId="0" fontId="27" numFmtId="0" xfId="0" applyAlignment="1" applyFont="1">
      <alignment readingOrder="0"/>
    </xf>
    <xf borderId="0" fillId="0" fontId="28" numFmtId="0" xfId="0" applyFont="1"/>
  </cellXfs>
  <cellStyles count="1">
    <cellStyle xfId="0" name="Normal" builtinId="0"/>
  </cellStyles>
  <dxfs count="2">
    <dxf>
      <font/>
      <fill>
        <patternFill patternType="solid">
          <fgColor rgb="FFF4CCCC"/>
          <bgColor rgb="FFF4CCCC"/>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red Minor" id="{e9449e8f-59ea-4c07-a905-928ca0263e5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7" dT="2026-05-21T02:37:48.00" personId="{e9449e8f-59ea-4c07-a905-928ca0263e50}" id="{9355c79d-6191-4b79-8758-3055b03d6aba}" done="1">
    <x18tc:text xml:space="preserve">waiting on rubric</x18tc:text>
  </x18tc:threadedComment>
  <x18tc:threadedComment ref="C27" dT="2026-05-21T14:23:53.00" personId="{e9449e8f-59ea-4c07-a905-928ca0263e50}" id="{a21c934e-4c38-4ed1-8940-ab41d8f326c0}" done="1">
    <x18tc:text xml:space="preserve">waiting on rubric</x18tc:text>
  </x18tc:threadedComment>
  <x18tc:threadedComment ref="C23" dT="2026-05-20T16:13:16.00" personId="{e9449e8f-59ea-4c07-a905-928ca0263e50}" id="{b4ac1c9e-762f-468c-8286-c2d54b131cc6}" done="1">
    <x18tc:text xml:space="preserve">waiting on Claude Feedback</x18tc:text>
  </x18tc:threadedComment>
  <x18tc:threadedComment ref="C24" dT="2026-05-20T15:47:52.00" personId="{e9449e8f-59ea-4c07-a905-928ca0263e50}" id="{9f674c31-c1f7-4ffb-9899-821e4eec4cab}" done="1">
    <x18tc:text xml:space="preserve">check once Claude feedback is done</x18tc:text>
  </x18tc:threadedComment>
  <x18tc:threadedComment ref="C11" dT="2026-05-21T03:42:35.00" personId="{e9449e8f-59ea-4c07-a905-928ca0263e50}" id="{3049a636-0727-43cc-a610-a0766ae418dd}" done="1">
    <x18tc:text xml:space="preserve">Waiting on Claude Feedback</x18tc:text>
  </x18tc:threadedComment>
  <x18tc:threadedComment ref="C21" dT="2026-05-20T17:57:06.00" personId="{e9449e8f-59ea-4c07-a905-928ca0263e50}" id="{d40db1f8-9249-45d3-ace2-a6a6398bd3cb}" done="0">
    <x18tc:text xml:space="preserve">Claude feedback erroneously flagging column width being an issue and causing truncation in 2024 - 2029. It is claiming the column width is set to the default of ~8.3 whereas its set to 18, similar to 2023.</x18tc:text>
  </x18tc:threadedComment>
  <x18tc:threadedComment ref="C18" dT="2026-05-21T04:21:13.00" personId="{e9449e8f-59ea-4c07-a905-928ca0263e50}" id="{0806c352-152e-473b-afb7-059715a770a4}" done="1">
    <x18tc:text xml:space="preserve">waiting to be sent to prompt stage</x18tc:text>
  </x18tc:threadedComment>
  <x18tc:threadedComment ref="C10" dT="2026-05-21T02:56:05.00" personId="{e9449e8f-59ea-4c07-a905-928ca0263e50}" id="{ac2c46b5-ab24-4cff-8e8d-e7afe5ecbb96}" done="1">
    <x18tc:text xml:space="preserve">waiting on Claude Feedback</x18tc:text>
  </x18tc:threadedComment>
  <x18tc:threadedComment ref="C22" dT="2026-05-20T16:13:23.00" personId="{e9449e8f-59ea-4c07-a905-928ca0263e50}" id="{d48c22a0-4a50-4c4f-8ccf-79d26c164bc3}" done="1">
    <x18tc:text xml:space="preserve">Waiting on Claude Feedback</x18tc:text>
  </x18tc:threadedComment>
  <x18tc:threadedComment ref="C36" dT="2026-05-21T00:44:00.00" personId="{e9449e8f-59ea-4c07-a905-928ca0263e50}" id="{a29849d4-5963-4c03-8934-e8c6f86d863a}" done="0">
    <x18tc:text xml:space="preserve">cluster of small tasks - will revisit</x18tc:text>
  </x18tc:threadedComment>
  <x18tc:threadedComment ref="C35" dT="2026-05-20T21:17:26.00" personId="{e9449e8f-59ea-4c07-a905-928ca0263e50}" id="{024ae4cf-2622-4a64-89f6-4983df640e61}" done="1">
    <x18tc:text xml:space="preserve">Waiting on Claude</x18tc:text>
  </x18tc:threadedComment>
  <x18tc:threadedComment ref="C14" dT="2026-05-21T03:57:57.00" personId="{e9449e8f-59ea-4c07-a905-928ca0263e50}" id="{c20f35f0-f869-4e70-938d-946b0cddcc55}" done="1">
    <x18tc:text xml:space="preserve">Waiting on rubric - will check in AM on 5/21</x18tc:text>
  </x18tc:threadedComment>
  <x18tc:threadedComment ref="C14" dT="2026-05-21T13:17:29.00" personId="{e9449e8f-59ea-4c07-a905-928ca0263e50}" id="{1ddd119f-ef5d-4da5-8fce-837e4f2b0400}" parentId="{c20f35f0-f869-4e70-938d-946b0cddcc55}">
    <x18tc:text xml:space="preserve">waiting on claude feedback</x18tc:text>
  </x18tc:threadedComment>
  <x18tc:threadedComment ref="C19" dT="2026-05-20T17:57:21.00" personId="{e9449e8f-59ea-4c07-a905-928ca0263e50}" id="{afe3b014-1ac6-43b7-8602-4f1015fc0a03}" done="1">
    <x18tc:text xml:space="preserve">waiting on guidance - simple task</x18tc:text>
  </x18tc:threadedComment>
  <x18tc:threadedComment ref="C19" dT="2026-05-21T04:21:21.00" personId="{e9449e8f-59ea-4c07-a905-928ca0263e50}" id="{71550616-39bf-462c-8a9a-34812ee51c1e}" done="1">
    <x18tc:text xml:space="preserve">waiting to be sent to prompt stage</x18tc:text>
  </x18tc:threadedComment>
  <x18tc:threadedComment ref="C27" dT="2026-05-21T15:12:16.00" personId="{e9449e8f-59ea-4c07-a905-928ca0263e50}" id="{e00e19ba-0c69-4f53-9a89-350ab98f12d8}" done="1">
    <x18tc:text xml:space="preserve">waiting on Claude</x18tc:text>
  </x18tc:threadedComment>
  <x18tc:threadedComment ref="C34" dT="2026-05-20T21:17:32.00" personId="{e9449e8f-59ea-4c07-a905-928ca0263e50}" id="{bcda326d-b762-4bc4-b61e-148751976c5f}" done="1">
    <x18tc:text xml:space="preserve">Waiting on Claude</x18tc:text>
  </x18tc:threadedComment>
  <x18tc:threadedComment ref="C23" dT="2026-05-20T15:53:16.00" personId="{e9449e8f-59ea-4c07-a905-928ca0263e50}" id="{bc7c60c4-a19a-4e86-af26-487f2a81f257}" done="1">
    <x18tc:text xml:space="preserve">will submit once the claude feedback on 9451a181 is done - its essentially the same task just on a different tab</x18tc:text>
  </x18tc:threadedComment>
  <x18tc:threadedComment ref="C18" dT="2026-05-20T17:59:58.00" personId="{e9449e8f-59ea-4c07-a905-928ca0263e50}" id="{7a10b508-bd8e-4e3e-a494-903cd18f3aa7}" done="1">
    <x18tc:text xml:space="preserve">waiting on guidance - simple task</x18tc:text>
  </x18tc:threadedComment>
  <x18tc:threadedComment ref="C13" dT="2026-05-21T04:36:18.00" personId="{e9449e8f-59ea-4c07-a905-928ca0263e50}" id="{9a6a742b-4c6d-469e-be20-d627a5f4d6f7}" done="0">
    <x18tc:text xml:space="preserve">feel like this should be split into multiple tasks; building a P&amp;L detail tab, a BS, and a CF for the historical and projection periods.</x18tc:text>
  </x18tc:threadedComment>
  <x18tc:threadedComment ref="C8" dT="2026-05-20T22:24:59.00" personId="{e9449e8f-59ea-4c07-a905-928ca0263e50}" id="{83536daf-dcb4-4862-818c-1a26e2b0656f}" done="1">
    <x18tc:text xml:space="preserve">rubric is ready</x18tc:text>
  </x18tc:threadedComment>
  <x18tc:threadedComment ref="C8" dT="2026-05-21T00:51:28.00" personId="{e9449e8f-59ea-4c07-a905-928ca0263e50}" id="{6336ee2f-d56d-40e4-9148-2d1548d42549}" parentId="{83536daf-dcb4-4862-818c-1a26e2b0656f}">
    <x18tc:text xml:space="preserve">waiting on claude feedback</x18tc:text>
  </x18tc:threadedComment>
  <x18tc:threadedComment ref="C21" dT="2026-05-20T17:28:53.00" personId="{e9449e8f-59ea-4c07-a905-928ca0263e50}" id="{ac6052d2-623f-4b96-ac10-231413e9737b}" done="1">
    <x18tc:text xml:space="preserve">Waiting on Claude Feedback</x18tc:text>
  </x18tc:threadedComment>
  <x18tc:threadedComment ref="C10" dT="2026-05-21T01:10:19.00" personId="{e9449e8f-59ea-4c07-a905-928ca0263e50}" id="{16e251ff-ff04-4868-b88f-1fbcd0f94db3}" done="1">
    <x18tc:text xml:space="preserve">I forgot to upload my updated input/output files before submitting my prompt... calling back</x18tc:text>
  </x18tc:threadedComment>
  <x18tc:threadedComment ref="C18" dT="2026-05-21T17:58:14.00" personId="{e9449e8f-59ea-4c07-a905-928ca0263e50}" id="{eabc9485-495d-4ba5-96d2-5b3a8b9222c0}" done="0">
    <x18tc:text xml:space="preserve">Claude gave the prompt a 3 bc adding in the new columns shifts the location of a table that's being reference in the input file, and all the formulas update (which happens automatically), so it was flagging 2,000+ changes not addressed in the prompt...</x18tc:text>
  </x18tc:threadedComment>
  <x18tc:threadedComment ref="C34" dT="2026-05-20T20:12:06.00" personId="{e9449e8f-59ea-4c07-a905-928ca0263e50}" id="{58a87c94-db4b-4300-932d-13a11f83b3dd}" done="1">
    <x18tc:text xml:space="preserve">waiting on Claude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TFgQ8V0w4B-W1PFuxq6yX7GYBAqXTXTkHoeZZkj_6iw/edit?tab=t.0" TargetMode="External"/><Relationship Id="rId2" Type="http://schemas.openxmlformats.org/officeDocument/2006/relationships/hyperlink" Target="https://docs.google.com/document/d/1TFgQ8V0w4B-W1PFuxq6yX7GYBAqXTXTkHoeZZkj_6iw/edit?tab=t.g2ax73ars7m7" TargetMode="External"/><Relationship Id="rId3" Type="http://schemas.openxmlformats.org/officeDocument/2006/relationships/hyperlink" Target="https://docs.google.com/document/d/1Fa8myr1OM0iA38ye_0bPgvM1J_T-MV9bxGTh8MBInD4/edit?tab=t.0" TargetMode="External"/><Relationship Id="rId4" Type="http://schemas.openxmlformats.org/officeDocument/2006/relationships/hyperlink" Target="https://docs.google.com/document/d/1u8ogRrWxyk3M8VTkQio0Xssogl-dDe3vl5PkD8O-IQE/edit?tab=t.0" TargetMode="External"/><Relationship Id="rId9" Type="http://schemas.openxmlformats.org/officeDocument/2006/relationships/drawing" Target="../drawings/drawing5.xml"/><Relationship Id="rId5" Type="http://schemas.openxmlformats.org/officeDocument/2006/relationships/hyperlink" Target="https://docs.google.com/document/d/1h3suyWzoVFkRLyDtjOuctLycp0CrcktU9CvfFuh94TI/edit?tab=t.0" TargetMode="External"/><Relationship Id="rId6" Type="http://schemas.openxmlformats.org/officeDocument/2006/relationships/hyperlink" Target="https://1drv.ms/w/c/35d0e38a19f1f1b1/IQBst5asIxGURpwU8CrzJywyAR696Z4eFVGDCbDZ8TadnRs?e=VNptNJPrompt:" TargetMode="External"/><Relationship Id="rId7" Type="http://schemas.openxmlformats.org/officeDocument/2006/relationships/hyperlink" Target="https://docs.google.com/document/d/1s7yCngS5kK6dQpzmkrBkBO9Rw3yVa20nnLOHMPPjIRo/edit?tab=t.0" TargetMode="External"/><Relationship Id="rId8" Type="http://schemas.openxmlformats.org/officeDocument/2006/relationships/hyperlink" Target="https://docs.google.com/document/d/1E1-fK6nwhFvzw39QLGYwew3l16yYte--uM3wM-aHS1k/edit?tab=t.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ySpoM8KwIIhrCmO9kg38yyR0gw3Qo2-BTmotW5oyErw/edit?usp=sharing" TargetMode="External"/><Relationship Id="rId2" Type="http://schemas.openxmlformats.org/officeDocument/2006/relationships/hyperlink" Target="https://docs.google.com/document/d/1Gt0zkHJNIlKsOSQVeSHV3KhTYU1D-Q6Of9S_pzOcBcQ/edit?tab=t.vf0bfpwln4im" TargetMode="External"/><Relationship Id="rId3" Type="http://schemas.openxmlformats.org/officeDocument/2006/relationships/hyperlink" Target="https://docs.google.com/document/d/1_riKikOXL0ciKK_EFxK8uiExbiaD7UBf3JBbMKwz3EU/edit?tab=t.0" TargetMode="External"/><Relationship Id="rId4" Type="http://schemas.openxmlformats.org/officeDocument/2006/relationships/hyperlink" Target="https://docs.google.com/document/d/1Gt0zkHJNIlKsOSQVeSHV3KhTYU1D-Q6Of9S_pzOcBcQ/edit?usp=sharing"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www.tsip.ai/claim/9cdc5443-00eb-40d2-8677-179f2cd965f4" TargetMode="External"/><Relationship Id="rId42" Type="http://schemas.openxmlformats.org/officeDocument/2006/relationships/hyperlink" Target="http://www.tsip.ai/claim/6719ea50-0419-455d-9ae4-a23aa55d0f15" TargetMode="External"/><Relationship Id="rId41" Type="http://schemas.openxmlformats.org/officeDocument/2006/relationships/hyperlink" Target="http://www.tsip.ai/claim/b4353c48-c1dd-4149-9d04-bae1b665c1b6" TargetMode="External"/><Relationship Id="rId44" Type="http://schemas.openxmlformats.org/officeDocument/2006/relationships/hyperlink" Target="http://www.tsip.ai/claim/f56e5f94-1804-4c02-92a5-5706457727e7" TargetMode="External"/><Relationship Id="rId43" Type="http://schemas.openxmlformats.org/officeDocument/2006/relationships/hyperlink" Target="http://www.tsip.ai/claim/768d54c2-af42-4cf3-a123-c62dc3fc3495" TargetMode="External"/><Relationship Id="rId46" Type="http://schemas.openxmlformats.org/officeDocument/2006/relationships/hyperlink" Target="http://www.tsip.ai/claim/d5201867-8c2f-4715-8ec0-ccf159773a6c" TargetMode="External"/><Relationship Id="rId45" Type="http://schemas.openxmlformats.org/officeDocument/2006/relationships/hyperlink" Target="http://www.tsip.ai/claim/b0bc1f34-7a9f-46d9-9bc2-5c3cdb035510" TargetMode="External"/><Relationship Id="rId106" Type="http://schemas.openxmlformats.org/officeDocument/2006/relationships/drawing" Target="../drawings/drawing10.xml"/><Relationship Id="rId105" Type="http://schemas.openxmlformats.org/officeDocument/2006/relationships/hyperlink" Target="http://www.tsip.ai/claim/770d6896-3911-43f3-9e68-49e4574741cf" TargetMode="External"/><Relationship Id="rId104" Type="http://schemas.openxmlformats.org/officeDocument/2006/relationships/hyperlink" Target="http://www.tsip.ai/claim/b0b4e5c8-2144-4ab5-a4e5-bcac7e64e677" TargetMode="External"/><Relationship Id="rId48" Type="http://schemas.openxmlformats.org/officeDocument/2006/relationships/hyperlink" Target="http://www.tsip.ai/claim/62b06246-fb41-446f-afb7-c096b7a11547" TargetMode="External"/><Relationship Id="rId47" Type="http://schemas.openxmlformats.org/officeDocument/2006/relationships/hyperlink" Target="http://www.tsip.ai/claim/cbaaebf0-436d-40c3-a611-13c5137b2e9c" TargetMode="External"/><Relationship Id="rId49" Type="http://schemas.openxmlformats.org/officeDocument/2006/relationships/hyperlink" Target="http://www.tsip.ai/claim/01172d66-496e-41f7-988d-79811492c576" TargetMode="External"/><Relationship Id="rId103" Type="http://schemas.openxmlformats.org/officeDocument/2006/relationships/hyperlink" Target="http://www.tsip.ai/claim/cb37cf7e-2f50-4edb-be72-b53da9e903a3" TargetMode="External"/><Relationship Id="rId102" Type="http://schemas.openxmlformats.org/officeDocument/2006/relationships/hyperlink" Target="http://www.tsip.ai/claim/5c290582-41fc-48bc-ab7e-c503105ca691" TargetMode="External"/><Relationship Id="rId101" Type="http://schemas.openxmlformats.org/officeDocument/2006/relationships/hyperlink" Target="http://www.tsip.ai/claim/c9b73865-5d68-409c-ac63-c6361333cb0b" TargetMode="External"/><Relationship Id="rId100" Type="http://schemas.openxmlformats.org/officeDocument/2006/relationships/hyperlink" Target="http://www.tsip.ai/claim/5f6bf0aa-fdc0-41de-8286-861984d7861b" TargetMode="External"/><Relationship Id="rId31" Type="http://schemas.openxmlformats.org/officeDocument/2006/relationships/hyperlink" Target="http://www.tsip.ai/claim/1ff6f60b-8390-47b0-b747-928d73ef3054" TargetMode="External"/><Relationship Id="rId30" Type="http://schemas.openxmlformats.org/officeDocument/2006/relationships/hyperlink" Target="http://www.tsip.ai/claim/8ac4d26f-3a5f-44ba-95f1-0239f0d50b90" TargetMode="External"/><Relationship Id="rId33" Type="http://schemas.openxmlformats.org/officeDocument/2006/relationships/hyperlink" Target="http://www.tsip.ai/claim/41c226f2-ba89-4bc1-9c79-0652af2b6ec1" TargetMode="External"/><Relationship Id="rId32" Type="http://schemas.openxmlformats.org/officeDocument/2006/relationships/hyperlink" Target="http://www.tsip.ai/claim/6997e404-42bc-473e-9473-472dae9b33f3" TargetMode="External"/><Relationship Id="rId35" Type="http://schemas.openxmlformats.org/officeDocument/2006/relationships/hyperlink" Target="http://www.tsip.ai/claim/45418df9-1c00-4ed7-9fb7-62dce547a373" TargetMode="External"/><Relationship Id="rId34" Type="http://schemas.openxmlformats.org/officeDocument/2006/relationships/hyperlink" Target="http://www.tsip.ai/claim/3827d875-9a73-4745-b094-dc09423d6791" TargetMode="External"/><Relationship Id="rId37" Type="http://schemas.openxmlformats.org/officeDocument/2006/relationships/hyperlink" Target="http://www.tsip.ai/claim/66d1300f-d188-4b9e-a1e8-71435be5c3d2" TargetMode="External"/><Relationship Id="rId36" Type="http://schemas.openxmlformats.org/officeDocument/2006/relationships/hyperlink" Target="http://www.tsip.ai/claim/035be13c-765d-46cf-8503-8658f2549330" TargetMode="External"/><Relationship Id="rId39" Type="http://schemas.openxmlformats.org/officeDocument/2006/relationships/hyperlink" Target="http://www.tsip.ai/claim/5c872e42-8daf-4197-bc62-958ccb9d749f" TargetMode="External"/><Relationship Id="rId38" Type="http://schemas.openxmlformats.org/officeDocument/2006/relationships/hyperlink" Target="http://www.tsip.ai/claim/88888ffb-a7ee-4e9b-957c-51850409c497" TargetMode="External"/><Relationship Id="rId20" Type="http://schemas.openxmlformats.org/officeDocument/2006/relationships/hyperlink" Target="http://www.tsip.ai/claim/adae9bff-8bb1-4aff-bf46-542f1de45085" TargetMode="External"/><Relationship Id="rId22" Type="http://schemas.openxmlformats.org/officeDocument/2006/relationships/hyperlink" Target="http://www.tsip.ai/claim/844d98d7-68a7-4179-b67a-b0a52ba7f330" TargetMode="External"/><Relationship Id="rId21" Type="http://schemas.openxmlformats.org/officeDocument/2006/relationships/hyperlink" Target="http://www.tsip.ai/claim/c4bae5e7-5316-42fa-b1a8-1071d98a6bd3" TargetMode="External"/><Relationship Id="rId24" Type="http://schemas.openxmlformats.org/officeDocument/2006/relationships/hyperlink" Target="http://www.tsip.ai/claim/56d3c0ad-9d60-403d-a28f-64221834ac62" TargetMode="External"/><Relationship Id="rId23" Type="http://schemas.openxmlformats.org/officeDocument/2006/relationships/hyperlink" Target="http://www.tsip.ai/claim/b0a54378-631f-44d3-8044-a5e02915a60a" TargetMode="External"/><Relationship Id="rId26" Type="http://schemas.openxmlformats.org/officeDocument/2006/relationships/hyperlink" Target="http://www.tsip.ai/claim/c98d98e0-1b09-49a9-8f62-9562531c6dfc" TargetMode="External"/><Relationship Id="rId25" Type="http://schemas.openxmlformats.org/officeDocument/2006/relationships/hyperlink" Target="http://www.tsip.ai/claim/998027be-aa2a-4861-8124-29cc73b3f425" TargetMode="External"/><Relationship Id="rId28" Type="http://schemas.openxmlformats.org/officeDocument/2006/relationships/hyperlink" Target="http://www.tsip.ai/claim/605053db-cfdd-4b95-9484-aa07b268091a" TargetMode="External"/><Relationship Id="rId27" Type="http://schemas.openxmlformats.org/officeDocument/2006/relationships/hyperlink" Target="http://www.tsip.ai/claim/7a61d74d-3a0a-48df-8397-4c97e73dbfd0" TargetMode="External"/><Relationship Id="rId29" Type="http://schemas.openxmlformats.org/officeDocument/2006/relationships/hyperlink" Target="http://www.tsip.ai/claim/cbb26ee8-4eb5-406e-bd95-9bc6e41a4547" TargetMode="External"/><Relationship Id="rId95" Type="http://schemas.openxmlformats.org/officeDocument/2006/relationships/hyperlink" Target="http://www.tsip.ai/claim/dc01a43c-2106-4aaf-aa27-e8fc23f8bbe7" TargetMode="External"/><Relationship Id="rId94" Type="http://schemas.openxmlformats.org/officeDocument/2006/relationships/hyperlink" Target="http://www.tsip.ai/claim/36a9b6a3-131d-42e6-94f7-9eeddeb452e7" TargetMode="External"/><Relationship Id="rId97" Type="http://schemas.openxmlformats.org/officeDocument/2006/relationships/hyperlink" Target="http://www.tsip.ai/claim/6f701e96-168b-4853-b122-60f17091d1c5" TargetMode="External"/><Relationship Id="rId96" Type="http://schemas.openxmlformats.org/officeDocument/2006/relationships/hyperlink" Target="http://www.tsip.ai/claim/ca79c09e-78f2-4539-b1eb-3c4541fb871d" TargetMode="External"/><Relationship Id="rId11" Type="http://schemas.openxmlformats.org/officeDocument/2006/relationships/hyperlink" Target="http://www.tsip.ai/claim/195ce760-e162-43fb-bdaa-278863f41924" TargetMode="External"/><Relationship Id="rId99" Type="http://schemas.openxmlformats.org/officeDocument/2006/relationships/hyperlink" Target="http://www.tsip.ai/claim/bcd89c0c-3361-4035-bb91-0754c2b7f0e2" TargetMode="External"/><Relationship Id="rId10" Type="http://schemas.openxmlformats.org/officeDocument/2006/relationships/hyperlink" Target="http://www.tsip.ai/claim/8c93f0cc-70c6-4574-bae3-04215429a2df" TargetMode="External"/><Relationship Id="rId98" Type="http://schemas.openxmlformats.org/officeDocument/2006/relationships/hyperlink" Target="http://www.tsip.ai/claim/dac96900-9dc4-48e0-bf51-de10837e4217" TargetMode="External"/><Relationship Id="rId13" Type="http://schemas.openxmlformats.org/officeDocument/2006/relationships/hyperlink" Target="http://www.tsip.ai/claim/97e045da-10c7-41ac-81c3-241e47f94646" TargetMode="External"/><Relationship Id="rId12" Type="http://schemas.openxmlformats.org/officeDocument/2006/relationships/hyperlink" Target="http://www.tsip.ai/claim/abfe92d6-ae8b-456f-832b-bae042fe9324" TargetMode="External"/><Relationship Id="rId91" Type="http://schemas.openxmlformats.org/officeDocument/2006/relationships/hyperlink" Target="http://www.tsip.ai/claim/be97602e-e940-4430-9d62-ded08c505cb3" TargetMode="External"/><Relationship Id="rId90" Type="http://schemas.openxmlformats.org/officeDocument/2006/relationships/hyperlink" Target="http://www.tsip.ai/claim/f6c7cc4a-17f3-4bc6-8df0-764bc1a07cb3" TargetMode="External"/><Relationship Id="rId93" Type="http://schemas.openxmlformats.org/officeDocument/2006/relationships/hyperlink" Target="http://www.tsip.ai/claim/59cbd61d-f314-48c9-ae0f-dfa0d40abef9" TargetMode="External"/><Relationship Id="rId92" Type="http://schemas.openxmlformats.org/officeDocument/2006/relationships/hyperlink" Target="http://www.tsip.ai/claim/855b8b1f-f172-4054-935a-76c5483b4e0a" TargetMode="External"/><Relationship Id="rId15" Type="http://schemas.openxmlformats.org/officeDocument/2006/relationships/hyperlink" Target="http://www.tsip.ai/claim/376f2ea6-af15-456f-a1b9-8b09f665e8d4" TargetMode="External"/><Relationship Id="rId14" Type="http://schemas.openxmlformats.org/officeDocument/2006/relationships/hyperlink" Target="http://www.tsip.ai/claim/da549001-f65a-4b4b-9fd3-624293718d86" TargetMode="External"/><Relationship Id="rId17" Type="http://schemas.openxmlformats.org/officeDocument/2006/relationships/hyperlink" Target="http://www.tsip.ai/claim/06129870-83cf-49fe-a937-124c5de87e25" TargetMode="External"/><Relationship Id="rId16" Type="http://schemas.openxmlformats.org/officeDocument/2006/relationships/hyperlink" Target="http://www.tsip.ai/claim/21d96238-86c0-46a3-8f28-ef05055431e9" TargetMode="External"/><Relationship Id="rId19" Type="http://schemas.openxmlformats.org/officeDocument/2006/relationships/hyperlink" Target="http://www.tsip.ai/claim/4a18008e-e3ad-4a1b-9647-fb42a0f3d9a9" TargetMode="External"/><Relationship Id="rId18" Type="http://schemas.openxmlformats.org/officeDocument/2006/relationships/hyperlink" Target="http://www.tsip.ai/claim/974ba28c-ae24-4212-8a17-a9a87f2802a1" TargetMode="External"/><Relationship Id="rId84" Type="http://schemas.openxmlformats.org/officeDocument/2006/relationships/hyperlink" Target="http://www.tsip.ai/claim/a5aad4a9-a6b9-44c4-98c8-e7a31502fbb0" TargetMode="External"/><Relationship Id="rId83" Type="http://schemas.openxmlformats.org/officeDocument/2006/relationships/hyperlink" Target="http://www.tsip.ai/claim/39f1868a-febd-4406-9305-37971f93e559" TargetMode="External"/><Relationship Id="rId86" Type="http://schemas.openxmlformats.org/officeDocument/2006/relationships/hyperlink" Target="http://www.tsip.ai/claim/2838d0f8-753d-4736-9a32-a736b052df5f" TargetMode="External"/><Relationship Id="rId85" Type="http://schemas.openxmlformats.org/officeDocument/2006/relationships/hyperlink" Target="http://www.tsip.ai/claim/1bc76c43-54d9-489a-8ec2-b243d188b916" TargetMode="External"/><Relationship Id="rId88" Type="http://schemas.openxmlformats.org/officeDocument/2006/relationships/hyperlink" Target="http://www.tsip.ai/claim/bcb81c7d-d014-4ab6-bb0f-15e9856f2b19" TargetMode="External"/><Relationship Id="rId87" Type="http://schemas.openxmlformats.org/officeDocument/2006/relationships/hyperlink" Target="http://www.tsip.ai/claim/a2622123-2e84-46a7-97cc-ce36507ea849" TargetMode="External"/><Relationship Id="rId89" Type="http://schemas.openxmlformats.org/officeDocument/2006/relationships/hyperlink" Target="http://www.tsip.ai/claim/76222ca6-7153-4421-8159-a2e2af0d6e67" TargetMode="External"/><Relationship Id="rId80" Type="http://schemas.openxmlformats.org/officeDocument/2006/relationships/hyperlink" Target="http://www.tsip.ai/claim/9e842269-75aa-4ce8-a3c4-d422274dc1a9" TargetMode="External"/><Relationship Id="rId82" Type="http://schemas.openxmlformats.org/officeDocument/2006/relationships/hyperlink" Target="http://www.tsip.ai/claim/0fc0aa1e-d3dc-4fb9-a3e4-fcc4200eb19e" TargetMode="External"/><Relationship Id="rId81" Type="http://schemas.openxmlformats.org/officeDocument/2006/relationships/hyperlink" Target="http://www.tsip.ai/claim/bc15dfd7-2fde-4e86-83d6-9e2e48a6ce00" TargetMode="External"/><Relationship Id="rId1" Type="http://schemas.openxmlformats.org/officeDocument/2006/relationships/hyperlink" Target="http://www.tsip.ai/claim/0e48108d-062e-4d21-a56c-ef1167597aa2" TargetMode="External"/><Relationship Id="rId2" Type="http://schemas.openxmlformats.org/officeDocument/2006/relationships/hyperlink" Target="http://www.tsip.ai/claim/51afe4bb-49b6-42f4-baf6-f3257adcb17f" TargetMode="External"/><Relationship Id="rId3" Type="http://schemas.openxmlformats.org/officeDocument/2006/relationships/hyperlink" Target="http://www.tsip.ai/claim/b7cc9ee5-e18b-4de6-8fd8-1a6f936a6b37" TargetMode="External"/><Relationship Id="rId4" Type="http://schemas.openxmlformats.org/officeDocument/2006/relationships/hyperlink" Target="http://www.tsip.ai/claim/35d064a8-60c3-442c-975a-ba9f56ae7589" TargetMode="External"/><Relationship Id="rId9" Type="http://schemas.openxmlformats.org/officeDocument/2006/relationships/hyperlink" Target="http://www.tsip.ai/claim/6d3cd0ec-2c8d-4de3-a2ec-977b59f551da" TargetMode="External"/><Relationship Id="rId5" Type="http://schemas.openxmlformats.org/officeDocument/2006/relationships/hyperlink" Target="http://www.tsip.ai/claim/8d2ebfbe-aff4-4ec1-9695-caad23ac036e" TargetMode="External"/><Relationship Id="rId6" Type="http://schemas.openxmlformats.org/officeDocument/2006/relationships/hyperlink" Target="http://www.tsip.ai/claim/cdebbed4-403f-4023-b36f-1ca8bbeaf923" TargetMode="External"/><Relationship Id="rId7" Type="http://schemas.openxmlformats.org/officeDocument/2006/relationships/hyperlink" Target="http://www.tsip.ai/claim/336e4d2a-239f-484f-9bd1-eaac8ea163e2" TargetMode="External"/><Relationship Id="rId8" Type="http://schemas.openxmlformats.org/officeDocument/2006/relationships/hyperlink" Target="http://www.tsip.ai/claim/4fae534b-c110-4b56-a700-8c4b5f9f06e7" TargetMode="External"/><Relationship Id="rId73" Type="http://schemas.openxmlformats.org/officeDocument/2006/relationships/hyperlink" Target="http://www.tsip.ai/claim/17a006b7-5477-4997-a130-34e77efa2ac1" TargetMode="External"/><Relationship Id="rId72" Type="http://schemas.openxmlformats.org/officeDocument/2006/relationships/hyperlink" Target="http://www.tsip.ai/claim/8197db93-6f2a-4ea0-ad32-fe55794fc805" TargetMode="External"/><Relationship Id="rId75" Type="http://schemas.openxmlformats.org/officeDocument/2006/relationships/hyperlink" Target="http://www.tsip.ai/claim/4eee8351-a865-4f9c-8eb4-ed0540fec2e9" TargetMode="External"/><Relationship Id="rId74" Type="http://schemas.openxmlformats.org/officeDocument/2006/relationships/hyperlink" Target="http://www.tsip.ai/claim/884cc52c-757b-4d45-a774-fc2bfd0b6ffa" TargetMode="External"/><Relationship Id="rId77" Type="http://schemas.openxmlformats.org/officeDocument/2006/relationships/hyperlink" Target="http://www.tsip.ai/claim/d83dfe03-d253-476f-b5e1-383c28bc8a1a" TargetMode="External"/><Relationship Id="rId76" Type="http://schemas.openxmlformats.org/officeDocument/2006/relationships/hyperlink" Target="http://www.tsip.ai/claim/4a73dfe8-41d3-4fc7-9181-0dcb6b15b169" TargetMode="External"/><Relationship Id="rId79" Type="http://schemas.openxmlformats.org/officeDocument/2006/relationships/hyperlink" Target="http://www.tsip.ai/claim/794a66b9-b1b2-4aa4-aeb0-251224ff86bc" TargetMode="External"/><Relationship Id="rId78" Type="http://schemas.openxmlformats.org/officeDocument/2006/relationships/hyperlink" Target="http://www.tsip.ai/claim/2cc4834f-c78a-46ce-9592-c9a43b774910" TargetMode="External"/><Relationship Id="rId71" Type="http://schemas.openxmlformats.org/officeDocument/2006/relationships/hyperlink" Target="http://www.tsip.ai/claim/8eefd739-a930-40cc-8136-440534e1fe77" TargetMode="External"/><Relationship Id="rId70" Type="http://schemas.openxmlformats.org/officeDocument/2006/relationships/hyperlink" Target="http://www.tsip.ai/claim/e4abcef2-01c8-4eb1-8035-ce7db2c1d5b9" TargetMode="External"/><Relationship Id="rId62" Type="http://schemas.openxmlformats.org/officeDocument/2006/relationships/hyperlink" Target="http://www.tsip.ai/claim/b09f4307-7c6b-4cf1-9bcd-2ba7ba241dfb" TargetMode="External"/><Relationship Id="rId61" Type="http://schemas.openxmlformats.org/officeDocument/2006/relationships/hyperlink" Target="http://www.tsip.ai/claim/11afa127-f76f-4317-8dec-badcc674d8f3" TargetMode="External"/><Relationship Id="rId64" Type="http://schemas.openxmlformats.org/officeDocument/2006/relationships/hyperlink" Target="http://www.tsip.ai/claim/28c2653f-6e9b-40a7-8356-effabb8c6c5c" TargetMode="External"/><Relationship Id="rId63" Type="http://schemas.openxmlformats.org/officeDocument/2006/relationships/hyperlink" Target="http://www.tsip.ai/claim/28f42d10-7686-44e7-9c2b-42bf1e597e2c" TargetMode="External"/><Relationship Id="rId66" Type="http://schemas.openxmlformats.org/officeDocument/2006/relationships/hyperlink" Target="http://www.tsip.ai/claim/3fe83bbf-77af-4a4e-9131-4e0a8d8f2699" TargetMode="External"/><Relationship Id="rId65" Type="http://schemas.openxmlformats.org/officeDocument/2006/relationships/hyperlink" Target="http://www.tsip.ai/claim/d51af15a-ab2d-4d59-b2ea-7345899438b5" TargetMode="External"/><Relationship Id="rId68" Type="http://schemas.openxmlformats.org/officeDocument/2006/relationships/hyperlink" Target="http://www.tsip.ai/claim/7ff9a6bd-2b9a-4b4d-a4d3-3a1cab92f135" TargetMode="External"/><Relationship Id="rId67" Type="http://schemas.openxmlformats.org/officeDocument/2006/relationships/hyperlink" Target="http://www.tsip.ai/claim/dbd9a78e-914b-44f3-bb50-d28af54c8d82" TargetMode="External"/><Relationship Id="rId60" Type="http://schemas.openxmlformats.org/officeDocument/2006/relationships/hyperlink" Target="http://www.tsip.ai/claim/510a4aff-70b8-4a2d-a543-a2523b365c03" TargetMode="External"/><Relationship Id="rId69" Type="http://schemas.openxmlformats.org/officeDocument/2006/relationships/hyperlink" Target="http://www.tsip.ai/claim/6d5a2086-f442-4b9d-be85-efef6bf62d92" TargetMode="External"/><Relationship Id="rId51" Type="http://schemas.openxmlformats.org/officeDocument/2006/relationships/hyperlink" Target="http://www.tsip.ai/claim/687b4990-575f-4537-8d0c-fe7307805053" TargetMode="External"/><Relationship Id="rId50" Type="http://schemas.openxmlformats.org/officeDocument/2006/relationships/hyperlink" Target="http://www.tsip.ai/claim/af6de500-e9bf-463d-8f53-6400dd6f036b" TargetMode="External"/><Relationship Id="rId53" Type="http://schemas.openxmlformats.org/officeDocument/2006/relationships/hyperlink" Target="http://www.tsip.ai/claim/c0a4f5f4-f64b-4b74-a547-a2b6aa773edb" TargetMode="External"/><Relationship Id="rId52" Type="http://schemas.openxmlformats.org/officeDocument/2006/relationships/hyperlink" Target="http://www.tsip.ai/claim/edb93055-f6c9-4be4-97cb-225aa7383b33" TargetMode="External"/><Relationship Id="rId55" Type="http://schemas.openxmlformats.org/officeDocument/2006/relationships/hyperlink" Target="http://www.tsip.ai/claim/173946d9-c612-4818-92f5-d349321d3263" TargetMode="External"/><Relationship Id="rId54" Type="http://schemas.openxmlformats.org/officeDocument/2006/relationships/hyperlink" Target="http://www.tsip.ai/claim/2b6e0e9d-d64a-4d21-907c-9537dec096d8" TargetMode="External"/><Relationship Id="rId57" Type="http://schemas.openxmlformats.org/officeDocument/2006/relationships/hyperlink" Target="http://www.tsip.ai/claim/ecdf54a2-dfb8-4b4f-893b-7ef450c0ad78" TargetMode="External"/><Relationship Id="rId56" Type="http://schemas.openxmlformats.org/officeDocument/2006/relationships/hyperlink" Target="http://www.tsip.ai/claim/9f2aff8a-9789-471f-a582-3fa2a11aabba" TargetMode="External"/><Relationship Id="rId59" Type="http://schemas.openxmlformats.org/officeDocument/2006/relationships/hyperlink" Target="http://www.tsip.ai/claim/697a874a-c35c-4072-b8bd-e4c342a5e576" TargetMode="External"/><Relationship Id="rId58" Type="http://schemas.openxmlformats.org/officeDocument/2006/relationships/hyperlink" Target="http://www.tsip.ai/claim/437fbb18-6eb9-4880-ac63-8dcb7890f63b"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www.tsip.ai/claim/" TargetMode="External"/><Relationship Id="rId42" Type="http://schemas.openxmlformats.org/officeDocument/2006/relationships/hyperlink" Target="http://www.tsip.ai/claim/" TargetMode="External"/><Relationship Id="rId41" Type="http://schemas.openxmlformats.org/officeDocument/2006/relationships/hyperlink" Target="http://www.tsip.ai/claim/" TargetMode="External"/><Relationship Id="rId44" Type="http://schemas.openxmlformats.org/officeDocument/2006/relationships/hyperlink" Target="http://www.tsip.ai/claim/" TargetMode="External"/><Relationship Id="rId43" Type="http://schemas.openxmlformats.org/officeDocument/2006/relationships/hyperlink" Target="http://www.tsip.ai/claim/" TargetMode="External"/><Relationship Id="rId45" Type="http://schemas.openxmlformats.org/officeDocument/2006/relationships/drawing" Target="../drawings/drawing12.xml"/><Relationship Id="rId31" Type="http://schemas.openxmlformats.org/officeDocument/2006/relationships/hyperlink" Target="http://www.tsip.ai/claim/dd6ba546-50eb-4790-be44-b3cd1a02223c" TargetMode="External"/><Relationship Id="rId30" Type="http://schemas.openxmlformats.org/officeDocument/2006/relationships/hyperlink" Target="http://www.tsip.ai/claim/8da2fd5c-a04b-4e80-81d6-5f6ddae9eee6" TargetMode="External"/><Relationship Id="rId33" Type="http://schemas.openxmlformats.org/officeDocument/2006/relationships/hyperlink" Target="http://www.tsip.ai/claim/316de409-c882-43c4-8625-9a433438a87a" TargetMode="External"/><Relationship Id="rId32" Type="http://schemas.openxmlformats.org/officeDocument/2006/relationships/hyperlink" Target="http://www.tsip.ai/claim/9c7bdd7a-d68f-452a-a1ca-d988349ae6f2" TargetMode="External"/><Relationship Id="rId35" Type="http://schemas.openxmlformats.org/officeDocument/2006/relationships/hyperlink" Target="http://www.tsip.ai/claim/cf116a6c-8e1a-4f9c-8d12-d5d8c94e9c3f" TargetMode="External"/><Relationship Id="rId34" Type="http://schemas.openxmlformats.org/officeDocument/2006/relationships/hyperlink" Target="http://www.tsip.ai/claim/ae903e96-cf32-470f-98b3-a616e80b1bdf" TargetMode="External"/><Relationship Id="rId37" Type="http://schemas.openxmlformats.org/officeDocument/2006/relationships/hyperlink" Target="http://www.tsip.ai/claim/395c8946-25dc-4471-b924-d99e50810133" TargetMode="External"/><Relationship Id="rId36" Type="http://schemas.openxmlformats.org/officeDocument/2006/relationships/hyperlink" Target="http://www.tsip.ai/claim/40403212-d78a-4e2f-a17a-b331cd9f2d4f" TargetMode="External"/><Relationship Id="rId39" Type="http://schemas.openxmlformats.org/officeDocument/2006/relationships/hyperlink" Target="http://www.tsip.ai/claim/e12c8042-b1a9-4df4-bd3c-fb4577a700ff" TargetMode="External"/><Relationship Id="rId38" Type="http://schemas.openxmlformats.org/officeDocument/2006/relationships/hyperlink" Target="http://www.tsip.ai/claim/a7c58eff-831d-413f-aea1-963088fd3a69" TargetMode="External"/><Relationship Id="rId20" Type="http://schemas.openxmlformats.org/officeDocument/2006/relationships/hyperlink" Target="http://www.tsip.ai/claim/60cbe29f-08e8-47a0-be4e-a433011fa018" TargetMode="External"/><Relationship Id="rId22" Type="http://schemas.openxmlformats.org/officeDocument/2006/relationships/hyperlink" Target="http://www.tsip.ai/claim/fe349e07-c10f-4702-85a8-26af35a9609c" TargetMode="External"/><Relationship Id="rId21" Type="http://schemas.openxmlformats.org/officeDocument/2006/relationships/hyperlink" Target="http://www.tsip.ai/claim/76a8e660-26d6-4fd7-8328-71e71e2e6670" TargetMode="External"/><Relationship Id="rId24" Type="http://schemas.openxmlformats.org/officeDocument/2006/relationships/hyperlink" Target="http://www.tsip.ai/claim/562548dd-833c-4797-80b3-038b53464f9b" TargetMode="External"/><Relationship Id="rId23" Type="http://schemas.openxmlformats.org/officeDocument/2006/relationships/hyperlink" Target="http://www.tsip.ai/claim/321e3541-8c81-42a4-a810-085759aeeb44" TargetMode="External"/><Relationship Id="rId26" Type="http://schemas.openxmlformats.org/officeDocument/2006/relationships/hyperlink" Target="http://www.tsip.ai/claim/dd6d20ce-6ee3-4166-bc6c-c462bcfe53c6" TargetMode="External"/><Relationship Id="rId25" Type="http://schemas.openxmlformats.org/officeDocument/2006/relationships/hyperlink" Target="http://www.tsip.ai/claim/9f2c2cfc-f5db-4ff4-b163-a952d5b3c670" TargetMode="External"/><Relationship Id="rId28" Type="http://schemas.openxmlformats.org/officeDocument/2006/relationships/hyperlink" Target="http://www.tsip.ai/claim/c9c2edc5-2845-444a-a936-4edf2e6113b5" TargetMode="External"/><Relationship Id="rId27" Type="http://schemas.openxmlformats.org/officeDocument/2006/relationships/hyperlink" Target="http://www.tsip.ai/claim/bb61bea1-3838-42a7-99c7-b796622e5ff2" TargetMode="External"/><Relationship Id="rId29" Type="http://schemas.openxmlformats.org/officeDocument/2006/relationships/hyperlink" Target="http://www.tsip.ai/claim/ae53299f-8a7b-46c4-9b15-d29ca03eae7d" TargetMode="External"/><Relationship Id="rId11" Type="http://schemas.openxmlformats.org/officeDocument/2006/relationships/hyperlink" Target="http://www.tsip.ai/claim/677d7854-4100-4820-add2-5d3e8fb5b6d3" TargetMode="External"/><Relationship Id="rId10" Type="http://schemas.openxmlformats.org/officeDocument/2006/relationships/hyperlink" Target="http://www.tsip.ai/claim/19bdddf4-1c6c-4e72-93a1-6bbccbc165b0" TargetMode="External"/><Relationship Id="rId13" Type="http://schemas.openxmlformats.org/officeDocument/2006/relationships/hyperlink" Target="http://www.tsip.ai/claim/5b90595c-9514-421f-b7c2-2642af555a5e" TargetMode="External"/><Relationship Id="rId12" Type="http://schemas.openxmlformats.org/officeDocument/2006/relationships/hyperlink" Target="http://www.tsip.ai/claim/7baedb1c-7ef9-42ce-b2c6-32da0b498c1f" TargetMode="External"/><Relationship Id="rId15" Type="http://schemas.openxmlformats.org/officeDocument/2006/relationships/hyperlink" Target="http://www.tsip.ai/claim/9b41134c-2067-4261-9cf2-1e3a74e03d6c" TargetMode="External"/><Relationship Id="rId14" Type="http://schemas.openxmlformats.org/officeDocument/2006/relationships/hyperlink" Target="http://www.tsip.ai/claim/daf2f436-4e42-41d4-982a-e1b1451db4a6" TargetMode="External"/><Relationship Id="rId17" Type="http://schemas.openxmlformats.org/officeDocument/2006/relationships/hyperlink" Target="http://www.tsip.ai/claim/9368c4b8-81d2-4de3-bfa8-2dd09a015d33" TargetMode="External"/><Relationship Id="rId16" Type="http://schemas.openxmlformats.org/officeDocument/2006/relationships/hyperlink" Target="http://www.tsip.ai/claim/21c55b36-7a94-4657-bd83-668e21f42d19" TargetMode="External"/><Relationship Id="rId19" Type="http://schemas.openxmlformats.org/officeDocument/2006/relationships/hyperlink" Target="http://www.tsip.ai/claim/7ffd7303-b25c-4a33-a42b-74cc21c3d65c" TargetMode="External"/><Relationship Id="rId18" Type="http://schemas.openxmlformats.org/officeDocument/2006/relationships/hyperlink" Target="http://www.tsip.ai/claim/a9ec455e-a968-4c6a-b69f-27f8675000c0" TargetMode="External"/><Relationship Id="rId1" Type="http://schemas.openxmlformats.org/officeDocument/2006/relationships/hyperlink" Target="http://www.tsip.ai/claim/a9963120-cb98-4b1b-bde3-10fed3fc33b5" TargetMode="External"/><Relationship Id="rId2" Type="http://schemas.openxmlformats.org/officeDocument/2006/relationships/hyperlink" Target="http://www.tsip.ai/claim/9c64d163-e3e5-49f6-b2c0-cdb62fd7186a" TargetMode="External"/><Relationship Id="rId3" Type="http://schemas.openxmlformats.org/officeDocument/2006/relationships/hyperlink" Target="http://www.tsip.ai/claim/c500f876-45ce-4892-a5c8-a47cc4cfb8ad" TargetMode="External"/><Relationship Id="rId4" Type="http://schemas.openxmlformats.org/officeDocument/2006/relationships/hyperlink" Target="http://www.tsip.ai/claim/220d4acc-c4f6-4bae-96c4-bc2b464488d6" TargetMode="External"/><Relationship Id="rId9" Type="http://schemas.openxmlformats.org/officeDocument/2006/relationships/hyperlink" Target="http://www.tsip.ai/claim/f9aab6cf-ec07-4fa0-986d-fc30ca429f7c" TargetMode="External"/><Relationship Id="rId5" Type="http://schemas.openxmlformats.org/officeDocument/2006/relationships/hyperlink" Target="http://www.tsip.ai/claim/29320168-2881-48ba-88ce-43e58342e01a" TargetMode="External"/><Relationship Id="rId6" Type="http://schemas.openxmlformats.org/officeDocument/2006/relationships/hyperlink" Target="http://www.tsip.ai/claim/1965bc47-042c-4fe7-8f98-86eba92fe2c9" TargetMode="External"/><Relationship Id="rId7" Type="http://schemas.openxmlformats.org/officeDocument/2006/relationships/hyperlink" Target="http://www.tsip.ai/claim/0701d36c-5e6f-440d-902d-d0d3b5469211" TargetMode="External"/><Relationship Id="rId8" Type="http://schemas.openxmlformats.org/officeDocument/2006/relationships/hyperlink" Target="http://www.tsip.ai/claim/6bf90a7d-9712-4762-adc7-07c35e5f196f"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tsipprd.blob.core.windows.net/tsip-files/imports/cb09ba27-c93f-488d-a521-1acfca174929/1779316482562_output.xlsx?sv=2026-02-06&amp;se=2026-05-23T04%3A00%3A01Z&amp;sr=b&amp;sp=r&amp;sig=71o6h7MdxzR40ChObt5%2FWOVNAc1B1G5%2FE5O3dJ549qA%3D" TargetMode="External"/><Relationship Id="rId190" Type="http://schemas.openxmlformats.org/officeDocument/2006/relationships/hyperlink" Target="https://tsipprd.blob.core.windows.net/tsip-files/imports/cb09ba27-c93f-488d-a521-1acfca174929/1779318018349_output.xlsx?sv=2026-02-06&amp;se=2026-05-23T18%3A00%3A06Z&amp;sr=b&amp;sp=r&amp;sig=mxeZXmstlh3AtVjYXulfZE3AO5aYqHTQFt%2FM6s7DXag%3D" TargetMode="External"/><Relationship Id="rId42" Type="http://schemas.openxmlformats.org/officeDocument/2006/relationships/hyperlink" Target="https://tsipprd.blob.core.windows.net/tsip-files/imports/cb09ba27-c93f-488d-a521-1acfca174929/1779316482562_output.xlsx?sv=2026-02-06&amp;se=2026-05-23T04%3A15%3A01Z&amp;sr=b&amp;sp=r&amp;sig=qCx8AwGgp%2FTI8VKKLR9C5vPNviKK7GffHxuY7ALL2kw%3D" TargetMode="External"/><Relationship Id="rId41" Type="http://schemas.openxmlformats.org/officeDocument/2006/relationships/hyperlink" Target="https://tsipprd.blob.core.windows.net/tsip-files/imports/cb09ba27-c93f-488d-a521-1acfca174929/1779316481981_input.xlsx?sv=2026-02-06&amp;se=2026-05-23T04%3A15%3A01Z&amp;sr=b&amp;sp=r&amp;sig=Ju4MuZYl7398F5qQfp9a7GS8R4BKmlt5Aq%2BVeXXw16k%3D" TargetMode="External"/><Relationship Id="rId44" Type="http://schemas.openxmlformats.org/officeDocument/2006/relationships/hyperlink" Target="https://tsipprd.blob.core.windows.net/tsip-files/imports/cb09ba27-c93f-488d-a521-1acfca174929/1779316482562_output.xlsx?sv=2026-02-06&amp;se=2026-05-23T04%3A30%3A01Z&amp;sr=b&amp;sp=r&amp;sig=JnyMXL03R%2Fe1KR8XG1hnZQ6VvV1NYNtFZebfxmz%2F9L4%3D" TargetMode="External"/><Relationship Id="rId194" Type="http://schemas.openxmlformats.org/officeDocument/2006/relationships/hyperlink" Target="https://tsipprd.blob.core.windows.net/tsip-files/imports/cb09ba27-c93f-488d-a521-1acfca174929/1779318018349_output.xlsx?sv=2026-02-06&amp;se=2026-05-23T18%3A00%3A09Z&amp;sr=b&amp;sp=r&amp;sig=aQdXiJ10sZV%2Fg7JsuNIihJoRos%2FD5ZKyQ3YYhWheu%2F4%3D" TargetMode="External"/><Relationship Id="rId43" Type="http://schemas.openxmlformats.org/officeDocument/2006/relationships/hyperlink" Target="https://tsipprd.blob.core.windows.net/tsip-files/imports/cb09ba27-c93f-488d-a521-1acfca174929/1779316481981_input.xlsx?sv=2026-02-06&amp;se=2026-05-23T04%3A30%3A01Z&amp;sr=b&amp;sp=r&amp;sig=DdoHCRNBomdexEkr1xQu6xH4tNpoKzZdHDrbWypaS64%3D" TargetMode="External"/><Relationship Id="rId193" Type="http://schemas.openxmlformats.org/officeDocument/2006/relationships/hyperlink" Target="https://tsipprd.blob.core.windows.net/tsip-files/imports/cb09ba27-c93f-488d-a521-1acfca174929/1779318018594_input.xlsx?sv=2026-02-06&amp;se=2026-05-23T18%3A00%3A09Z&amp;sr=b&amp;sp=r&amp;sig=iR1TVcLw0tB7Inz4aMqZnJ3GVtJ9LTyT5Erou1emE%2Bo%3D" TargetMode="External"/><Relationship Id="rId46" Type="http://schemas.openxmlformats.org/officeDocument/2006/relationships/hyperlink" Target="https://tsipprd.blob.core.windows.net/tsip-files/imports/cb09ba27-c93f-488d-a521-1acfca174929/1779316482562_output.xlsx?sv=2026-02-06&amp;se=2026-05-23T04%3A45%3A01Z&amp;sr=b&amp;sp=r&amp;sig=K0iIMsH4bmW1cZz2d4Z72R67n9gf7wIbtlMbwCU8sb0%3D" TargetMode="External"/><Relationship Id="rId192" Type="http://schemas.openxmlformats.org/officeDocument/2006/relationships/hyperlink" Target="https://tsipprd.blob.core.windows.net/tsip-files/9f47fdc9-68f1-43f1-9021-5c4a8143dcd6/6d3cd0ec-2c8d-4de3-a2ec-977b59f551da/1779379514807_output__1_.xlsx?sv=2026-02-06&amp;se=2026-05-23T18%3A00%3A06Z&amp;sr=b&amp;sp=r&amp;sig=7hnIUqFI3uAHCjQGHVM2wiP7umLvmR8VNcT0l5yNbU4%3D" TargetMode="External"/><Relationship Id="rId45" Type="http://schemas.openxmlformats.org/officeDocument/2006/relationships/hyperlink" Target="https://tsipprd.blob.core.windows.net/tsip-files/imports/cb09ba27-c93f-488d-a521-1acfca174929/1779316481981_input.xlsx?sv=2026-02-06&amp;se=2026-05-23T04%3A45%3A01Z&amp;sr=b&amp;sp=r&amp;sig=mWd0moiaxPHaFLv8VctRFHBJEHXm%2B6ehL3PfvJFHsv8%3D" TargetMode="External"/><Relationship Id="rId191" Type="http://schemas.openxmlformats.org/officeDocument/2006/relationships/hyperlink" Target="https://tsipprd.blob.core.windows.net/tsip-files/imports/cb09ba27-c93f-488d-a521-1acfca174929/1779318018594_input.xlsx?sv=2026-02-06&amp;se=2026-05-23T18%3A00%3A06Z&amp;sr=b&amp;sp=r&amp;sig=TqWrbfIQgms5BKiqllBmbEPhbNZsM29drXY7ZiSWaRI%3D" TargetMode="External"/><Relationship Id="rId48" Type="http://schemas.openxmlformats.org/officeDocument/2006/relationships/hyperlink" Target="https://tsipprd.blob.core.windows.net/tsip-files/imports/cb09ba27-c93f-488d-a521-1acfca174929/1779316482562_output.xlsx?sv=2026-02-06&amp;se=2026-05-23T05%3A00%3A01Z&amp;sr=b&amp;sp=r&amp;sig=Xjp9UMm%2BLdM7t4ATK9N3%2F%2FLWMQdTd4umNz4Uea6QYE0%3D" TargetMode="External"/><Relationship Id="rId187" Type="http://schemas.openxmlformats.org/officeDocument/2006/relationships/hyperlink" Target="https://tsipprd.blob.core.windows.net/tsip-files/imports/cb09ba27-c93f-488d-a521-1acfca174929/1779316481981_input.xlsx?sv=2026-02-06&amp;se=2026-05-23T18%3A00%3A04Z&amp;sr=b&amp;sp=r&amp;sig=bsjI10QdLiFVK1PBaW%2FMz2O39%2BzoXWQiu9hWDafntrE%3D" TargetMode="External"/><Relationship Id="rId47" Type="http://schemas.openxmlformats.org/officeDocument/2006/relationships/hyperlink" Target="https://tsipprd.blob.core.windows.net/tsip-files/imports/cb09ba27-c93f-488d-a521-1acfca174929/1779316481981_input.xlsx?sv=2026-02-06&amp;se=2026-05-23T05%3A00%3A01Z&amp;sr=b&amp;sp=r&amp;sig=%2B5gtHXG%2FseGISk5Q4%2BfF6FsitKpmJ5efz1eIq9Ak7uU%3D" TargetMode="External"/><Relationship Id="rId186"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8%3A00%3A04Z&amp;sr=b&amp;sp=r&amp;sig=TIoWzdeL%2FJg7mz6Om1SnDyDiYVt8Om5Scnia7Q%2FXcL4%3D" TargetMode="External"/><Relationship Id="rId185"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8%3A00%3A04Z&amp;sr=b&amp;sp=r&amp;sig=OgO37%2FLJFJAK3eTS3ij6P56YKvrX9xJZoZZJXUiL8nk%3D" TargetMode="External"/><Relationship Id="rId49" Type="http://schemas.openxmlformats.org/officeDocument/2006/relationships/hyperlink" Target="https://tsipprd.blob.core.windows.net/tsip-files/imports/cb09ba27-c93f-488d-a521-1acfca174929/1779316481981_input.xlsx?sv=2026-02-06&amp;se=2026-05-23T05%3A15%3A01Z&amp;sr=b&amp;sp=r&amp;sig=aaJXOK%2Fb2pvt0gi6AxZ3QMwkcS1XTKhTfsxZu%2B2lM%2BA%3D" TargetMode="External"/><Relationship Id="rId184" Type="http://schemas.openxmlformats.org/officeDocument/2006/relationships/hyperlink" Target="https://tsipprd.blob.core.windows.net/tsip-files/imports/cb09ba27-c93f-488d-a521-1acfca174929/1779316482562_output.xlsx?sv=2026-02-06&amp;se=2026-05-23T18%3A00%3A02Z&amp;sr=b&amp;sp=r&amp;sig=diUVwJ2%2B9gqTpSMIwV1AX2mg5sj43oPoJaww9lxhogA%3D" TargetMode="External"/><Relationship Id="rId189" Type="http://schemas.openxmlformats.org/officeDocument/2006/relationships/hyperlink" Target="https://tsipprd.blob.core.windows.net/tsip-files/imports/cb09ba27-c93f-488d-a521-1acfca174929/1779318018594_input.xlsx?sv=2026-02-06&amp;se=2026-05-23T18%3A00%3A06Z&amp;sr=b&amp;sp=r&amp;sig=TqWrbfIQgms5BKiqllBmbEPhbNZsM29drXY7ZiSWaRI%3D" TargetMode="External"/><Relationship Id="rId188" Type="http://schemas.openxmlformats.org/officeDocument/2006/relationships/hyperlink" Target="https://tsipprd.blob.core.windows.net/tsip-files/imports/cb09ba27-c93f-488d-a521-1acfca174929/1779316482562_output.xlsx?sv=2026-02-06&amp;se=2026-05-23T18%3A00%3A04Z&amp;sr=b&amp;sp=r&amp;sig=qN5uKBBV9%2Bj8x6ZQiP2VisAlxoOh3x6d%2FWl1yHpgVeY%3D" TargetMode="External"/><Relationship Id="rId31" Type="http://schemas.openxmlformats.org/officeDocument/2006/relationships/hyperlink" Target="https://tsipprd.blob.core.windows.net/tsip-files/imports/cb09ba27-c93f-488d-a521-1acfca174929/1779316481981_input.xlsx?sv=2026-02-06&amp;se=2026-05-23T03%3A00%3A02Z&amp;sr=b&amp;sp=r&amp;sig=BJRdo1i6DYznIOR0BaOE5s1YdIHs8CcLMRP6vZ66Mf8%3D" TargetMode="External"/><Relationship Id="rId30" Type="http://schemas.openxmlformats.org/officeDocument/2006/relationships/hyperlink" Target="https://tsipprd.blob.core.windows.net/tsip-files/imports/cb09ba27-c93f-488d-a521-1acfca174929/1779316482562_output.xlsx?sv=2026-02-06&amp;se=2026-05-23T02%3A45%3A01Z&amp;sr=b&amp;sp=r&amp;sig=OKKMxe8OHgTfuwQEXr1c07juzyxo0Ls3xG5GfhuDzGU%3D" TargetMode="External"/><Relationship Id="rId33" Type="http://schemas.openxmlformats.org/officeDocument/2006/relationships/hyperlink" Target="https://tsipprd.blob.core.windows.net/tsip-files/imports/cb09ba27-c93f-488d-a521-1acfca174929/1779316481981_input.xlsx?sv=2026-02-06&amp;se=2026-05-23T03%3A15%3A02Z&amp;sr=b&amp;sp=r&amp;sig=s97OiGj%2BeSLZ4WfyW7f7OBG7qYvZUXAReqGCU7pROZQ%3D" TargetMode="External"/><Relationship Id="rId183" Type="http://schemas.openxmlformats.org/officeDocument/2006/relationships/hyperlink" Target="https://tsipprd.blob.core.windows.net/tsip-files/imports/cb09ba27-c93f-488d-a521-1acfca174929/1779316481981_input.xlsx?sv=2026-02-06&amp;se=2026-05-23T18%3A00%3A02Z&amp;sr=b&amp;sp=r&amp;sig=ohPiZhjfwqM1qzmbajZxbFsyHcuXwEcxEX236VQeHms%3D" TargetMode="External"/><Relationship Id="rId32" Type="http://schemas.openxmlformats.org/officeDocument/2006/relationships/hyperlink" Target="https://tsipprd.blob.core.windows.net/tsip-files/imports/cb09ba27-c93f-488d-a521-1acfca174929/1779316482562_output.xlsx?sv=2026-02-06&amp;se=2026-05-23T03%3A00%3A02Z&amp;sr=b&amp;sp=r&amp;sig=u7FhpI6T6Uhi8uCv%2Fkwe2OeOYZu5w%2FX%2BLlcaT3XpLqM%3D" TargetMode="External"/><Relationship Id="rId182"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8%3A00%3A02Z&amp;sr=b&amp;sp=r&amp;sig=FuJ1lreLvFy7qIcsLKQqEEO2SEfEQHyotFbiw5Mi1Yw%3D" TargetMode="External"/><Relationship Id="rId35" Type="http://schemas.openxmlformats.org/officeDocument/2006/relationships/hyperlink" Target="https://tsipprd.blob.core.windows.net/tsip-files/imports/cb09ba27-c93f-488d-a521-1acfca174929/1779316481981_input.xlsx?sv=2026-02-06&amp;se=2026-05-23T03%3A30%3A01Z&amp;sr=b&amp;sp=r&amp;sig=lIbVHtsWksumxmo07UKk6LRIIJcuiD4g%2BBGJjAivIeE%3D" TargetMode="External"/><Relationship Id="rId181"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8%3A00%3A02Z&amp;sr=b&amp;sp=r&amp;sig=3GK12i9BWRlnY7j2niSv4ZiPD6NUh%2F9kVSFzlzkSi3I%3D" TargetMode="External"/><Relationship Id="rId34" Type="http://schemas.openxmlformats.org/officeDocument/2006/relationships/hyperlink" Target="https://tsipprd.blob.core.windows.net/tsip-files/imports/cb09ba27-c93f-488d-a521-1acfca174929/1779316482562_output.xlsx?sv=2026-02-06&amp;se=2026-05-23T03%3A15%3A02Z&amp;sr=b&amp;sp=r&amp;sig=IJ%2BH4%2FBP7mR7GdpxzN0kdH%2BmwDoOtxMyrOMk9W6fdgE%3D" TargetMode="External"/><Relationship Id="rId180" Type="http://schemas.openxmlformats.org/officeDocument/2006/relationships/hyperlink" Target="https://tsipprd.blob.core.windows.net/tsip-files/imports/cb09ba27-c93f-488d-a521-1acfca174929/1779316482562_output.xlsx?sv=2026-02-06&amp;se=2026-05-23T17%3A45%3A01Z&amp;sr=b&amp;sp=r&amp;sig=ZIT%2FJatElc5RTInRYUNuoh68DKtIjVaUw%2FqvWwrgYt4%3D" TargetMode="External"/><Relationship Id="rId37" Type="http://schemas.openxmlformats.org/officeDocument/2006/relationships/hyperlink" Target="https://tsipprd.blob.core.windows.net/tsip-files/imports/cb09ba27-c93f-488d-a521-1acfca174929/1779316481981_input.xlsx?sv=2026-02-06&amp;se=2026-05-23T03%3A45%3A01Z&amp;sr=b&amp;sp=r&amp;sig=pyIc8PkNQG5jtUTQ7vUC79HrT7ZurP5f6MdvC3kRyC8%3D" TargetMode="External"/><Relationship Id="rId176" Type="http://schemas.openxmlformats.org/officeDocument/2006/relationships/hyperlink" Target="https://tsipprd.blob.core.windows.net/tsip-files/imports/cb09ba27-c93f-488d-a521-1acfca174929/1779316482562_output.xlsx?sv=2026-02-06&amp;se=2026-05-23T17%3A30%3A01Z&amp;sr=b&amp;sp=r&amp;sig=2FomiWLIXeNv5FRI%2FGA0xv1tSSet2x1DufNH4%2BdjNso%3D" TargetMode="External"/><Relationship Id="rId36" Type="http://schemas.openxmlformats.org/officeDocument/2006/relationships/hyperlink" Target="https://tsipprd.blob.core.windows.net/tsip-files/imports/cb09ba27-c93f-488d-a521-1acfca174929/1779316482562_output.xlsx?sv=2026-02-06&amp;se=2026-05-23T03%3A30%3A01Z&amp;sr=b&amp;sp=r&amp;sig=7h8PaF1Xo32Jwy2LPHyQfLehm7rVPoOGthqiBRv03ZI%3D" TargetMode="External"/><Relationship Id="rId175" Type="http://schemas.openxmlformats.org/officeDocument/2006/relationships/hyperlink" Target="https://tsipprd.blob.core.windows.net/tsip-files/imports/cb09ba27-c93f-488d-a521-1acfca174929/1779316481981_input.xlsx?sv=2026-02-06&amp;se=2026-05-23T17%3A30%3A01Z&amp;sr=b&amp;sp=r&amp;sig=A74Mb1ocT8lT8M6a5BO5I694cIQuQ1jYrf5syZlLMKs%3D" TargetMode="External"/><Relationship Id="rId39" Type="http://schemas.openxmlformats.org/officeDocument/2006/relationships/hyperlink" Target="https://tsipprd.blob.core.windows.net/tsip-files/imports/cb09ba27-c93f-488d-a521-1acfca174929/1779316481981_input.xlsx?sv=2026-02-06&amp;se=2026-05-23T04%3A00%3A01Z&amp;sr=b&amp;sp=r&amp;sig=k2O8sBBs6Kd7Y2fgL4Cp%2Bvl2a92Zdn%2FPc2ZP0tdITiE%3D" TargetMode="External"/><Relationship Id="rId174"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7%3A30%3A02Z&amp;sr=b&amp;sp=r&amp;sig=2d9jmS4tN9hL6LzzcvYUkd3bGNtS%2FcUGmUZlZgc0nX4%3D" TargetMode="External"/><Relationship Id="rId38" Type="http://schemas.openxmlformats.org/officeDocument/2006/relationships/hyperlink" Target="https://tsipprd.blob.core.windows.net/tsip-files/imports/cb09ba27-c93f-488d-a521-1acfca174929/1779316482562_output.xlsx?sv=2026-02-06&amp;se=2026-05-23T03%3A45%3A01Z&amp;sr=b&amp;sp=r&amp;sig=AeOhxsH6xlEkyG3MJBHJnbKr2gFmLBBuWDfqeSbTHl0%3D" TargetMode="External"/><Relationship Id="rId173"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7%3A30%3A02Z&amp;sr=b&amp;sp=r&amp;sig=KWcZx83Fvin7A8bfgiHfJEtM4Pp6d1GL%2FkSF6IBIOtQ%3D" TargetMode="External"/><Relationship Id="rId179" Type="http://schemas.openxmlformats.org/officeDocument/2006/relationships/hyperlink" Target="https://tsipprd.blob.core.windows.net/tsip-files/imports/cb09ba27-c93f-488d-a521-1acfca174929/1779316481981_input.xlsx?sv=2026-02-06&amp;se=2026-05-23T17%3A45%3A01Z&amp;sr=b&amp;sp=r&amp;sig=c0Q9VwB%2BmYvmrXGFB36T%2BN3ggJiMzyWxTuskAbhwvPM%3D" TargetMode="External"/><Relationship Id="rId178"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7%3A45%3A01Z&amp;sr=b&amp;sp=r&amp;sig=4vjotEiECD2BU6ULEauFq7nDLTT0s0IAPwXsaHyCZj4%3D" TargetMode="External"/><Relationship Id="rId177"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7%3A45%3A01Z&amp;sr=b&amp;sp=r&amp;sig=VEHscxEHu3PfyTrpKnzemumbycLc1L8yE4ZJRLKGHmw%3D" TargetMode="External"/><Relationship Id="rId20" Type="http://schemas.openxmlformats.org/officeDocument/2006/relationships/hyperlink" Target="https://tsipprd.blob.core.windows.net/tsip-files/imports/cb09ba27-c93f-488d-a521-1acfca174929/1779316482562_output.xlsx?sv=2026-02-06&amp;se=2026-05-23T01%3A30%3A02Z&amp;sr=b&amp;sp=r&amp;sig=Zn9EYy9xigqEJ2CWCQW0VyWvLH5AolzRi%2BdZCAy%2BpQU%3D" TargetMode="External"/><Relationship Id="rId22" Type="http://schemas.openxmlformats.org/officeDocument/2006/relationships/hyperlink" Target="https://tsipprd.blob.core.windows.net/tsip-files/imports/cb09ba27-c93f-488d-a521-1acfca174929/1779316482562_output.xlsx?sv=2026-02-06&amp;se=2026-05-23T01%3A45%3A01Z&amp;sr=b&amp;sp=r&amp;sig=lHkqO0NeKnQVWYuSaVYC0ThmGL38uxbN7%2B15evut6uc%3D" TargetMode="External"/><Relationship Id="rId21" Type="http://schemas.openxmlformats.org/officeDocument/2006/relationships/hyperlink" Target="https://tsipprd.blob.core.windows.net/tsip-files/imports/cb09ba27-c93f-488d-a521-1acfca174929/1779316481981_input.xlsx?sv=2026-02-06&amp;se=2026-05-23T01%3A45%3A01Z&amp;sr=b&amp;sp=r&amp;sig=7%2FegDfwe2%2FfYnHnGKs8BPG8vC0LfD3OvxDC3BLiHqA0%3D" TargetMode="External"/><Relationship Id="rId24" Type="http://schemas.openxmlformats.org/officeDocument/2006/relationships/hyperlink" Target="https://tsipprd.blob.core.windows.net/tsip-files/imports/cb09ba27-c93f-488d-a521-1acfca174929/1779316482562_output.xlsx?sv=2026-02-06&amp;se=2026-05-23T02%3A00%3A02Z&amp;sr=b&amp;sp=r&amp;sig=42FuCiSrmIc9vIrdOMySBFwTKg9TqyzCFtEcIzqbJNw%3D" TargetMode="External"/><Relationship Id="rId23" Type="http://schemas.openxmlformats.org/officeDocument/2006/relationships/hyperlink" Target="https://tsipprd.blob.core.windows.net/tsip-files/imports/cb09ba27-c93f-488d-a521-1acfca174929/1779316481981_input.xlsx?sv=2026-02-06&amp;se=2026-05-23T02%3A00%3A02Z&amp;sr=b&amp;sp=r&amp;sig=YetJFkaFu2yaNPU6H0JVBKtK7H4baVlzxlcNagXJgfM%3D" TargetMode="External"/><Relationship Id="rId26" Type="http://schemas.openxmlformats.org/officeDocument/2006/relationships/hyperlink" Target="https://tsipprd.blob.core.windows.net/tsip-files/imports/cb09ba27-c93f-488d-a521-1acfca174929/1779316482562_output.xlsx?sv=2026-02-06&amp;se=2026-05-23T02%3A15%3A01Z&amp;sr=b&amp;sp=r&amp;sig=yB9JQls3ej63vIV%2BOHX1ZUqSXBYF3zb0nBlY8osZ8C0%3D" TargetMode="External"/><Relationship Id="rId25" Type="http://schemas.openxmlformats.org/officeDocument/2006/relationships/hyperlink" Target="https://tsipprd.blob.core.windows.net/tsip-files/imports/cb09ba27-c93f-488d-a521-1acfca174929/1779316481981_input.xlsx?sv=2026-02-06&amp;se=2026-05-23T02%3A15%3A01Z&amp;sr=b&amp;sp=r&amp;sig=rmX1mCsR%2FtUsVHxORTxIw8PTuyZixZ3hYuP5jtfweqQ%3D" TargetMode="External"/><Relationship Id="rId28" Type="http://schemas.openxmlformats.org/officeDocument/2006/relationships/hyperlink" Target="https://tsipprd.blob.core.windows.net/tsip-files/imports/cb09ba27-c93f-488d-a521-1acfca174929/1779316482562_output.xlsx?sv=2026-02-06&amp;se=2026-05-23T02%3A30%3A01Z&amp;sr=b&amp;sp=r&amp;sig=Yu9QkKoFjttvvrG9szbScYewhTOEDEwwn5um2gpQWa0%3D" TargetMode="External"/><Relationship Id="rId27" Type="http://schemas.openxmlformats.org/officeDocument/2006/relationships/hyperlink" Target="https://tsipprd.blob.core.windows.net/tsip-files/imports/cb09ba27-c93f-488d-a521-1acfca174929/1779316481981_input.xlsx?sv=2026-02-06&amp;se=2026-05-23T02%3A30%3A01Z&amp;sr=b&amp;sp=r&amp;sig=OxF29zWZhLd%2B1yJQIprt5sIL61sXm2o%2B2VzUvXI7B58%3D" TargetMode="External"/><Relationship Id="rId29" Type="http://schemas.openxmlformats.org/officeDocument/2006/relationships/hyperlink" Target="https://tsipprd.blob.core.windows.net/tsip-files/imports/cb09ba27-c93f-488d-a521-1acfca174929/1779316481981_input.xlsx?sv=2026-02-06&amp;se=2026-05-23T02%3A45%3A01Z&amp;sr=b&amp;sp=r&amp;sig=gF6rWtUUd0IDFBLmLdQD67t8P2GXJF9R0wymfwCqn54%3D" TargetMode="External"/><Relationship Id="rId11" Type="http://schemas.openxmlformats.org/officeDocument/2006/relationships/hyperlink" Target="https://tsipprd.blob.core.windows.net/tsip-files/imports/cb09ba27-c93f-488d-a521-1acfca174929/1779316481981_input.xlsx?sv=2026-02-06&amp;se=2026-05-23T00%3A30%3A02Z&amp;sr=b&amp;sp=r&amp;sig=rZAX1LYkV0mv7VSeSKVSwpVpF9d2ojbvs%2F58DX9BOQI%3D" TargetMode="External"/><Relationship Id="rId10" Type="http://schemas.openxmlformats.org/officeDocument/2006/relationships/hyperlink" Target="https://tsipprd.blob.core.windows.net/tsip-files/imports/cb09ba27-c93f-488d-a521-1acfca174929/1779316482562_output.xlsx?sv=2026-02-06&amp;se=2026-05-23T00%3A15%3A01Z&amp;sr=b&amp;sp=r&amp;sig=zgnLoAyQhFIfd2V4QOu3lpigufDXLaCUwQ86OflR7Lg%3D" TargetMode="External"/><Relationship Id="rId13" Type="http://schemas.openxmlformats.org/officeDocument/2006/relationships/hyperlink" Target="https://tsipprd.blob.core.windows.net/tsip-files/imports/cb09ba27-c93f-488d-a521-1acfca174929/1779316481981_input.xlsx?sv=2026-02-06&amp;se=2026-05-23T00%3A45%3A01Z&amp;sr=b&amp;sp=r&amp;sig=cMB7MgYggcdwm8sOGK4fZZQCX9QcMlJMiU40DJt4adg%3D" TargetMode="External"/><Relationship Id="rId12" Type="http://schemas.openxmlformats.org/officeDocument/2006/relationships/hyperlink" Target="https://tsipprd.blob.core.windows.net/tsip-files/imports/cb09ba27-c93f-488d-a521-1acfca174929/1779316482562_output.xlsx?sv=2026-02-06&amp;se=2026-05-23T00%3A30%3A02Z&amp;sr=b&amp;sp=r&amp;sig=enA7dfFqIm2aUdmBY8cMcbt8R%2FzDszS7muQraJnQkS8%3D" TargetMode="External"/><Relationship Id="rId15" Type="http://schemas.openxmlformats.org/officeDocument/2006/relationships/hyperlink" Target="https://tsipprd.blob.core.windows.net/tsip-files/imports/cb09ba27-c93f-488d-a521-1acfca174929/1779316481981_input.xlsx?sv=2026-02-06&amp;se=2026-05-23T01%3A00%3A01Z&amp;sr=b&amp;sp=r&amp;sig=w%2FSTcSUB3pOM0a7mNos%2FO2oWKkMRyvIm7w27U9bf%2FL0%3D" TargetMode="External"/><Relationship Id="rId198"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8%3A15%3A01Z&amp;sr=b&amp;sp=r&amp;sig=nck6ZPECFp9DGfHm5NEex8UKn0J4LjZPJ5alOofRDVY%3D" TargetMode="External"/><Relationship Id="rId14" Type="http://schemas.openxmlformats.org/officeDocument/2006/relationships/hyperlink" Target="https://tsipprd.blob.core.windows.net/tsip-files/imports/cb09ba27-c93f-488d-a521-1acfca174929/1779316482562_output.xlsx?sv=2026-02-06&amp;se=2026-05-23T00%3A45%3A01Z&amp;sr=b&amp;sp=r&amp;sig=SEyiHNAZmdDX%2BJrbAms0bYb1tXb5%2Ba8r%2BE7pAyGwcds%3D" TargetMode="External"/><Relationship Id="rId197"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8%3A15%3A01Z&amp;sr=b&amp;sp=r&amp;sig=BriiNfOYvaQ4EOuHZGe2WLlY%2Fd2nJnUO1idTSUmGBS8%3D" TargetMode="External"/><Relationship Id="rId17" Type="http://schemas.openxmlformats.org/officeDocument/2006/relationships/hyperlink" Target="https://tsipprd.blob.core.windows.net/tsip-files/imports/cb09ba27-c93f-488d-a521-1acfca174929/1779316481981_input.xlsx?sv=2026-02-06&amp;se=2026-05-23T01%3A15%3A02Z&amp;sr=b&amp;sp=r&amp;sig=uoOnx%2FEre72fEauynZnziQNlJAB9HFIELKwG76hedbA%3D" TargetMode="External"/><Relationship Id="rId196" Type="http://schemas.openxmlformats.org/officeDocument/2006/relationships/hyperlink" Target="https://tsipprd.blob.core.windows.net/tsip-files/imports/cb09ba27-c93f-488d-a521-1acfca174929/1779318018349_output.xlsx?sv=2026-02-06&amp;se=2026-05-23T18%3A00%3A09Z&amp;sr=b&amp;sp=r&amp;sig=aQdXiJ10sZV%2Fg7JsuNIihJoRos%2FD5ZKyQ3YYhWheu%2F4%3D" TargetMode="External"/><Relationship Id="rId16" Type="http://schemas.openxmlformats.org/officeDocument/2006/relationships/hyperlink" Target="https://tsipprd.blob.core.windows.net/tsip-files/imports/cb09ba27-c93f-488d-a521-1acfca174929/1779316482562_output.xlsx?sv=2026-02-06&amp;se=2026-05-23T01%3A00%3A01Z&amp;sr=b&amp;sp=r&amp;sig=TIOvmvI4rwUd6C9Yzjfi8BhjpOBSnZufVmQwr54kROA%3D" TargetMode="External"/><Relationship Id="rId195" Type="http://schemas.openxmlformats.org/officeDocument/2006/relationships/hyperlink" Target="https://tsipprd.blob.core.windows.net/tsip-files/imports/cb09ba27-c93f-488d-a521-1acfca174929/1779318018594_input.xlsx?sv=2026-02-06&amp;se=2026-05-23T18%3A00%3A09Z&amp;sr=b&amp;sp=r&amp;sig=iR1TVcLw0tB7Inz4aMqZnJ3GVtJ9LTyT5Erou1emE%2Bo%3D" TargetMode="External"/><Relationship Id="rId19" Type="http://schemas.openxmlformats.org/officeDocument/2006/relationships/hyperlink" Target="https://tsipprd.blob.core.windows.net/tsip-files/imports/cb09ba27-c93f-488d-a521-1acfca174929/1779316481981_input.xlsx?sv=2026-02-06&amp;se=2026-05-23T01%3A30%3A02Z&amp;sr=b&amp;sp=r&amp;sig=ZMNHyhnufhT%2FiFs%2BV9YbKj1Mxy2wvx%2FdbtjFxkDot9o%3D" TargetMode="External"/><Relationship Id="rId18" Type="http://schemas.openxmlformats.org/officeDocument/2006/relationships/hyperlink" Target="https://tsipprd.blob.core.windows.net/tsip-files/imports/cb09ba27-c93f-488d-a521-1acfca174929/1779316482562_output.xlsx?sv=2026-02-06&amp;se=2026-05-23T01%3A15%3A02Z&amp;sr=b&amp;sp=r&amp;sig=qZwn3o0CTTwwRco8zLHauV%2FjOUKxrJEVQYJQutI%2FcXU%3D" TargetMode="External"/><Relationship Id="rId199" Type="http://schemas.openxmlformats.org/officeDocument/2006/relationships/hyperlink" Target="https://tsipprd.blob.core.windows.net/tsip-files/imports/cb09ba27-c93f-488d-a521-1acfca174929/1779316481981_input.xlsx?sv=2026-02-06&amp;se=2026-05-23T18%3A15%3A01Z&amp;sr=b&amp;sp=r&amp;sig=5VM3rPn2neyreO3TaDhtNDjF2aoq%2BIgeXrqjXg%2F8GPY%3D" TargetMode="External"/><Relationship Id="rId84" Type="http://schemas.openxmlformats.org/officeDocument/2006/relationships/hyperlink" Target="https://tsipprd.blob.core.windows.net/tsip-files/imports/cb09ba27-c93f-488d-a521-1acfca174929/1779316482562_output.xlsx?sv=2026-02-06&amp;se=2026-05-23T09%3A30%3A02Z&amp;sr=b&amp;sp=r&amp;sig=kjmrGA4FEVW44wGNMiyLuutNYDm4dRpwwbf42ixldW0%3D" TargetMode="External"/><Relationship Id="rId83" Type="http://schemas.openxmlformats.org/officeDocument/2006/relationships/hyperlink" Target="https://tsipprd.blob.core.windows.net/tsip-files/imports/cb09ba27-c93f-488d-a521-1acfca174929/1779316481981_input.xlsx?sv=2026-02-06&amp;se=2026-05-23T09%3A30%3A02Z&amp;sr=b&amp;sp=r&amp;sig=WQA57T%2B35c2FbviUoPtrCsTdtrAbzfWtcVlEIw6UHWI%3D" TargetMode="External"/><Relationship Id="rId86" Type="http://schemas.openxmlformats.org/officeDocument/2006/relationships/hyperlink" Target="https://tsipprd.blob.core.windows.net/tsip-files/imports/cb09ba27-c93f-488d-a521-1acfca174929/1779316482562_output.xlsx?sv=2026-02-06&amp;se=2026-05-23T09%3A45%3A01Z&amp;sr=b&amp;sp=r&amp;sig=X2a%2FLDLy2h%2F7CaQoK%2BcyWa%2BczhW241zTP5x8YYr83WU%3D" TargetMode="External"/><Relationship Id="rId85" Type="http://schemas.openxmlformats.org/officeDocument/2006/relationships/hyperlink" Target="https://tsipprd.blob.core.windows.net/tsip-files/imports/cb09ba27-c93f-488d-a521-1acfca174929/1779316481981_input.xlsx?sv=2026-02-06&amp;se=2026-05-23T09%3A45%3A01Z&amp;sr=b&amp;sp=r&amp;sig=bVLQ139m6e7uxv85zXbRBVq0ZqV8vjAKWAn3d%2BmjXvI%3D" TargetMode="External"/><Relationship Id="rId88" Type="http://schemas.openxmlformats.org/officeDocument/2006/relationships/hyperlink" Target="https://tsipprd.blob.core.windows.net/tsip-files/imports/cb09ba27-c93f-488d-a521-1acfca174929/1779316482562_output.xlsx?sv=2026-02-06&amp;se=2026-05-23T10%3A00%3A01Z&amp;sr=b&amp;sp=r&amp;sig=OfIiElLApukXfd33BP%2B9PLUqH8hXA7IUGyxd5OIyp50%3D" TargetMode="External"/><Relationship Id="rId150"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6%3A00%3A02Z&amp;sr=b&amp;sp=r&amp;sig=R0Y6fcwKUOm80o6fpbavn2d94wUSLa2aZcceklUOvn8%3D" TargetMode="External"/><Relationship Id="rId87" Type="http://schemas.openxmlformats.org/officeDocument/2006/relationships/hyperlink" Target="https://tsipprd.blob.core.windows.net/tsip-files/imports/cb09ba27-c93f-488d-a521-1acfca174929/1779316481981_input.xlsx?sv=2026-02-06&amp;se=2026-05-23T10%3A00%3A01Z&amp;sr=b&amp;sp=r&amp;sig=Oe5K0UAAZHJIJl%2FKhKtNVFulyQDstHMTQifbuCHwnWs%3D" TargetMode="External"/><Relationship Id="rId89" Type="http://schemas.openxmlformats.org/officeDocument/2006/relationships/hyperlink" Target="https://tsipprd.blob.core.windows.net/tsip-files/imports/cb09ba27-c93f-488d-a521-1acfca174929/1779316481981_input.xlsx?sv=2026-02-06&amp;se=2026-05-23T10%3A15%3A01Z&amp;sr=b&amp;sp=r&amp;sig=szFUxXlhgxrMk7hWt9cnQZIhdddWlFF8u2IrSuoN8Dk%3D" TargetMode="External"/><Relationship Id="rId80" Type="http://schemas.openxmlformats.org/officeDocument/2006/relationships/hyperlink" Target="https://tsipprd.blob.core.windows.net/tsip-files/imports/cb09ba27-c93f-488d-a521-1acfca174929/1779316482562_output.xlsx?sv=2026-02-06&amp;se=2026-05-23T09%3A00%3A01Z&amp;sr=b&amp;sp=r&amp;sig=mJGNlHfBfzw5FflF4WMWxpHID1MY69k9c5u912uJzvg%3D" TargetMode="External"/><Relationship Id="rId82" Type="http://schemas.openxmlformats.org/officeDocument/2006/relationships/hyperlink" Target="https://tsipprd.blob.core.windows.net/tsip-files/imports/cb09ba27-c93f-488d-a521-1acfca174929/1779316482562_output.xlsx?sv=2026-02-06&amp;se=2026-05-23T09%3A15%3A01Z&amp;sr=b&amp;sp=r&amp;sig=jFqCxtywGg1kWCodJmQ5gxL0q%2FBQcF%2B9yhxwPzroRC8%3D" TargetMode="External"/><Relationship Id="rId81" Type="http://schemas.openxmlformats.org/officeDocument/2006/relationships/hyperlink" Target="https://tsipprd.blob.core.windows.net/tsip-files/imports/cb09ba27-c93f-488d-a521-1acfca174929/1779316481981_input.xlsx?sv=2026-02-06&amp;se=2026-05-23T09%3A15%3A01Z&amp;sr=b&amp;sp=r&amp;sig=dMCNv5ZvswqpiwaKjzQcDCAn%2BUtmQmLHchPsrYnkEMU%3D" TargetMode="External"/><Relationship Id="rId1" Type="http://schemas.openxmlformats.org/officeDocument/2006/relationships/hyperlink" Target="https://tsipprd.blob.core.windows.net/tsip-files/imports/cb09ba27-c93f-488d-a521-1acfca174929/1779316481981_input.xlsx?sv=2026-02-06&amp;se=2026-05-22T23%3A39%3A59Z&amp;sr=b&amp;sp=r&amp;sig=CC5DNnPd5f2e1JwB9sDKqdOpa2zi7gHLrduNnKN2TtM%3D" TargetMode="External"/><Relationship Id="rId2" Type="http://schemas.openxmlformats.org/officeDocument/2006/relationships/hyperlink" Target="https://tsipprd.blob.core.windows.net/tsip-files/imports/cb09ba27-c93f-488d-a521-1acfca174929/1779316482562_output.xlsx?sv=2026-02-06&amp;se=2026-05-22T23%3A39%3A59Z&amp;sr=b&amp;sp=r&amp;sig=BhlYqb1YbOkS1Jz5zjxzwAV9nv9twjEZu96NoaxARrI%3D" TargetMode="External"/><Relationship Id="rId3" Type="http://schemas.openxmlformats.org/officeDocument/2006/relationships/hyperlink" Target="https://tsipprd.blob.core.windows.net/tsip-files/imports/cb09ba27-c93f-488d-a521-1acfca174929/1779316481981_input.xlsx?sv=2026-02-06&amp;se=2026-05-22T23%3A41%3A37Z&amp;sr=b&amp;sp=r&amp;sig=p8BFAjCxmCDosWp2mbNUVwq%2BqPxi9p1ruS5NMQbcVak%3D" TargetMode="External"/><Relationship Id="rId149"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6%3A00%3A02Z&amp;sr=b&amp;sp=r&amp;sig=gG6cSlUUR2zHJa4ZuZgKKnZBq7JUfjMmODO%2FXBZtUj0%3D" TargetMode="External"/><Relationship Id="rId4" Type="http://schemas.openxmlformats.org/officeDocument/2006/relationships/hyperlink" Target="https://tsipprd.blob.core.windows.net/tsip-files/imports/cb09ba27-c93f-488d-a521-1acfca174929/1779316482562_output.xlsx?sv=2026-02-06&amp;se=2026-05-22T23%3A41%3A37Z&amp;sr=b&amp;sp=r&amp;sig=NvEGF73jInp4kpKSDmS%2BiU36MVBwbMwZrWS0gvFzhHw%3D" TargetMode="External"/><Relationship Id="rId148" Type="http://schemas.openxmlformats.org/officeDocument/2006/relationships/hyperlink" Target="https://tsipprd.blob.core.windows.net/tsip-files/imports/cb09ba27-c93f-488d-a521-1acfca174929/1779316482562_output.xlsx?sv=2026-02-06&amp;se=2026-05-23T15%3A45%3A01Z&amp;sr=b&amp;sp=r&amp;sig=EIx4oxXia%2BBtwL8Zu061eBzO1C4h2yeqo05lqFQ4T54%3D" TargetMode="External"/><Relationship Id="rId9" Type="http://schemas.openxmlformats.org/officeDocument/2006/relationships/hyperlink" Target="https://tsipprd.blob.core.windows.net/tsip-files/imports/cb09ba27-c93f-488d-a521-1acfca174929/1779316481981_input.xlsx?sv=2026-02-06&amp;se=2026-05-23T00%3A15%3A01Z&amp;sr=b&amp;sp=r&amp;sig=ppGB9s0lwI6vrKIClQ%2FGOFW%2BUf1PQLGXrVq9R0AoCcs%3D" TargetMode="External"/><Relationship Id="rId143" Type="http://schemas.openxmlformats.org/officeDocument/2006/relationships/hyperlink" Target="https://tsipprd.blob.core.windows.net/tsip-files/imports/cb09ba27-c93f-488d-a521-1acfca174929/1779316481981_input.xlsx?sv=2026-02-06&amp;se=2026-05-23T15%3A30%3A01Z&amp;sr=b&amp;sp=r&amp;sig=gdi%2BJDR7lhUw7cdqrnJGbz%2BgVd51t5y218VrtrArSTg%3D" TargetMode="External"/><Relationship Id="rId142"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5%3A30%3A02Z&amp;sr=b&amp;sp=r&amp;sig=FZCv9K1NbVP%2FSe%2FmEXyE2CxKTCZioyLc7bSwcNcY%2BGM%3D" TargetMode="External"/><Relationship Id="rId141"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5%3A30%3A02Z&amp;sr=b&amp;sp=r&amp;sig=sxKziThFgOhGf%2FgEZwZN%2BcRdYiPzKinSdS0y6pW9KAM%3D" TargetMode="External"/><Relationship Id="rId140" Type="http://schemas.openxmlformats.org/officeDocument/2006/relationships/hyperlink" Target="https://tsipprd.blob.core.windows.net/tsip-files/imports/cb09ba27-c93f-488d-a521-1acfca174929/1779316482562_output.xlsx?sv=2026-02-06&amp;se=2026-05-23T15%3A15%3A01Z&amp;sr=b&amp;sp=r&amp;sig=r2CHzq3NevlBRDF%2B9szqWNELxzDpMwfo8KtemmCLgpo%3D" TargetMode="External"/><Relationship Id="rId5" Type="http://schemas.openxmlformats.org/officeDocument/2006/relationships/hyperlink" Target="https://tsipprd.blob.core.windows.net/tsip-files/imports/cb09ba27-c93f-488d-a521-1acfca174929/1779316481981_input.xlsx?sv=2026-02-06&amp;se=2026-05-22T23%3A45%3A01Z&amp;sr=b&amp;sp=r&amp;sig=6%2FHuLrOpX7EkFwCLPmnunqnxSu%2Bl%2BejSZBFgI%2BpZe0s%3D" TargetMode="External"/><Relationship Id="rId147" Type="http://schemas.openxmlformats.org/officeDocument/2006/relationships/hyperlink" Target="https://tsipprd.blob.core.windows.net/tsip-files/imports/cb09ba27-c93f-488d-a521-1acfca174929/1779316481981_input.xlsx?sv=2026-02-06&amp;se=2026-05-23T15%3A45%3A01Z&amp;sr=b&amp;sp=r&amp;sig=BGnhqQlEpTBR4ajSh81XG3%2FUv88BTmbl1w68ZHXX6RA%3D" TargetMode="External"/><Relationship Id="rId6" Type="http://schemas.openxmlformats.org/officeDocument/2006/relationships/hyperlink" Target="https://tsipprd.blob.core.windows.net/tsip-files/imports/cb09ba27-c93f-488d-a521-1acfca174929/1779316482562_output.xlsx?sv=2026-02-06&amp;se=2026-05-22T23%3A45%3A01Z&amp;sr=b&amp;sp=r&amp;sig=%2BROzPL01yw%2F3I7452J0Bpq07KL%2BDl0syQMB8EbBQC90%3D" TargetMode="External"/><Relationship Id="rId146"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5%3A45%3A01Z&amp;sr=b&amp;sp=r&amp;sig=CweGjb5jxYd%2F4CTJT9EjLr2X4ebqqM7JoSxDfwA8OFQ%3D" TargetMode="External"/><Relationship Id="rId7" Type="http://schemas.openxmlformats.org/officeDocument/2006/relationships/hyperlink" Target="https://tsipprd.blob.core.windows.net/tsip-files/imports/cb09ba27-c93f-488d-a521-1acfca174929/1779316481981_input.xlsx?sv=2026-02-06&amp;se=2026-05-23T00%3A00%3A02Z&amp;sr=b&amp;sp=r&amp;sig=mD9KijmzCBTzaIf3HlVxfgn5PqIyiDrUSJyGQTJ%2Boog%3D" TargetMode="External"/><Relationship Id="rId145"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5%3A45%3A01Z&amp;sr=b&amp;sp=r&amp;sig=5jAWu6FzTo4V8S6Hqo6NShj7AbCb72rC%2BOHM5nyuBmg%3D" TargetMode="External"/><Relationship Id="rId8" Type="http://schemas.openxmlformats.org/officeDocument/2006/relationships/hyperlink" Target="https://tsipprd.blob.core.windows.net/tsip-files/imports/cb09ba27-c93f-488d-a521-1acfca174929/1779316482562_output.xlsx?sv=2026-02-06&amp;se=2026-05-23T00%3A00%3A02Z&amp;sr=b&amp;sp=r&amp;sig=kx8ek3Jd3XQaKr1Ebl%2BkZiTYpaOFoIrPyYa5R00dvTs%3D" TargetMode="External"/><Relationship Id="rId144" Type="http://schemas.openxmlformats.org/officeDocument/2006/relationships/hyperlink" Target="https://tsipprd.blob.core.windows.net/tsip-files/imports/cb09ba27-c93f-488d-a521-1acfca174929/1779316482562_output.xlsx?sv=2026-02-06&amp;se=2026-05-23T15%3A30%3A01Z&amp;sr=b&amp;sp=r&amp;sig=2itcHzXpIR4eOA5oYIPkOCA56grJGF8hL1Lm3u8UFf0%3D" TargetMode="External"/><Relationship Id="rId73" Type="http://schemas.openxmlformats.org/officeDocument/2006/relationships/hyperlink" Target="https://tsipprd.blob.core.windows.net/tsip-files/imports/cb09ba27-c93f-488d-a521-1acfca174929/1779316481981_input.xlsx?sv=2026-02-06&amp;se=2026-05-23T08%3A15%3A01Z&amp;sr=b&amp;sp=r&amp;sig=n2Bpwt2GjwAs1uy8ploZHxpTH2%2F03XL%2FMFImPIdxYaI%3D" TargetMode="External"/><Relationship Id="rId72" Type="http://schemas.openxmlformats.org/officeDocument/2006/relationships/hyperlink" Target="https://tsipprd.blob.core.windows.net/tsip-files/imports/cb09ba27-c93f-488d-a521-1acfca174929/1779316482562_output.xlsx?sv=2026-02-06&amp;se=2026-05-23T08%3A00%3A01Z&amp;sr=b&amp;sp=r&amp;sig=caYiU7hn5%2BLDhOK0Peu8TxPkU6KdIqM4D%2BGe1tpFxq4%3D" TargetMode="External"/><Relationship Id="rId75" Type="http://schemas.openxmlformats.org/officeDocument/2006/relationships/hyperlink" Target="https://tsipprd.blob.core.windows.net/tsip-files/imports/cb09ba27-c93f-488d-a521-1acfca174929/1779316481981_input.xlsx?sv=2026-02-06&amp;se=2026-05-23T08%3A30%3A01Z&amp;sr=b&amp;sp=r&amp;sig=XXxZ9z5oW5wYuDh%2FFzVzotPub2YO7sigdyo5%2FdUZ%2BNQ%3D" TargetMode="External"/><Relationship Id="rId74" Type="http://schemas.openxmlformats.org/officeDocument/2006/relationships/hyperlink" Target="https://tsipprd.blob.core.windows.net/tsip-files/imports/cb09ba27-c93f-488d-a521-1acfca174929/1779316482562_output.xlsx?sv=2026-02-06&amp;se=2026-05-23T08%3A15%3A01Z&amp;sr=b&amp;sp=r&amp;sig=dkg3prqs12G%2FyOEfEKnrbd7PRfLMsMWXQz8U9tyrZxE%3D" TargetMode="External"/><Relationship Id="rId77" Type="http://schemas.openxmlformats.org/officeDocument/2006/relationships/hyperlink" Target="https://tsipprd.blob.core.windows.net/tsip-files/imports/cb09ba27-c93f-488d-a521-1acfca174929/1779316481981_input.xlsx?sv=2026-02-06&amp;se=2026-05-23T08%3A45%3A01Z&amp;sr=b&amp;sp=r&amp;sig=KCm8HqgEYJM0vZKo9V1kxyXRv0TV7LUHenC9%2B8pxUJU%3D" TargetMode="External"/><Relationship Id="rId76" Type="http://schemas.openxmlformats.org/officeDocument/2006/relationships/hyperlink" Target="https://tsipprd.blob.core.windows.net/tsip-files/imports/cb09ba27-c93f-488d-a521-1acfca174929/1779316482562_output.xlsx?sv=2026-02-06&amp;se=2026-05-23T08%3A30%3A01Z&amp;sr=b&amp;sp=r&amp;sig=39fwkRUWX80mqDo3R2fguWlWJMtCjmPaIHKS9JwkusA%3D" TargetMode="External"/><Relationship Id="rId79" Type="http://schemas.openxmlformats.org/officeDocument/2006/relationships/hyperlink" Target="https://tsipprd.blob.core.windows.net/tsip-files/imports/cb09ba27-c93f-488d-a521-1acfca174929/1779316481981_input.xlsx?sv=2026-02-06&amp;se=2026-05-23T09%3A00%3A01Z&amp;sr=b&amp;sp=r&amp;sig=R9lUNMlOISFfIyzNG09ICHVEmO0SRt5vGEwFXcMi2bg%3D" TargetMode="External"/><Relationship Id="rId78" Type="http://schemas.openxmlformats.org/officeDocument/2006/relationships/hyperlink" Target="https://tsipprd.blob.core.windows.net/tsip-files/imports/cb09ba27-c93f-488d-a521-1acfca174929/1779316482562_output.xlsx?sv=2026-02-06&amp;se=2026-05-23T08%3A45%3A01Z&amp;sr=b&amp;sp=r&amp;sig=WadpaKlWu%2Bk26re0WpG5T6RwPqqm48J0jKaBJfRRI%2FE%3D" TargetMode="External"/><Relationship Id="rId71" Type="http://schemas.openxmlformats.org/officeDocument/2006/relationships/hyperlink" Target="https://tsipprd.blob.core.windows.net/tsip-files/imports/cb09ba27-c93f-488d-a521-1acfca174929/1779316481981_input.xlsx?sv=2026-02-06&amp;se=2026-05-23T08%3A00%3A01Z&amp;sr=b&amp;sp=r&amp;sig=PCGMHidRaaAB39phwsDmRAcNPIgqNt2DhpgEFAwsrPI%3D" TargetMode="External"/><Relationship Id="rId70" Type="http://schemas.openxmlformats.org/officeDocument/2006/relationships/hyperlink" Target="https://tsipprd.blob.core.windows.net/tsip-files/imports/cb09ba27-c93f-488d-a521-1acfca174929/1779316482562_output.xlsx?sv=2026-02-06&amp;se=2026-05-23T07%3A45%3A01Z&amp;sr=b&amp;sp=r&amp;sig=wYJqdv7Y0zg0BIYp2rv3cKyB5SSVf%2BKO4MoFJreEG3s%3D" TargetMode="External"/><Relationship Id="rId139" Type="http://schemas.openxmlformats.org/officeDocument/2006/relationships/hyperlink" Target="https://tsipprd.blob.core.windows.net/tsip-files/imports/cb09ba27-c93f-488d-a521-1acfca174929/1779316481981_input.xlsx?sv=2026-02-06&amp;se=2026-05-23T15%3A15%3A01Z&amp;sr=b&amp;sp=r&amp;sig=NJxFlwxOr01619Vi7wOHCSFNWMfak3%2FhOG3%2B8LLc9WI%3D" TargetMode="External"/><Relationship Id="rId138"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5%3A15%3A01Z&amp;sr=b&amp;sp=r&amp;sig=1D6ygPkOSP3hl6CT07EUPz0ID%2F9BLqV2BFV5TRgIPhg%3D" TargetMode="External"/><Relationship Id="rId137"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5%3A15%3A01Z&amp;sr=b&amp;sp=r&amp;sig=hCogbWCyA2kiVCYdBj3o6sTvlJ0OxNkoQTgRRT%2BM%2Foo%3D" TargetMode="External"/><Relationship Id="rId132" Type="http://schemas.openxmlformats.org/officeDocument/2006/relationships/hyperlink" Target="https://tsipprd.blob.core.windows.net/tsip-files/imports/cb09ba27-c93f-488d-a521-1acfca174929/1779316482562_output.xlsx?sv=2026-02-06&amp;se=2026-05-23T14%3A45%3A01Z&amp;sr=b&amp;sp=r&amp;sig=WHOigVAm9mC5rC3adTVQjAT%2B3pmGk%2FwEfkd%2BJ7wEkYQ%3D" TargetMode="External"/><Relationship Id="rId131" Type="http://schemas.openxmlformats.org/officeDocument/2006/relationships/hyperlink" Target="https://tsipprd.blob.core.windows.net/tsip-files/imports/cb09ba27-c93f-488d-a521-1acfca174929/1779316481981_input.xlsx?sv=2026-02-06&amp;se=2026-05-23T14%3A45%3A01Z&amp;sr=b&amp;sp=r&amp;sig=D4urhqUK1nB9req7z%2FZ8wdMgMH8%2FsnJt8tz9ODhMBFc%3D" TargetMode="External"/><Relationship Id="rId130"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4%3A45%3A01Z&amp;sr=b&amp;sp=r&amp;sig=b%2FZ%2BhjubO3sIhhBdXn5w%2FKizcYY3JjAmOD%2FHN5fXsO0%3D" TargetMode="External"/><Relationship Id="rId136" Type="http://schemas.openxmlformats.org/officeDocument/2006/relationships/hyperlink" Target="https://tsipprd.blob.core.windows.net/tsip-files/imports/cb09ba27-c93f-488d-a521-1acfca174929/1779316482562_output.xlsx?sv=2026-02-06&amp;se=2026-05-23T15%3A00%3A02Z&amp;sr=b&amp;sp=r&amp;sig=TiMZZenK6KXd0y4GqtqympRT8VwXpXqtQbuqeUaZ%2FAw%3D" TargetMode="External"/><Relationship Id="rId135" Type="http://schemas.openxmlformats.org/officeDocument/2006/relationships/hyperlink" Target="https://tsipprd.blob.core.windows.net/tsip-files/imports/cb09ba27-c93f-488d-a521-1acfca174929/1779316481981_input.xlsx?sv=2026-02-06&amp;se=2026-05-23T15%3A00%3A02Z&amp;sr=b&amp;sp=r&amp;sig=rNiTjd7%2F3OZf2TyutMdYDoqOCzKJfKqIg5q%2BogqAfnw%3D" TargetMode="External"/><Relationship Id="rId134"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5%3A00%3A02Z&amp;sr=b&amp;sp=r&amp;sig=Xxu4GSC5YKjJ6nCqv%2FQnz%2BPLDksIh28r8lByfGqghCk%3D" TargetMode="External"/><Relationship Id="rId133"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5%3A00%3A02Z&amp;sr=b&amp;sp=r&amp;sig=Z13lnvZl16wOQhJGc7DbWnYwa%2Fp40ZFjQkZiOZECYNw%3D" TargetMode="External"/><Relationship Id="rId62" Type="http://schemas.openxmlformats.org/officeDocument/2006/relationships/hyperlink" Target="https://tsipprd.blob.core.windows.net/tsip-files/imports/cb09ba27-c93f-488d-a521-1acfca174929/1779316482562_output.xlsx?sv=2026-02-06&amp;se=2026-05-23T06%3A45%3A01Z&amp;sr=b&amp;sp=r&amp;sig=6K7ZvFI4xsSHTcjjuFrhAvmCJd92hedht3zskEGMk%2Fc%3D" TargetMode="External"/><Relationship Id="rId61" Type="http://schemas.openxmlformats.org/officeDocument/2006/relationships/hyperlink" Target="https://tsipprd.blob.core.windows.net/tsip-files/imports/cb09ba27-c93f-488d-a521-1acfca174929/1779316481981_input.xlsx?sv=2026-02-06&amp;se=2026-05-23T06%3A45%3A01Z&amp;sr=b&amp;sp=r&amp;sig=1vazyvfxjQHI2qDx9Yx3EmmgcXubt3zXdY81JdDc0KA%3D" TargetMode="External"/><Relationship Id="rId64" Type="http://schemas.openxmlformats.org/officeDocument/2006/relationships/hyperlink" Target="https://tsipprd.blob.core.windows.net/tsip-files/imports/cb09ba27-c93f-488d-a521-1acfca174929/1779316482562_output.xlsx?sv=2026-02-06&amp;se=2026-05-23T07%3A00%3A01Z&amp;sr=b&amp;sp=r&amp;sig=Da1J%2BK3lwFBBJOqokvxl61kuMKdSRvKdTxjWdU5g7P4%3D" TargetMode="External"/><Relationship Id="rId63" Type="http://schemas.openxmlformats.org/officeDocument/2006/relationships/hyperlink" Target="https://tsipprd.blob.core.windows.net/tsip-files/imports/cb09ba27-c93f-488d-a521-1acfca174929/1779316481981_input.xlsx?sv=2026-02-06&amp;se=2026-05-23T07%3A00%3A01Z&amp;sr=b&amp;sp=r&amp;sig=nivoYysqzBZOIgrGzGRhidKGeiJcszc78ooKoOIhUe8%3D" TargetMode="External"/><Relationship Id="rId66" Type="http://schemas.openxmlformats.org/officeDocument/2006/relationships/hyperlink" Target="https://tsipprd.blob.core.windows.net/tsip-files/imports/cb09ba27-c93f-488d-a521-1acfca174929/1779316482562_output.xlsx?sv=2026-02-06&amp;se=2026-05-23T07%3A15%3A01Z&amp;sr=b&amp;sp=r&amp;sig=mitBceHVTUoqcgeV8bymUkwK3APAIof%2FHo0c41%2BYlpM%3D" TargetMode="External"/><Relationship Id="rId172" Type="http://schemas.openxmlformats.org/officeDocument/2006/relationships/hyperlink" Target="https://tsipprd.blob.core.windows.net/tsip-files/imports/cb09ba27-c93f-488d-a521-1acfca174929/1779316482562_output.xlsx?sv=2026-02-06&amp;se=2026-05-23T17%3A15%3A02Z&amp;sr=b&amp;sp=r&amp;sig=PS4MT78rQwVn0FCQ0QfzzGs6Y733I%2FIYQe5hoE3jwLQ%3D" TargetMode="External"/><Relationship Id="rId65" Type="http://schemas.openxmlformats.org/officeDocument/2006/relationships/hyperlink" Target="https://tsipprd.blob.core.windows.net/tsip-files/imports/cb09ba27-c93f-488d-a521-1acfca174929/1779316481981_input.xlsx?sv=2026-02-06&amp;se=2026-05-23T07%3A15%3A01Z&amp;sr=b&amp;sp=r&amp;sig=FcRMk%2F8Miw65OXKxF5DV%2Fw3KP7uYynnDr1Kzz4B73Lo%3D" TargetMode="External"/><Relationship Id="rId171" Type="http://schemas.openxmlformats.org/officeDocument/2006/relationships/hyperlink" Target="https://tsipprd.blob.core.windows.net/tsip-files/imports/cb09ba27-c93f-488d-a521-1acfca174929/1779316481981_input.xlsx?sv=2026-02-06&amp;se=2026-05-23T17%3A15%3A02Z&amp;sr=b&amp;sp=r&amp;sig=OykpTxpRs19RIdum1%2FyUvARyA78dYdGyb2jqboZK9LM%3D" TargetMode="External"/><Relationship Id="rId68" Type="http://schemas.openxmlformats.org/officeDocument/2006/relationships/hyperlink" Target="https://tsipprd.blob.core.windows.net/tsip-files/imports/cb09ba27-c93f-488d-a521-1acfca174929/1779316482562_output.xlsx?sv=2026-02-06&amp;se=2026-05-23T07%3A40%3A06Z&amp;sr=b&amp;sp=r&amp;sig=laYouCZ%2B%2BdV7Qc%2BJxqW5OzyFSNAcI16kq2XMDN9qTqo%3D" TargetMode="External"/><Relationship Id="rId170"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7%3A15%3A01Z&amp;sr=b&amp;sp=r&amp;sig=N2VeoA%2BDG1lnpAD165QEIamWtalIJjJIpDxoJFhYZHU%3D" TargetMode="External"/><Relationship Id="rId67" Type="http://schemas.openxmlformats.org/officeDocument/2006/relationships/hyperlink" Target="https://tsipprd.blob.core.windows.net/tsip-files/imports/cb09ba27-c93f-488d-a521-1acfca174929/1779316481981_input.xlsx?sv=2026-02-06&amp;se=2026-05-23T07%3A40%3A06Z&amp;sr=b&amp;sp=r&amp;sig=Ehu1ujz0g5uDh3cxP8lajNJR1h7SiCaCmyz2ZtyvkM4%3D" TargetMode="External"/><Relationship Id="rId60" Type="http://schemas.openxmlformats.org/officeDocument/2006/relationships/hyperlink" Target="https://tsipprd.blob.core.windows.net/tsip-files/imports/cb09ba27-c93f-488d-a521-1acfca174929/1779316482562_output.xlsx?sv=2026-02-06&amp;se=2026-05-23T06%3A30%3A01Z&amp;sr=b&amp;sp=r&amp;sig=4Na5uIW93NNwekFEkJBXj8Tbxk0oikLrMCvpptnDV4s%3D" TargetMode="External"/><Relationship Id="rId165"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7%3A00%3A02Z&amp;sr=b&amp;sp=r&amp;sig=AhFJPqDm4jynpk8BiVLhXBPbDwaoCPmPoAkyP0IGtBw%3D" TargetMode="External"/><Relationship Id="rId69" Type="http://schemas.openxmlformats.org/officeDocument/2006/relationships/hyperlink" Target="https://tsipprd.blob.core.windows.net/tsip-files/imports/cb09ba27-c93f-488d-a521-1acfca174929/1779316481981_input.xlsx?sv=2026-02-06&amp;se=2026-05-23T07%3A45%3A01Z&amp;sr=b&amp;sp=r&amp;sig=k14vzmJkn9nnqbYDhMwkDNJX%2BLOC%2BSDARr0Zz8ExWNM%3D" TargetMode="External"/><Relationship Id="rId164" Type="http://schemas.openxmlformats.org/officeDocument/2006/relationships/hyperlink" Target="https://tsipprd.blob.core.windows.net/tsip-files/imports/cb09ba27-c93f-488d-a521-1acfca174929/1779316482562_output.xlsx?sv=2026-02-06&amp;se=2026-05-23T16%3A45%3A01Z&amp;sr=b&amp;sp=r&amp;sig=yoxSLmym38wcY9mcAKpZoCRWWPzWjfrq0BJL7DuUwDo%3D" TargetMode="External"/><Relationship Id="rId163" Type="http://schemas.openxmlformats.org/officeDocument/2006/relationships/hyperlink" Target="https://tsipprd.blob.core.windows.net/tsip-files/imports/cb09ba27-c93f-488d-a521-1acfca174929/1779316481981_input.xlsx?sv=2026-02-06&amp;se=2026-05-23T16%3A45%3A01Z&amp;sr=b&amp;sp=r&amp;sig=S%2BA7ColYGAfFmrH2tcmL1sFPZmQ8iiAm2vutd1MQchk%3D" TargetMode="External"/><Relationship Id="rId162"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6%3A45%3A01Z&amp;sr=b&amp;sp=r&amp;sig=4K9BOYkyWfVStU9SRVt64qp0LpEudTPBFw09vJwAwBU%3D" TargetMode="External"/><Relationship Id="rId169"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7%3A15%3A01Z&amp;sr=b&amp;sp=r&amp;sig=bhnZKPASYqeIXTET9yc1kIj40gEFnKCcrlj5YfukrIQ%3D" TargetMode="External"/><Relationship Id="rId168" Type="http://schemas.openxmlformats.org/officeDocument/2006/relationships/hyperlink" Target="https://tsipprd.blob.core.windows.net/tsip-files/imports/cb09ba27-c93f-488d-a521-1acfca174929/1779316482562_output.xlsx?sv=2026-02-06&amp;se=2026-05-23T17%3A00%3A02Z&amp;sr=b&amp;sp=r&amp;sig=jUmx8DmzIZQQSe2hidrMA7%2FmISH0aS28unFMO8XBFSg%3D" TargetMode="External"/><Relationship Id="rId167" Type="http://schemas.openxmlformats.org/officeDocument/2006/relationships/hyperlink" Target="https://tsipprd.blob.core.windows.net/tsip-files/imports/cb09ba27-c93f-488d-a521-1acfca174929/1779316481981_input.xlsx?sv=2026-02-06&amp;se=2026-05-23T17%3A00%3A02Z&amp;sr=b&amp;sp=r&amp;sig=iMUpXNQTiNtxlBD1W%2FpUe296oLvbrvyNncEZJKBKWU4%3D" TargetMode="External"/><Relationship Id="rId166"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7%3A00%3A02Z&amp;sr=b&amp;sp=r&amp;sig=rVehQRNecx6VwIN%2FBtxZBNYNNtqtsLrQLpllJNcoh2s%3D" TargetMode="External"/><Relationship Id="rId51" Type="http://schemas.openxmlformats.org/officeDocument/2006/relationships/hyperlink" Target="https://tsipprd.blob.core.windows.net/tsip-files/imports/cb09ba27-c93f-488d-a521-1acfca174929/1779316481981_input.xlsx?sv=2026-02-06&amp;se=2026-05-23T05%3A30%3A01Z&amp;sr=b&amp;sp=r&amp;sig=sw68Psmk88T7%2FYL%2Fp9BB34z2c6IKcf24PfbYvGtRWAg%3D" TargetMode="External"/><Relationship Id="rId50" Type="http://schemas.openxmlformats.org/officeDocument/2006/relationships/hyperlink" Target="https://tsipprd.blob.core.windows.net/tsip-files/imports/cb09ba27-c93f-488d-a521-1acfca174929/1779316482562_output.xlsx?sv=2026-02-06&amp;se=2026-05-23T05%3A15%3A01Z&amp;sr=b&amp;sp=r&amp;sig=8BDsFPAs1Otzr9B9TPn%2BdScCAwyxoqjmSnCHHPOXF5U%3D" TargetMode="External"/><Relationship Id="rId53" Type="http://schemas.openxmlformats.org/officeDocument/2006/relationships/hyperlink" Target="https://tsipprd.blob.core.windows.net/tsip-files/imports/cb09ba27-c93f-488d-a521-1acfca174929/1779316481981_input.xlsx?sv=2026-02-06&amp;se=2026-05-23T05%3A45%3A01Z&amp;sr=b&amp;sp=r&amp;sig=VStM1bGWIQYctX%2FJBR6hZVCQxyY7cTLKx99P0T3BMuc%3D" TargetMode="External"/><Relationship Id="rId52" Type="http://schemas.openxmlformats.org/officeDocument/2006/relationships/hyperlink" Target="https://tsipprd.blob.core.windows.net/tsip-files/imports/cb09ba27-c93f-488d-a521-1acfca174929/1779316482562_output.xlsx?sv=2026-02-06&amp;se=2026-05-23T05%3A30%3A01Z&amp;sr=b&amp;sp=r&amp;sig=txm8PzVAsBXC2Mrr6s7KGqrR4FZItytE3%2BeXlA76ncc%3D" TargetMode="External"/><Relationship Id="rId55" Type="http://schemas.openxmlformats.org/officeDocument/2006/relationships/hyperlink" Target="https://tsipprd.blob.core.windows.net/tsip-files/imports/cb09ba27-c93f-488d-a521-1acfca174929/1779316481981_input.xlsx?sv=2026-02-06&amp;se=2026-05-23T06%3A00%3A02Z&amp;sr=b&amp;sp=r&amp;sig=ci0hbyPNCiQR2IeoDxuZV6uo4jkXWc%2BTJD10IrUT7H4%3D" TargetMode="External"/><Relationship Id="rId161"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6%3A45%3A01Z&amp;sr=b&amp;sp=r&amp;sig=32HAQMbshcl427vdXMFtz%2F9P4qixkZdD7Aibj0dVYFM%3D" TargetMode="External"/><Relationship Id="rId54" Type="http://schemas.openxmlformats.org/officeDocument/2006/relationships/hyperlink" Target="https://tsipprd.blob.core.windows.net/tsip-files/imports/cb09ba27-c93f-488d-a521-1acfca174929/1779316482562_output.xlsx?sv=2026-02-06&amp;se=2026-05-23T05%3A45%3A01Z&amp;sr=b&amp;sp=r&amp;sig=M0BKXQVrs%2FBr2QddREdzj2T9OD47Vt1MUMdi6UTpF6k%3D" TargetMode="External"/><Relationship Id="rId160" Type="http://schemas.openxmlformats.org/officeDocument/2006/relationships/hyperlink" Target="https://tsipprd.blob.core.windows.net/tsip-files/imports/cb09ba27-c93f-488d-a521-1acfca174929/1779316482562_output.xlsx?sv=2026-02-06&amp;se=2026-05-23T16%3A30%3A02Z&amp;sr=b&amp;sp=r&amp;sig=W6Ng8rHtoio2%2BgzObjti5RM8PTfvt5grYH4NKNHqCdA%3D" TargetMode="External"/><Relationship Id="rId57" Type="http://schemas.openxmlformats.org/officeDocument/2006/relationships/hyperlink" Target="https://tsipprd.blob.core.windows.net/tsip-files/imports/cb09ba27-c93f-488d-a521-1acfca174929/1779316481981_input.xlsx?sv=2026-02-06&amp;se=2026-05-23T06%3A15%3A01Z&amp;sr=b&amp;sp=r&amp;sig=DoCc%2FJVdcpCmLR5%2Ffnnu56Tb7aAxwKmBzgo4deqhS8k%3D" TargetMode="External"/><Relationship Id="rId56" Type="http://schemas.openxmlformats.org/officeDocument/2006/relationships/hyperlink" Target="https://tsipprd.blob.core.windows.net/tsip-files/imports/cb09ba27-c93f-488d-a521-1acfca174929/1779316482562_output.xlsx?sv=2026-02-06&amp;se=2026-05-23T06%3A00%3A02Z&amp;sr=b&amp;sp=r&amp;sig=sNG6eRryMTKVGypz94IBfPY6%2F%2BU13HQd1zrXQr%2F%2BHUU%3D" TargetMode="External"/><Relationship Id="rId159" Type="http://schemas.openxmlformats.org/officeDocument/2006/relationships/hyperlink" Target="https://tsipprd.blob.core.windows.net/tsip-files/imports/cb09ba27-c93f-488d-a521-1acfca174929/1779316481981_input.xlsx?sv=2026-02-06&amp;se=2026-05-23T16%3A30%3A02Z&amp;sr=b&amp;sp=r&amp;sig=iRESVDxPPB1Qh0RJFwpSAHfEA4BuMvBLZzT2%2BFzlh3Y%3D" TargetMode="External"/><Relationship Id="rId59" Type="http://schemas.openxmlformats.org/officeDocument/2006/relationships/hyperlink" Target="https://tsipprd.blob.core.windows.net/tsip-files/imports/cb09ba27-c93f-488d-a521-1acfca174929/1779316481981_input.xlsx?sv=2026-02-06&amp;se=2026-05-23T06%3A30%3A01Z&amp;sr=b&amp;sp=r&amp;sig=s0Xe6%2Fhih90fnKOVpcMtRtgnX5mfflgJw78jbBqx2B0%3D" TargetMode="External"/><Relationship Id="rId154"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6%3A15%3A07Z&amp;sr=b&amp;sp=r&amp;sig=7nTGi%2FadoqoM3907IPDoyf%2Ft86cdYwFU%2BN1pMQVzhRU%3D" TargetMode="External"/><Relationship Id="rId58" Type="http://schemas.openxmlformats.org/officeDocument/2006/relationships/hyperlink" Target="https://tsipprd.blob.core.windows.net/tsip-files/imports/cb09ba27-c93f-488d-a521-1acfca174929/1779316482562_output.xlsx?sv=2026-02-06&amp;se=2026-05-23T06%3A15%3A01Z&amp;sr=b&amp;sp=r&amp;sig=3g3f1uHhrTXdN2sqUvcUo0VCTuF3jwK7Adne7Id8%2Fjw%3D" TargetMode="External"/><Relationship Id="rId153"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6%3A15%3A07Z&amp;sr=b&amp;sp=r&amp;sig=IMpRgEpqU%2FcvCaIyPd%2B9nOhczmGx3HBbFyhWx7G%2B2F0%3D" TargetMode="External"/><Relationship Id="rId152" Type="http://schemas.openxmlformats.org/officeDocument/2006/relationships/hyperlink" Target="https://tsipprd.blob.core.windows.net/tsip-files/imports/cb09ba27-c93f-488d-a521-1acfca174929/1779316482562_output.xlsx?sv=2026-02-06&amp;se=2026-05-23T16%3A00%3A02Z&amp;sr=b&amp;sp=r&amp;sig=2Z8bWg62hgYs1CWogmZW8qDjozDMKFVv7sn3bFAzgCc%3D" TargetMode="External"/><Relationship Id="rId151" Type="http://schemas.openxmlformats.org/officeDocument/2006/relationships/hyperlink" Target="https://tsipprd.blob.core.windows.net/tsip-files/imports/cb09ba27-c93f-488d-a521-1acfca174929/1779316481981_input.xlsx?sv=2026-02-06&amp;se=2026-05-23T16%3A00%3A02Z&amp;sr=b&amp;sp=r&amp;sig=k02y0k1SRUvfUu15Giy8N0IPubR6YZFT7vDxP3M5MM4%3D" TargetMode="External"/><Relationship Id="rId158"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6%3A30%3A02Z&amp;sr=b&amp;sp=r&amp;sig=A9NKLVC1Chrf7t3LxljhQcWeutm%2BZ3rHR3NZ0zohrsc%3D" TargetMode="External"/><Relationship Id="rId157"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6%3A30%3A02Z&amp;sr=b&amp;sp=r&amp;sig=r6g5OGHFOLs0Bi9jQg6bJdhcYjEdSMHNv%2F2aHofTIlY%3D" TargetMode="External"/><Relationship Id="rId156" Type="http://schemas.openxmlformats.org/officeDocument/2006/relationships/hyperlink" Target="https://tsipprd.blob.core.windows.net/tsip-files/imports/cb09ba27-c93f-488d-a521-1acfca174929/1779316482562_output.xlsx?sv=2026-02-06&amp;se=2026-05-23T16%3A15%3A08Z&amp;sr=b&amp;sp=r&amp;sig=PKnBcSMDa9u9D%2FSAd7K6Q4jxOCEexjscVLWQfRddeWc%3D" TargetMode="External"/><Relationship Id="rId155" Type="http://schemas.openxmlformats.org/officeDocument/2006/relationships/hyperlink" Target="https://tsipprd.blob.core.windows.net/tsip-files/imports/cb09ba27-c93f-488d-a521-1acfca174929/1779316481981_input.xlsx?sv=2026-02-06&amp;se=2026-05-23T16%3A15%3A08Z&amp;sr=b&amp;sp=r&amp;sig=FqWDO6U6gkn1B1ZEza2ILDehbT7ZEvvyugKdiTyX1vA%3D" TargetMode="External"/><Relationship Id="rId107" Type="http://schemas.openxmlformats.org/officeDocument/2006/relationships/hyperlink" Target="https://tsipprd.blob.core.windows.net/tsip-files/imports/cb09ba27-c93f-488d-a521-1acfca174929/1779316481981_input.xlsx?sv=2026-02-06&amp;se=2026-05-23T12%3A30%3A02Z&amp;sr=b&amp;sp=r&amp;sig=ffwVjbGA4I%2F%2B96kIFBWVFfJfo8lkfduHH7G51%2BjHmBM%3D" TargetMode="External"/><Relationship Id="rId106" Type="http://schemas.openxmlformats.org/officeDocument/2006/relationships/hyperlink" Target="https://tsipprd.blob.core.windows.net/tsip-files/imports/cb09ba27-c93f-488d-a521-1acfca174929/1779316482562_output.xlsx?sv=2026-02-06&amp;se=2026-05-23T12%3A15%3A02Z&amp;sr=b&amp;sp=r&amp;sig=K3Xc%2FnDRnASYnduu2ota8Dq68iEuzwuUCulOKSjFinc%3D" TargetMode="External"/><Relationship Id="rId105" Type="http://schemas.openxmlformats.org/officeDocument/2006/relationships/hyperlink" Target="https://tsipprd.blob.core.windows.net/tsip-files/imports/cb09ba27-c93f-488d-a521-1acfca174929/1779316481981_input.xlsx?sv=2026-02-06&amp;se=2026-05-23T12%3A15%3A02Z&amp;sr=b&amp;sp=r&amp;sig=YyZNvZ2wKDis0UKnpwXBZeKopPr83VifXo7PG%2BJpai8%3D" TargetMode="External"/><Relationship Id="rId104" Type="http://schemas.openxmlformats.org/officeDocument/2006/relationships/hyperlink" Target="https://tsipprd.blob.core.windows.net/tsip-files/imports/cb09ba27-c93f-488d-a521-1acfca174929/1779316482562_output.xlsx?sv=2026-02-06&amp;se=2026-05-23T12%3A00%3A01Z&amp;sr=b&amp;sp=r&amp;sig=GfMQ0cKb4rIbdEuSKwhvzqgD4p6kK3aUxftBVOpoWV8%3D" TargetMode="External"/><Relationship Id="rId109" Type="http://schemas.openxmlformats.org/officeDocument/2006/relationships/hyperlink" Target="https://tsipprd.blob.core.windows.net/tsip-files/imports/cb09ba27-c93f-488d-a521-1acfca174929/1779316481981_input.xlsx?sv=2026-02-06&amp;se=2026-05-23T12%3A45%3A01Z&amp;sr=b&amp;sp=r&amp;sig=1zNJbcaw7lYXIoe6wgrHjiKU4DX0GQZqXTWPfypGVys%3D" TargetMode="External"/><Relationship Id="rId108" Type="http://schemas.openxmlformats.org/officeDocument/2006/relationships/hyperlink" Target="https://tsipprd.blob.core.windows.net/tsip-files/imports/cb09ba27-c93f-488d-a521-1acfca174929/1779316482562_output.xlsx?sv=2026-02-06&amp;se=2026-05-23T12%3A30%3A02Z&amp;sr=b&amp;sp=r&amp;sig=dZnCb6gZer5hnXsD5vPWxMDYfRsz8qV4uz%2BIQ4wGT1c%3D" TargetMode="External"/><Relationship Id="rId103" Type="http://schemas.openxmlformats.org/officeDocument/2006/relationships/hyperlink" Target="https://tsipprd.blob.core.windows.net/tsip-files/imports/cb09ba27-c93f-488d-a521-1acfca174929/1779316481981_input.xlsx?sv=2026-02-06&amp;se=2026-05-23T12%3A00%3A01Z&amp;sr=b&amp;sp=r&amp;sig=9s%2FNe8bwSoTAXSRsl7WZ8sEPq%2FZa5eeFuOF9O1zD0OQ%3D" TargetMode="External"/><Relationship Id="rId102" Type="http://schemas.openxmlformats.org/officeDocument/2006/relationships/hyperlink" Target="https://tsipprd.blob.core.windows.net/tsip-files/imports/cb09ba27-c93f-488d-a521-1acfca174929/1779316482562_output.xlsx?sv=2026-02-06&amp;se=2026-05-23T11%3A45%3A01Z&amp;sr=b&amp;sp=r&amp;sig=fJjXZ33jFw8mP7NDBQJDIYBMWsOI%2BI3DhepvWcFYmb8%3D" TargetMode="External"/><Relationship Id="rId101" Type="http://schemas.openxmlformats.org/officeDocument/2006/relationships/hyperlink" Target="https://tsipprd.blob.core.windows.net/tsip-files/imports/cb09ba27-c93f-488d-a521-1acfca174929/1779316481981_input.xlsx?sv=2026-02-06&amp;se=2026-05-23T11%3A45%3A01Z&amp;sr=b&amp;sp=r&amp;sig=Bca1gh44LMtptcepxG2TaRXJVSftfFnn%2BVvAEOys1CI%3D" TargetMode="External"/><Relationship Id="rId100" Type="http://schemas.openxmlformats.org/officeDocument/2006/relationships/hyperlink" Target="https://tsipprd.blob.core.windows.net/tsip-files/imports/cb09ba27-c93f-488d-a521-1acfca174929/1779316482562_output.xlsx?sv=2026-02-06&amp;se=2026-05-23T11%3A30%3A02Z&amp;sr=b&amp;sp=r&amp;sig=Bq7e9UVzDi9qbdkP%2Fl1KYoPAzMqOnNxokrsOxR2j9xA%3D" TargetMode="External"/><Relationship Id="rId217" Type="http://schemas.openxmlformats.org/officeDocument/2006/relationships/hyperlink" Target="https://tsipprd.blob.core.windows.net/tsip-files/imports/cb09ba27-c93f-488d-a521-1acfca174929/1779318018594_input.xlsx?sv=2026-02-06&amp;se=2026-05-23T18%3A39%3A34Z&amp;sr=b&amp;sp=r&amp;sig=P7xjdb5m84SQiukNrg%2F3sGndAVBKZOuVY9c3D%2BVuqjA%3D" TargetMode="External"/><Relationship Id="rId216" Type="http://schemas.openxmlformats.org/officeDocument/2006/relationships/hyperlink" Target="https://tsipprd.blob.core.windows.net/tsip-files/imports/cb09ba27-c93f-488d-a521-1acfca174929/1779318018349_output.xlsx?sv=2026-02-06&amp;se=2026-05-23T18%3A39%3A34Z&amp;sr=b&amp;sp=r&amp;sig=6zk%2BPAuTTmy%2BOuYPUgYdxYV3hHt%2FdZZlPyULgpkvLEo%3D" TargetMode="External"/><Relationship Id="rId215" Type="http://schemas.openxmlformats.org/officeDocument/2006/relationships/hyperlink" Target="https://tsipprd.blob.core.windows.net/tsip-files/imports/cb09ba27-c93f-488d-a521-1acfca174929/1779318018594_input.xlsx?sv=2026-02-06&amp;se=2026-05-23T18%3A39%3A34Z&amp;sr=b&amp;sp=r&amp;sig=P7xjdb5m84SQiukNrg%2F3sGndAVBKZOuVY9c3D%2BVuqjA%3D" TargetMode="External"/><Relationship Id="rId214" Type="http://schemas.openxmlformats.org/officeDocument/2006/relationships/hyperlink" Target="https://tsipprd.blob.core.windows.net/tsip-files/38ae8597-d897-4d73-a93f-158e2478fd3f/4fae534b-c110-4b56-a700-8c4b5f9f06e7/1779364960853_output.xlsx?sv=2026-02-06&amp;se=2026-05-23T18%3A39%3A32Z&amp;sr=b&amp;sp=r&amp;sig=6QEie79tg0Yk0jrIQ1CY%2FciVrCbJsarnsNlgWKGG7uY%3D" TargetMode="External"/><Relationship Id="rId219" Type="http://schemas.openxmlformats.org/officeDocument/2006/relationships/drawing" Target="../drawings/drawing13.xml"/><Relationship Id="rId218" Type="http://schemas.openxmlformats.org/officeDocument/2006/relationships/hyperlink" Target="https://tsipprd.blob.core.windows.net/tsip-files/imports/cb09ba27-c93f-488d-a521-1acfca174929/1779318018349_output.xlsx?sv=2026-02-06&amp;se=2026-05-23T18%3A39%3A34Z&amp;sr=b&amp;sp=r&amp;sig=6zk%2BPAuTTmy%2BOuYPUgYdxYV3hHt%2FdZZlPyULgpkvLEo%3D" TargetMode="External"/><Relationship Id="rId213" Type="http://schemas.openxmlformats.org/officeDocument/2006/relationships/hyperlink" Target="https://tsipprd.blob.core.windows.net/tsip-files/imports/cb09ba27-c93f-488d-a521-1acfca174929/1779318018594_input.xlsx?sv=2026-02-06&amp;se=2026-05-23T18%3A39%3A32Z&amp;sr=b&amp;sp=r&amp;sig=1RJIZa7650JYE1IMkRUceKjqapafoZi4ZGEolxA%2B6Ys%3D" TargetMode="External"/><Relationship Id="rId212" Type="http://schemas.openxmlformats.org/officeDocument/2006/relationships/hyperlink" Target="https://tsipprd.blob.core.windows.net/tsip-files/9f47fdc9-68f1-43f1-9021-5c4a8143dcd6/6d3cd0ec-2c8d-4de3-a2ec-977b59f551da/1779379514807_output__1_.xlsx?sv=2026-02-06&amp;se=2026-05-23T18%3A39%3A32Z&amp;sr=b&amp;sp=r&amp;sig=K4%2BijUgVGZ%2FezKVcRwNA5UVrmNFjdRKU09JPngCM7J8%3D" TargetMode="External"/><Relationship Id="rId211" Type="http://schemas.openxmlformats.org/officeDocument/2006/relationships/hyperlink" Target="https://tsipprd.blob.core.windows.net/tsip-files/imports/cb09ba27-c93f-488d-a521-1acfca174929/1779318018594_input.xlsx?sv=2026-02-06&amp;se=2026-05-23T18%3A39%3A32Z&amp;sr=b&amp;sp=r&amp;sig=1RJIZa7650JYE1IMkRUceKjqapafoZi4ZGEolxA%2B6Ys%3D" TargetMode="External"/><Relationship Id="rId210" Type="http://schemas.openxmlformats.org/officeDocument/2006/relationships/hyperlink" Target="https://tsipprd.blob.core.windows.net/tsip-files/imports/cb09ba27-c93f-488d-a521-1acfca174929/1779318018349_output.xlsx?sv=2026-02-06&amp;se=2026-05-23T18%3A39%3A32Z&amp;sr=b&amp;sp=r&amp;sig=K477iVUCJvY7HYOx50A0A%2FanfaSJw2YMtcbo0BRDo9U%3D" TargetMode="External"/><Relationship Id="rId129"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4%3A45%3A01Z&amp;sr=b&amp;sp=r&amp;sig=QpN3v0wfsxmstrZYqwMSFxMEhijp52VumcVALQiYXKg%3D" TargetMode="External"/><Relationship Id="rId128" Type="http://schemas.openxmlformats.org/officeDocument/2006/relationships/hyperlink" Target="https://tsipprd.blob.core.windows.net/tsip-files/imports/cb09ba27-c93f-488d-a521-1acfca174929/1779316482562_output.xlsx?sv=2026-02-06&amp;se=2026-05-23T14%3A30%3A03Z&amp;sr=b&amp;sp=r&amp;sig=%2Bp%2BHCjhyz4xTLRG2YvxxxJCVYBTw7VNoCTr7Oo4VDoQ%3D" TargetMode="External"/><Relationship Id="rId127" Type="http://schemas.openxmlformats.org/officeDocument/2006/relationships/hyperlink" Target="https://tsipprd.blob.core.windows.net/tsip-files/imports/cb09ba27-c93f-488d-a521-1acfca174929/1779316481981_input.xlsx?sv=2026-02-06&amp;se=2026-05-23T14%3A30%3A03Z&amp;sr=b&amp;sp=r&amp;sig=Y5uXunwPExnEaU6p%2BEy2f91z26Rmb%2B3n3WWOWLEJlaA%3D" TargetMode="External"/><Relationship Id="rId126"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4%3A30%3A03Z&amp;sr=b&amp;sp=r&amp;sig=FlS5CDmnKVILzh1IoANq%2FnGdbw8bsRUkM0sJSESxksM%3D" TargetMode="External"/><Relationship Id="rId121"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4%3A15%3A04Z&amp;sr=b&amp;sp=r&amp;sig=2CeMkyPwOAQIgIA2Gb%2FRNp1wop4DM%2FrHBGHImOn6OtA%3D" TargetMode="External"/><Relationship Id="rId120" Type="http://schemas.openxmlformats.org/officeDocument/2006/relationships/hyperlink" Target="https://tsipprd.blob.core.windows.net/tsip-files/imports/cb09ba27-c93f-488d-a521-1acfca174929/1779316482562_output.xlsx?sv=2026-02-06&amp;se=2026-05-23T14%3A00%3A06Z&amp;sr=b&amp;sp=r&amp;sig=ivXaoNlF%2FvvmvYAe2aWeAJAVpuZitADn9DFyKSIqL50%3D" TargetMode="External"/><Relationship Id="rId125"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4%3A30%3A03Z&amp;sr=b&amp;sp=r&amp;sig=sZSozw9POeOVHwdOt5yFPHACXn1YzkXD%2BxhORkVx4K0%3D" TargetMode="External"/><Relationship Id="rId124" Type="http://schemas.openxmlformats.org/officeDocument/2006/relationships/hyperlink" Target="https://tsipprd.blob.core.windows.net/tsip-files/imports/cb09ba27-c93f-488d-a521-1acfca174929/1779316482562_output.xlsx?sv=2026-02-06&amp;se=2026-05-23T14%3A15%3A04Z&amp;sr=b&amp;sp=r&amp;sig=yoZAvN65Qpjmrte7cN2%2B5GxGGRoxovedk41mYqi5rso%3D" TargetMode="External"/><Relationship Id="rId123" Type="http://schemas.openxmlformats.org/officeDocument/2006/relationships/hyperlink" Target="https://tsipprd.blob.core.windows.net/tsip-files/imports/cb09ba27-c93f-488d-a521-1acfca174929/1779316481981_input.xlsx?sv=2026-02-06&amp;se=2026-05-23T14%3A15%3A04Z&amp;sr=b&amp;sp=r&amp;sig=aAZ6WfxslRn7mgf5IV%2BGwTtlQ8VTqxg9fEnsNdRjgYo%3D" TargetMode="External"/><Relationship Id="rId122"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4%3A15%3A04Z&amp;sr=b&amp;sp=r&amp;sig=WALWbrbFtzTLhRbn4dRjya1e3oaETox02nwaFCcTyK8%3D" TargetMode="External"/><Relationship Id="rId95" Type="http://schemas.openxmlformats.org/officeDocument/2006/relationships/hyperlink" Target="https://tsipprd.blob.core.windows.net/tsip-files/imports/cb09ba27-c93f-488d-a521-1acfca174929/1779316481981_input.xlsx?sv=2026-02-06&amp;se=2026-05-23T11%3A00%3A03Z&amp;sr=b&amp;sp=r&amp;sig=zY12Td5%2Fct8vPgFjlsADWkHy2Ftyo4HsC0FZ2R0L%2F1w%3D" TargetMode="External"/><Relationship Id="rId94" Type="http://schemas.openxmlformats.org/officeDocument/2006/relationships/hyperlink" Target="https://tsipprd.blob.core.windows.net/tsip-files/imports/cb09ba27-c93f-488d-a521-1acfca174929/1779316482562_output.xlsx?sv=2026-02-06&amp;se=2026-05-23T10%3A45%3A01Z&amp;sr=b&amp;sp=r&amp;sig=xWGJBXr%2BM5dvN9xtA6hdXb6mWdidRSTsBM%2FcdiGc3GU%3D" TargetMode="External"/><Relationship Id="rId97" Type="http://schemas.openxmlformats.org/officeDocument/2006/relationships/hyperlink" Target="https://tsipprd.blob.core.windows.net/tsip-files/imports/cb09ba27-c93f-488d-a521-1acfca174929/1779316481981_input.xlsx?sv=2026-02-06&amp;se=2026-05-23T11%3A15%3A01Z&amp;sr=b&amp;sp=r&amp;sig=fM30JNru%2FF2F5z4K7iuLMNgxz6RyiHxjSyhT%2Fd2i07s%3D" TargetMode="External"/><Relationship Id="rId96" Type="http://schemas.openxmlformats.org/officeDocument/2006/relationships/hyperlink" Target="https://tsipprd.blob.core.windows.net/tsip-files/imports/cb09ba27-c93f-488d-a521-1acfca174929/1779316482562_output.xlsx?sv=2026-02-06&amp;se=2026-05-23T11%3A00%3A03Z&amp;sr=b&amp;sp=r&amp;sig=p7qOgsQG2e78W3uoc%2FvnRZyzx6rfspURl7aLsV0OQBw%3D" TargetMode="External"/><Relationship Id="rId99" Type="http://schemas.openxmlformats.org/officeDocument/2006/relationships/hyperlink" Target="https://tsipprd.blob.core.windows.net/tsip-files/imports/cb09ba27-c93f-488d-a521-1acfca174929/1779316481981_input.xlsx?sv=2026-02-06&amp;se=2026-05-23T11%3A30%3A02Z&amp;sr=b&amp;sp=r&amp;sig=nTBY1JAcSobHtuGCcqJMICpavLgLwLlFUkpUm2nxelw%3D" TargetMode="External"/><Relationship Id="rId98" Type="http://schemas.openxmlformats.org/officeDocument/2006/relationships/hyperlink" Target="https://tsipprd.blob.core.windows.net/tsip-files/imports/cb09ba27-c93f-488d-a521-1acfca174929/1779316482562_output.xlsx?sv=2026-02-06&amp;se=2026-05-23T11%3A15%3A01Z&amp;sr=b&amp;sp=r&amp;sig=s4FL%2BAJhA103laHCmXNSLk0s1fKNNjESzVINAChFIqU%3D" TargetMode="External"/><Relationship Id="rId91" Type="http://schemas.openxmlformats.org/officeDocument/2006/relationships/hyperlink" Target="https://tsipprd.blob.core.windows.net/tsip-files/imports/cb09ba27-c93f-488d-a521-1acfca174929/1779316481981_input.xlsx?sv=2026-02-06&amp;se=2026-05-23T10%3A30%3A02Z&amp;sr=b&amp;sp=r&amp;sig=yFqIZfy617PR55jAYmTGoN7FHuhqtE%2BD2GsSxNf6v98%3D" TargetMode="External"/><Relationship Id="rId90" Type="http://schemas.openxmlformats.org/officeDocument/2006/relationships/hyperlink" Target="https://tsipprd.blob.core.windows.net/tsip-files/imports/cb09ba27-c93f-488d-a521-1acfca174929/1779316482562_output.xlsx?sv=2026-02-06&amp;se=2026-05-23T10%3A15%3A01Z&amp;sr=b&amp;sp=r&amp;sig=Ta6jWy09KDsAwMDNGXwuHlHSzFXvVjA25FJQ35XFhds%3D" TargetMode="External"/><Relationship Id="rId93" Type="http://schemas.openxmlformats.org/officeDocument/2006/relationships/hyperlink" Target="https://tsipprd.blob.core.windows.net/tsip-files/imports/cb09ba27-c93f-488d-a521-1acfca174929/1779316481981_input.xlsx?sv=2026-02-06&amp;se=2026-05-23T10%3A45%3A01Z&amp;sr=b&amp;sp=r&amp;sig=Ar96TFreTVdZU0T8dYwggQTWbckK%2FZaWbBqWGYOWo%2Bg%3D" TargetMode="External"/><Relationship Id="rId92" Type="http://schemas.openxmlformats.org/officeDocument/2006/relationships/hyperlink" Target="https://tsipprd.blob.core.windows.net/tsip-files/imports/cb09ba27-c93f-488d-a521-1acfca174929/1779316482562_output.xlsx?sv=2026-02-06&amp;se=2026-05-23T10%3A30%3A02Z&amp;sr=b&amp;sp=r&amp;sig=1AhHs7in8DuT6jawXRa%2BydA%2BXY0KHzMCq9KQIVX1Lcs%3D" TargetMode="External"/><Relationship Id="rId118" Type="http://schemas.openxmlformats.org/officeDocument/2006/relationships/hyperlink" Target="https://tsipprd.blob.core.windows.net/tsip-files/imports/cb09ba27-c93f-488d-a521-1acfca174929/1779316482562_output.xlsx?sv=2026-02-06&amp;se=2026-05-23T13%3A45%3A01Z&amp;sr=b&amp;sp=r&amp;sig=1TptZEVkFmF4Nz8I8GXVI7U8GOxNwyQvhH2%2BgkcHiJk%3D" TargetMode="External"/><Relationship Id="rId117" Type="http://schemas.openxmlformats.org/officeDocument/2006/relationships/hyperlink" Target="https://tsipprd.blob.core.windows.net/tsip-files/imports/cb09ba27-c93f-488d-a521-1acfca174929/1779316481981_input.xlsx?sv=2026-02-06&amp;se=2026-05-23T13%3A45%3A01Z&amp;sr=b&amp;sp=r&amp;sig=KWPE88pawPmjd0ZFaqYDGwMCiR7vqK6qwIatqLlLNaA%3D" TargetMode="External"/><Relationship Id="rId116" Type="http://schemas.openxmlformats.org/officeDocument/2006/relationships/hyperlink" Target="https://tsipprd.blob.core.windows.net/tsip-files/imports/cb09ba27-c93f-488d-a521-1acfca174929/1779316482562_output.xlsx?sv=2026-02-06&amp;se=2026-05-23T13%3A30%3A01Z&amp;sr=b&amp;sp=r&amp;sig=uegpIllXRR1vfRLI%2BT4lwdtWEkRZIj1tMN7RI5ChAVk%3D" TargetMode="External"/><Relationship Id="rId115" Type="http://schemas.openxmlformats.org/officeDocument/2006/relationships/hyperlink" Target="https://tsipprd.blob.core.windows.net/tsip-files/imports/cb09ba27-c93f-488d-a521-1acfca174929/1779316481981_input.xlsx?sv=2026-02-06&amp;se=2026-05-23T13%3A30%3A01Z&amp;sr=b&amp;sp=r&amp;sig=qp%2BXWHOZLjKPFk210waChk1KFCwmcVcl8LPMGco3I10%3D" TargetMode="External"/><Relationship Id="rId119" Type="http://schemas.openxmlformats.org/officeDocument/2006/relationships/hyperlink" Target="https://tsipprd.blob.core.windows.net/tsip-files/imports/cb09ba27-c93f-488d-a521-1acfca174929/1779316481981_input.xlsx?sv=2026-02-06&amp;se=2026-05-23T14%3A00%3A06Z&amp;sr=b&amp;sp=r&amp;sig=sIeGCzEsTWz1oadrL9CP8Zw33DRaqGM3wV7hYpLKYOk%3D" TargetMode="External"/><Relationship Id="rId110" Type="http://schemas.openxmlformats.org/officeDocument/2006/relationships/hyperlink" Target="https://tsipprd.blob.core.windows.net/tsip-files/imports/cb09ba27-c93f-488d-a521-1acfca174929/1779316482562_output.xlsx?sv=2026-02-06&amp;se=2026-05-23T12%3A45%3A01Z&amp;sr=b&amp;sp=r&amp;sig=NmOmNAHRNtMyPrZxaXLMK%2BaN1WaJ%2B69KqUjayOiE79Q%3D" TargetMode="External"/><Relationship Id="rId114" Type="http://schemas.openxmlformats.org/officeDocument/2006/relationships/hyperlink" Target="https://tsipprd.blob.core.windows.net/tsip-files/imports/cb09ba27-c93f-488d-a521-1acfca174929/1779316482562_output.xlsx?sv=2026-02-06&amp;se=2026-05-23T13%3A15%3A01Z&amp;sr=b&amp;sp=r&amp;sig=KLOHFag0WwHZda%2FKy99sNy0844wxQ6TqA5Kg%2BdVeRT8%3D" TargetMode="External"/><Relationship Id="rId113" Type="http://schemas.openxmlformats.org/officeDocument/2006/relationships/hyperlink" Target="https://tsipprd.blob.core.windows.net/tsip-files/imports/cb09ba27-c93f-488d-a521-1acfca174929/1779316481981_input.xlsx?sv=2026-02-06&amp;se=2026-05-23T13%3A15%3A01Z&amp;sr=b&amp;sp=r&amp;sig=HrJlA4kEceq%2BVMbCEGqQ2Aiq62cEktuoAwdDHX1yVWo%3D" TargetMode="External"/><Relationship Id="rId112" Type="http://schemas.openxmlformats.org/officeDocument/2006/relationships/hyperlink" Target="https://tsipprd.blob.core.windows.net/tsip-files/imports/cb09ba27-c93f-488d-a521-1acfca174929/1779316482562_output.xlsx?sv=2026-02-06&amp;se=2026-05-23T13%3A00%3A02Z&amp;sr=b&amp;sp=r&amp;sig=a34yzoC1DSudSm05zY2nu5T7UZDFFgctyBf0dfuJU2k%3D" TargetMode="External"/><Relationship Id="rId111" Type="http://schemas.openxmlformats.org/officeDocument/2006/relationships/hyperlink" Target="https://tsipprd.blob.core.windows.net/tsip-files/imports/cb09ba27-c93f-488d-a521-1acfca174929/1779316481981_input.xlsx?sv=2026-02-06&amp;se=2026-05-23T13%3A00%3A02Z&amp;sr=b&amp;sp=r&amp;sig=vUaQSgR5FyMRr1YfTVQly274aNSONVKqR0FLGCPK%2BCc%3D" TargetMode="External"/><Relationship Id="rId206"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8%3A39%3A31Z&amp;sr=b&amp;sp=r&amp;sig=Sg0ki88ufWkppDDKqWDgFMXS8Qq9ddnIvCV4TqpOeyY%3D" TargetMode="External"/><Relationship Id="rId205"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8%3A39%3A31Z&amp;sr=b&amp;sp=r&amp;sig=P2Mmj%2FnQce00JLha0pn93Gi03B4UkrYUi%2F9U2zyIDhE%3D" TargetMode="External"/><Relationship Id="rId204" Type="http://schemas.openxmlformats.org/officeDocument/2006/relationships/hyperlink" Target="https://tsipprd.blob.core.windows.net/tsip-files/imports/cb09ba27-c93f-488d-a521-1acfca174929/1779316482562_output.xlsx?sv=2026-02-06&amp;se=2026-05-23T18%3A30%3A01Z&amp;sr=b&amp;sp=r&amp;sig=Kciss8rhMqEfof16Y%2BwYb4qsHl5IpBIAhIxnYBxo%2BxE%3D" TargetMode="External"/><Relationship Id="rId203" Type="http://schemas.openxmlformats.org/officeDocument/2006/relationships/hyperlink" Target="https://tsipprd.blob.core.windows.net/tsip-files/imports/cb09ba27-c93f-488d-a521-1acfca174929/1779316481981_input.xlsx?sv=2026-02-06&amp;se=2026-05-23T18%3A30%3A01Z&amp;sr=b&amp;sp=r&amp;sig=h3m1monttTqTFdmSKOylO7H2j8MLPpkwXVGF%2F8022Js%3D" TargetMode="External"/><Relationship Id="rId209" Type="http://schemas.openxmlformats.org/officeDocument/2006/relationships/hyperlink" Target="https://tsipprd.blob.core.windows.net/tsip-files/imports/cb09ba27-c93f-488d-a521-1acfca174929/1779318018594_input.xlsx?sv=2026-02-06&amp;se=2026-05-23T18%3A39%3A32Z&amp;sr=b&amp;sp=r&amp;sig=1RJIZa7650JYE1IMkRUceKjqapafoZi4ZGEolxA%2B6Ys%3D" TargetMode="External"/><Relationship Id="rId208" Type="http://schemas.openxmlformats.org/officeDocument/2006/relationships/hyperlink" Target="https://tsipprd.blob.core.windows.net/tsip-files/imports/cb09ba27-c93f-488d-a521-1acfca174929/1779316482562_output.xlsx?sv=2026-02-06&amp;se=2026-05-23T18%3A39%3A31Z&amp;sr=b&amp;sp=r&amp;sig=rsvUDCG244FvJWZgWKNAjeQkXAVRYvvqYUy7mPDtCS8%3D" TargetMode="External"/><Relationship Id="rId207" Type="http://schemas.openxmlformats.org/officeDocument/2006/relationships/hyperlink" Target="https://tsipprd.blob.core.windows.net/tsip-files/imports/cb09ba27-c93f-488d-a521-1acfca174929/1779316481981_input.xlsx?sv=2026-02-06&amp;se=2026-05-23T18%3A39%3A31Z&amp;sr=b&amp;sp=r&amp;sig=2gQI6v3gVRJ7bBy8OTEtDQqgofgHRcOFjM%2FGg2w5QUs%3D" TargetMode="External"/><Relationship Id="rId202" Type="http://schemas.openxmlformats.org/officeDocument/2006/relationships/hyperlink" Target="https://tsipprd.blob.core.windows.net/tsip-files/3d8c7583-3bd7-40ad-b63e-202ddf2da8dc/605053db-cfdd-4b95-9484-aa07b268091a/1779371966454_meridian_2f6c9c82-25de-4eeb-b1cd-f762a1ab5947_output_workbook__1_.xlsx?sv=2026-02-06&amp;se=2026-05-23T18%3A30%3A02Z&amp;sr=b&amp;sp=r&amp;sig=bjQ8eWofEF8xOxzJdBKAR5sE1xHARhpFCtbARS9ZiVA%3D" TargetMode="External"/><Relationship Id="rId201" Type="http://schemas.openxmlformats.org/officeDocument/2006/relationships/hyperlink" Target="https://tsipprd.blob.core.windows.net/tsip-files/3d8c7583-3bd7-40ad-b63e-202ddf2da8dc/605053db-cfdd-4b95-9484-aa07b268091a/1779371958046_meridian_2f6c9c82-25de-4eeb-b1cd-f762a1ab5947_input_workbook__1_.xlsx?sv=2026-02-06&amp;se=2026-05-23T18%3A30%3A02Z&amp;sr=b&amp;sp=r&amp;sig=rn0wb0DCoXeaB0lVklnj0tUAXO080%2BdqPvKg%2B7YHHv4%3D" TargetMode="External"/><Relationship Id="rId200" Type="http://schemas.openxmlformats.org/officeDocument/2006/relationships/hyperlink" Target="https://tsipprd.blob.core.windows.net/tsip-files/imports/cb09ba27-c93f-488d-a521-1acfca174929/1779316482562_output.xlsx?sv=2026-02-06&amp;se=2026-05-23T18%3A15%3A01Z&amp;sr=b&amp;sp=r&amp;sig=kpUeR4GhXrINPJH5wXGwshoP38LSESDFCUFNEi%2Bq8dE%3D"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88"/>
    <col customWidth="1" min="2" max="2" width="23.63"/>
    <col customWidth="1" min="3" max="3" width="20.13"/>
    <col customWidth="1" min="4" max="4" width="18.75"/>
    <col customWidth="1" min="7" max="7" width="17.38"/>
    <col customWidth="1" min="13" max="13" width="15.13"/>
  </cols>
  <sheetData>
    <row r="1">
      <c r="A1" s="1" t="s">
        <v>0</v>
      </c>
      <c r="B1" s="2" t="s">
        <v>1</v>
      </c>
      <c r="C1" s="3" t="s">
        <v>2</v>
      </c>
      <c r="D1" s="1" t="s">
        <v>3</v>
      </c>
      <c r="E1" s="1" t="s">
        <v>4</v>
      </c>
      <c r="F1" s="1" t="s">
        <v>5</v>
      </c>
      <c r="G1" s="2" t="s">
        <v>6</v>
      </c>
      <c r="H1" s="2" t="s">
        <v>6</v>
      </c>
      <c r="I1" s="2" t="s">
        <v>7</v>
      </c>
      <c r="J1" s="1" t="s">
        <v>8</v>
      </c>
      <c r="K1" s="1" t="s">
        <v>9</v>
      </c>
      <c r="L1" s="3" t="s">
        <v>10</v>
      </c>
      <c r="M1" s="1" t="s">
        <v>11</v>
      </c>
      <c r="N1" s="4" t="s">
        <v>12</v>
      </c>
    </row>
    <row r="2">
      <c r="A2" s="5" t="s">
        <v>13</v>
      </c>
      <c r="B2" s="6" t="str">
        <f t="shared" ref="B2:B20" si="1">concat("https://www.tsip.ai/force/",A2)</f>
        <v>https://www.tsip.ai/force/7a807980-2578-4689-9a0a-784ea3d33e86</v>
      </c>
      <c r="C2" s="7" t="s">
        <v>14</v>
      </c>
      <c r="D2" s="4" t="s">
        <v>15</v>
      </c>
      <c r="E2" s="8">
        <v>70.0</v>
      </c>
      <c r="F2" s="9" t="s">
        <v>16</v>
      </c>
      <c r="G2" s="9" t="s">
        <v>16</v>
      </c>
      <c r="H2" s="9" t="s">
        <v>16</v>
      </c>
      <c r="I2" s="9" t="s">
        <v>16</v>
      </c>
      <c r="J2" s="9" t="s">
        <v>16</v>
      </c>
      <c r="K2" s="10">
        <v>46160.0</v>
      </c>
      <c r="L2" s="5" t="b">
        <v>0</v>
      </c>
      <c r="M2" s="8" t="b">
        <v>1</v>
      </c>
      <c r="N2" s="5"/>
      <c r="O2" s="5"/>
      <c r="T2" s="5"/>
    </row>
    <row r="3">
      <c r="A3" s="5" t="s">
        <v>17</v>
      </c>
      <c r="B3" s="6" t="str">
        <f t="shared" si="1"/>
        <v>https://www.tsip.ai/force/44ac67cb-1bb6-4667-8756-b22d439ca759</v>
      </c>
      <c r="C3" s="7" t="s">
        <v>18</v>
      </c>
      <c r="D3" s="8" t="s">
        <v>19</v>
      </c>
      <c r="E3" s="8">
        <v>50.0</v>
      </c>
      <c r="F3" s="9" t="s">
        <v>16</v>
      </c>
      <c r="G3" s="9" t="s">
        <v>16</v>
      </c>
      <c r="H3" s="9" t="s">
        <v>16</v>
      </c>
      <c r="I3" s="9" t="s">
        <v>16</v>
      </c>
      <c r="J3" s="9" t="s">
        <v>16</v>
      </c>
      <c r="K3" s="10">
        <v>46161.0</v>
      </c>
      <c r="L3" s="5" t="b">
        <v>0</v>
      </c>
      <c r="M3" s="8" t="b">
        <v>1</v>
      </c>
      <c r="N3" s="5"/>
      <c r="O3" s="5"/>
      <c r="T3" s="5"/>
    </row>
    <row r="4">
      <c r="A4" s="5" t="s">
        <v>20</v>
      </c>
      <c r="B4" s="6" t="str">
        <f t="shared" si="1"/>
        <v>https://www.tsip.ai/force/65be1d3a-83f6-4e28-9f85-b3a419a84fd6</v>
      </c>
      <c r="C4" s="7" t="s">
        <v>21</v>
      </c>
      <c r="D4" s="8" t="s">
        <v>22</v>
      </c>
      <c r="E4" s="8">
        <v>35.0</v>
      </c>
      <c r="F4" s="9" t="s">
        <v>16</v>
      </c>
      <c r="G4" s="9" t="s">
        <v>16</v>
      </c>
      <c r="H4" s="9" t="s">
        <v>16</v>
      </c>
      <c r="I4" s="9" t="s">
        <v>16</v>
      </c>
      <c r="J4" s="9" t="s">
        <v>16</v>
      </c>
      <c r="K4" s="10">
        <v>46160.0</v>
      </c>
      <c r="L4" s="5"/>
      <c r="M4" s="8" t="b">
        <v>1</v>
      </c>
      <c r="N4" s="5"/>
      <c r="O4" s="5"/>
      <c r="T4" s="5"/>
    </row>
    <row r="5">
      <c r="A5" s="5" t="s">
        <v>23</v>
      </c>
      <c r="B5" s="6" t="str">
        <f t="shared" si="1"/>
        <v>https://www.tsip.ai/force/2f1fdba6-a805-483f-810e-035773eb691d</v>
      </c>
      <c r="C5" s="11" t="s">
        <v>24</v>
      </c>
      <c r="D5" s="8" t="s">
        <v>25</v>
      </c>
      <c r="E5" s="8">
        <v>65.0</v>
      </c>
      <c r="F5" s="9" t="s">
        <v>16</v>
      </c>
      <c r="G5" s="9" t="s">
        <v>16</v>
      </c>
      <c r="H5" s="9" t="s">
        <v>16</v>
      </c>
      <c r="I5" s="9" t="s">
        <v>16</v>
      </c>
      <c r="J5" s="9" t="s">
        <v>16</v>
      </c>
      <c r="K5" s="10">
        <v>46160.0</v>
      </c>
      <c r="L5" s="5" t="b">
        <v>0</v>
      </c>
      <c r="M5" s="8" t="b">
        <v>1</v>
      </c>
      <c r="N5" s="5"/>
      <c r="O5" s="5"/>
      <c r="T5" s="5"/>
    </row>
    <row r="6">
      <c r="A6" s="5" t="s">
        <v>26</v>
      </c>
      <c r="B6" s="6" t="str">
        <f t="shared" si="1"/>
        <v>https://www.tsip.ai/force/295e3612-cb62-4eaf-b87a-96708f62d7c2</v>
      </c>
      <c r="C6" s="7" t="s">
        <v>14</v>
      </c>
      <c r="D6" s="8" t="s">
        <v>27</v>
      </c>
      <c r="E6" s="8">
        <v>70.0</v>
      </c>
      <c r="F6" s="9" t="s">
        <v>16</v>
      </c>
      <c r="G6" s="9" t="s">
        <v>16</v>
      </c>
      <c r="H6" s="9" t="s">
        <v>16</v>
      </c>
      <c r="I6" s="9" t="s">
        <v>16</v>
      </c>
      <c r="J6" s="9" t="s">
        <v>16</v>
      </c>
      <c r="K6" s="10">
        <v>46160.0</v>
      </c>
      <c r="L6" s="5" t="b">
        <v>0</v>
      </c>
      <c r="M6" s="8" t="b">
        <v>1</v>
      </c>
      <c r="N6" s="5"/>
      <c r="O6" s="5"/>
      <c r="T6" s="5"/>
    </row>
    <row r="7">
      <c r="A7" s="5" t="s">
        <v>28</v>
      </c>
      <c r="B7" s="6" t="str">
        <f t="shared" si="1"/>
        <v>https://www.tsip.ai/force/16e3ef61-3f9c-4ac7-b32f-4823bbc356f7</v>
      </c>
      <c r="C7" s="7" t="s">
        <v>21</v>
      </c>
      <c r="D7" s="8" t="s">
        <v>29</v>
      </c>
      <c r="E7" s="8">
        <v>50.0</v>
      </c>
      <c r="F7" s="9" t="s">
        <v>16</v>
      </c>
      <c r="G7" s="9" t="s">
        <v>16</v>
      </c>
      <c r="H7" s="9" t="s">
        <v>16</v>
      </c>
      <c r="I7" s="9" t="s">
        <v>16</v>
      </c>
      <c r="J7" s="9" t="s">
        <v>16</v>
      </c>
      <c r="K7" s="10">
        <v>46160.0</v>
      </c>
      <c r="L7" s="5" t="b">
        <v>0</v>
      </c>
      <c r="M7" s="8" t="b">
        <v>1</v>
      </c>
      <c r="N7" s="5"/>
      <c r="O7" s="5"/>
      <c r="T7" s="5"/>
    </row>
    <row r="8">
      <c r="A8" s="5" t="s">
        <v>30</v>
      </c>
      <c r="B8" s="6" t="str">
        <f t="shared" si="1"/>
        <v>https://www.tsip.ai/force/aad52b58-4443-48b3-918d-98c1742f1df1</v>
      </c>
      <c r="C8" s="7" t="s">
        <v>21</v>
      </c>
      <c r="D8" s="8" t="s">
        <v>31</v>
      </c>
      <c r="E8" s="8">
        <v>70.0</v>
      </c>
      <c r="F8" s="9" t="s">
        <v>16</v>
      </c>
      <c r="G8" s="9" t="s">
        <v>16</v>
      </c>
      <c r="H8" s="9" t="s">
        <v>16</v>
      </c>
      <c r="I8" s="9" t="s">
        <v>16</v>
      </c>
      <c r="J8" s="9" t="s">
        <v>16</v>
      </c>
      <c r="K8" s="10">
        <v>46160.0</v>
      </c>
      <c r="L8" s="5" t="b">
        <v>0</v>
      </c>
      <c r="M8" s="8" t="b">
        <v>1</v>
      </c>
      <c r="N8" s="5"/>
      <c r="O8" s="5"/>
      <c r="T8" s="5"/>
    </row>
    <row r="9">
      <c r="A9" s="5" t="s">
        <v>32</v>
      </c>
      <c r="B9" s="6" t="str">
        <f t="shared" si="1"/>
        <v>https://www.tsip.ai/force/8a831111-f767-4ed0-95e2-7f69615d0959</v>
      </c>
      <c r="C9" s="7" t="s">
        <v>33</v>
      </c>
      <c r="D9" s="8" t="s">
        <v>34</v>
      </c>
      <c r="E9" s="8">
        <v>100.0</v>
      </c>
      <c r="F9" s="9" t="s">
        <v>16</v>
      </c>
      <c r="G9" s="9" t="s">
        <v>16</v>
      </c>
      <c r="H9" s="9" t="s">
        <v>16</v>
      </c>
      <c r="I9" s="9" t="s">
        <v>16</v>
      </c>
      <c r="J9" s="9" t="s">
        <v>16</v>
      </c>
      <c r="K9" s="10">
        <v>46162.0</v>
      </c>
      <c r="L9" s="5" t="b">
        <v>0</v>
      </c>
      <c r="M9" s="8" t="b">
        <v>1</v>
      </c>
      <c r="N9" s="5"/>
      <c r="O9" s="5"/>
      <c r="T9" s="5"/>
    </row>
    <row r="10">
      <c r="A10" s="5" t="s">
        <v>35</v>
      </c>
      <c r="B10" s="6" t="str">
        <f t="shared" si="1"/>
        <v>https://www.tsip.ai/force/bc059c29-6c77-45f1-8172-fdbe6d1c4d42</v>
      </c>
      <c r="C10" s="7" t="s">
        <v>36</v>
      </c>
      <c r="D10" s="8" t="s">
        <v>37</v>
      </c>
      <c r="E10" s="8">
        <v>240.0</v>
      </c>
      <c r="F10" s="9" t="s">
        <v>16</v>
      </c>
      <c r="G10" s="9" t="s">
        <v>16</v>
      </c>
      <c r="H10" s="9" t="s">
        <v>16</v>
      </c>
      <c r="I10" s="9" t="s">
        <v>16</v>
      </c>
      <c r="J10" s="9" t="s">
        <v>16</v>
      </c>
      <c r="K10" s="10">
        <v>46160.0</v>
      </c>
      <c r="L10" s="5" t="b">
        <v>0</v>
      </c>
      <c r="M10" s="8" t="b">
        <v>1</v>
      </c>
      <c r="N10" s="5"/>
      <c r="O10" s="5"/>
      <c r="T10" s="5"/>
    </row>
    <row r="11">
      <c r="A11" s="5" t="s">
        <v>38</v>
      </c>
      <c r="B11" s="6" t="str">
        <f t="shared" si="1"/>
        <v>https://www.tsip.ai/force/f5f33709-656b-4730-bf27-54d886510a8a</v>
      </c>
      <c r="C11" s="7" t="s">
        <v>39</v>
      </c>
      <c r="D11" s="8" t="s">
        <v>40</v>
      </c>
      <c r="E11" s="8">
        <v>70.0</v>
      </c>
      <c r="F11" s="9" t="s">
        <v>16</v>
      </c>
      <c r="G11" s="9" t="s">
        <v>16</v>
      </c>
      <c r="H11" s="9" t="s">
        <v>16</v>
      </c>
      <c r="I11" s="9" t="s">
        <v>16</v>
      </c>
      <c r="J11" s="9" t="s">
        <v>16</v>
      </c>
      <c r="K11" s="10">
        <v>46160.0</v>
      </c>
      <c r="L11" s="5" t="b">
        <v>0</v>
      </c>
      <c r="M11" s="8" t="b">
        <v>1</v>
      </c>
      <c r="N11" s="5"/>
      <c r="O11" s="5"/>
      <c r="T11" s="5"/>
    </row>
    <row r="12">
      <c r="A12" s="5" t="s">
        <v>41</v>
      </c>
      <c r="B12" s="6" t="str">
        <f t="shared" si="1"/>
        <v>https://www.tsip.ai/force/bf86fd2e-3e2d-4d0f-a173-db297660e072</v>
      </c>
      <c r="C12" s="7" t="s">
        <v>39</v>
      </c>
      <c r="D12" s="8" t="s">
        <v>42</v>
      </c>
      <c r="E12" s="8">
        <v>55.0</v>
      </c>
      <c r="F12" s="9" t="s">
        <v>16</v>
      </c>
      <c r="G12" s="9" t="s">
        <v>16</v>
      </c>
      <c r="H12" s="9" t="s">
        <v>16</v>
      </c>
      <c r="I12" s="9" t="s">
        <v>16</v>
      </c>
      <c r="J12" s="9" t="s">
        <v>16</v>
      </c>
      <c r="K12" s="10">
        <v>46160.0</v>
      </c>
      <c r="L12" s="5" t="b">
        <v>0</v>
      </c>
      <c r="M12" s="8" t="b">
        <v>1</v>
      </c>
      <c r="N12" s="5"/>
      <c r="O12" s="5"/>
      <c r="T12" s="5"/>
    </row>
    <row r="13">
      <c r="A13" s="5" t="s">
        <v>43</v>
      </c>
      <c r="B13" s="6" t="str">
        <f t="shared" si="1"/>
        <v>https://www.tsip.ai/force/5452a654-d533-46eb-b47f-1357a47eeca6</v>
      </c>
      <c r="C13" s="12" t="s">
        <v>24</v>
      </c>
      <c r="D13" s="8" t="s">
        <v>44</v>
      </c>
      <c r="E13" s="8">
        <v>60.0</v>
      </c>
      <c r="F13" s="9" t="s">
        <v>16</v>
      </c>
      <c r="G13" s="9" t="s">
        <v>16</v>
      </c>
      <c r="H13" s="9" t="s">
        <v>16</v>
      </c>
      <c r="I13" s="9" t="s">
        <v>16</v>
      </c>
      <c r="J13" s="9" t="s">
        <v>16</v>
      </c>
      <c r="K13" s="10">
        <v>46161.0</v>
      </c>
      <c r="L13" s="8" t="b">
        <v>0</v>
      </c>
      <c r="M13" s="8" t="b">
        <v>1</v>
      </c>
      <c r="N13" s="5"/>
      <c r="O13" s="5"/>
      <c r="T13" s="5"/>
    </row>
    <row r="14">
      <c r="A14" s="5" t="s">
        <v>45</v>
      </c>
      <c r="B14" s="6" t="str">
        <f t="shared" si="1"/>
        <v>https://www.tsip.ai/force/91f0eaf1-2d4b-41ab-a262-8453686cea5a</v>
      </c>
      <c r="C14" s="13" t="s">
        <v>46</v>
      </c>
      <c r="D14" s="8" t="s">
        <v>47</v>
      </c>
      <c r="E14" s="8">
        <v>65.0</v>
      </c>
      <c r="F14" s="9" t="s">
        <v>16</v>
      </c>
      <c r="G14" s="9" t="s">
        <v>16</v>
      </c>
      <c r="H14" s="9" t="s">
        <v>16</v>
      </c>
      <c r="I14" s="9" t="s">
        <v>16</v>
      </c>
      <c r="J14" s="9" t="s">
        <v>16</v>
      </c>
      <c r="K14" s="10">
        <v>46163.0</v>
      </c>
      <c r="L14" s="5" t="b">
        <v>0</v>
      </c>
      <c r="M14" s="8" t="b">
        <v>1</v>
      </c>
      <c r="N14" s="5"/>
      <c r="O14" s="5"/>
      <c r="T14" s="5"/>
    </row>
    <row r="15">
      <c r="A15" s="5" t="s">
        <v>48</v>
      </c>
      <c r="B15" s="6" t="str">
        <f t="shared" si="1"/>
        <v>https://www.tsip.ai/force/cf573523-a0a1-40fb-ad40-b6b41b27ae3d</v>
      </c>
      <c r="C15" s="13" t="s">
        <v>46</v>
      </c>
      <c r="D15" s="8" t="s">
        <v>49</v>
      </c>
      <c r="E15" s="8">
        <v>63.0</v>
      </c>
      <c r="F15" s="9" t="s">
        <v>16</v>
      </c>
      <c r="G15" s="9" t="s">
        <v>16</v>
      </c>
      <c r="H15" s="9" t="s">
        <v>16</v>
      </c>
      <c r="I15" s="9" t="s">
        <v>16</v>
      </c>
      <c r="J15" s="9" t="s">
        <v>16</v>
      </c>
      <c r="K15" s="10">
        <v>46163.0</v>
      </c>
      <c r="L15" s="5" t="b">
        <v>0</v>
      </c>
      <c r="M15" s="8" t="b">
        <v>1</v>
      </c>
      <c r="N15" s="5"/>
      <c r="O15" s="5"/>
      <c r="T15" s="5"/>
    </row>
    <row r="16">
      <c r="A16" s="5" t="s">
        <v>50</v>
      </c>
      <c r="B16" s="6" t="str">
        <f t="shared" si="1"/>
        <v>https://www.tsip.ai/force/e66fa748-66f4-4f25-b521-834f0ba81ff4</v>
      </c>
      <c r="C16" s="7" t="s">
        <v>21</v>
      </c>
      <c r="D16" s="8" t="s">
        <v>51</v>
      </c>
      <c r="E16" s="8">
        <v>70.0</v>
      </c>
      <c r="F16" s="9" t="s">
        <v>16</v>
      </c>
      <c r="G16" s="9" t="s">
        <v>16</v>
      </c>
      <c r="H16" s="9" t="s">
        <v>16</v>
      </c>
      <c r="I16" s="9" t="s">
        <v>16</v>
      </c>
      <c r="J16" s="9" t="s">
        <v>16</v>
      </c>
      <c r="K16" s="10">
        <v>46160.0</v>
      </c>
      <c r="L16" s="5" t="b">
        <v>0</v>
      </c>
      <c r="M16" s="8" t="b">
        <v>1</v>
      </c>
      <c r="N16" s="5"/>
      <c r="O16" s="5"/>
      <c r="T16" s="5"/>
    </row>
    <row r="17">
      <c r="A17" s="5" t="s">
        <v>52</v>
      </c>
      <c r="B17" s="6" t="str">
        <f t="shared" si="1"/>
        <v>https://www.tsip.ai/force/85e101d0-e251-4991-91bb-5b2985d5cd65</v>
      </c>
      <c r="C17" s="13" t="s">
        <v>46</v>
      </c>
      <c r="D17" s="8" t="s">
        <v>53</v>
      </c>
      <c r="E17" s="8">
        <v>55.0</v>
      </c>
      <c r="F17" s="9" t="s">
        <v>16</v>
      </c>
      <c r="G17" s="9" t="s">
        <v>16</v>
      </c>
      <c r="H17" s="9" t="s">
        <v>16</v>
      </c>
      <c r="I17" s="9" t="s">
        <v>16</v>
      </c>
      <c r="J17" s="9" t="s">
        <v>16</v>
      </c>
      <c r="K17" s="10">
        <v>46163.0</v>
      </c>
      <c r="L17" s="5" t="b">
        <v>0</v>
      </c>
      <c r="M17" s="8" t="b">
        <v>1</v>
      </c>
      <c r="N17" s="5"/>
      <c r="O17" s="5"/>
      <c r="T17" s="5"/>
    </row>
    <row r="18">
      <c r="A18" s="5" t="s">
        <v>54</v>
      </c>
      <c r="B18" s="6" t="str">
        <f t="shared" si="1"/>
        <v>https://www.tsip.ai/force/90bbed8a-b185-4f3d-96d0-b1527582ae9b</v>
      </c>
      <c r="C18" s="7" t="s">
        <v>21</v>
      </c>
      <c r="D18" s="8" t="s">
        <v>55</v>
      </c>
      <c r="E18" s="8">
        <v>50.0</v>
      </c>
      <c r="F18" s="9" t="s">
        <v>16</v>
      </c>
      <c r="G18" s="9" t="s">
        <v>16</v>
      </c>
      <c r="H18" s="9" t="s">
        <v>16</v>
      </c>
      <c r="I18" s="9" t="s">
        <v>16</v>
      </c>
      <c r="J18" s="9" t="s">
        <v>16</v>
      </c>
      <c r="K18" s="10">
        <v>46160.0</v>
      </c>
      <c r="L18" s="5" t="b">
        <v>0</v>
      </c>
      <c r="M18" s="8" t="b">
        <v>1</v>
      </c>
      <c r="N18" s="5"/>
      <c r="O18" s="5"/>
      <c r="T18" s="5"/>
    </row>
    <row r="19">
      <c r="A19" s="5" t="s">
        <v>56</v>
      </c>
      <c r="B19" s="6" t="str">
        <f t="shared" si="1"/>
        <v>https://www.tsip.ai/force/0d9d675e-f3aa-4291-9183-9828fc1cca68</v>
      </c>
      <c r="C19" s="7" t="s">
        <v>21</v>
      </c>
      <c r="D19" s="4" t="s">
        <v>57</v>
      </c>
      <c r="F19" s="9" t="s">
        <v>16</v>
      </c>
      <c r="G19" s="9" t="s">
        <v>16</v>
      </c>
      <c r="H19" s="9" t="s">
        <v>16</v>
      </c>
      <c r="I19" s="9" t="s">
        <v>16</v>
      </c>
      <c r="J19" s="9" t="s">
        <v>16</v>
      </c>
      <c r="L19" s="5" t="b">
        <v>0</v>
      </c>
      <c r="M19" s="8" t="b">
        <v>0</v>
      </c>
      <c r="N19" s="5"/>
      <c r="O19" s="5"/>
      <c r="T19" s="5"/>
    </row>
    <row r="20">
      <c r="A20" s="5" t="s">
        <v>58</v>
      </c>
      <c r="B20" s="6" t="str">
        <f t="shared" si="1"/>
        <v>https://www.tsip.ai/force/74071b8e-e1a7-4815-9604-056c66f53fcd</v>
      </c>
      <c r="C20" s="7" t="s">
        <v>21</v>
      </c>
      <c r="D20" s="8" t="s">
        <v>59</v>
      </c>
      <c r="E20" s="8">
        <v>45.0</v>
      </c>
      <c r="F20" s="9" t="s">
        <v>16</v>
      </c>
      <c r="G20" s="9" t="s">
        <v>16</v>
      </c>
      <c r="H20" s="9" t="s">
        <v>16</v>
      </c>
      <c r="I20" s="9" t="s">
        <v>16</v>
      </c>
      <c r="J20" s="9" t="s">
        <v>16</v>
      </c>
      <c r="K20" s="10">
        <v>46160.0</v>
      </c>
      <c r="L20" s="5" t="b">
        <v>0</v>
      </c>
      <c r="M20" s="8" t="b">
        <v>1</v>
      </c>
      <c r="N20" s="5"/>
      <c r="O20" s="5"/>
      <c r="T20" s="5"/>
    </row>
    <row r="21">
      <c r="A21" s="5" t="s">
        <v>60</v>
      </c>
      <c r="B21" s="14" t="s">
        <v>61</v>
      </c>
      <c r="C21" s="7" t="s">
        <v>62</v>
      </c>
      <c r="D21" s="8" t="s">
        <v>63</v>
      </c>
      <c r="E21" s="5"/>
      <c r="F21" s="9" t="s">
        <v>16</v>
      </c>
      <c r="G21" s="9" t="s">
        <v>16</v>
      </c>
      <c r="H21" s="9" t="s">
        <v>16</v>
      </c>
      <c r="I21" s="9" t="s">
        <v>16</v>
      </c>
      <c r="J21" s="9" t="s">
        <v>16</v>
      </c>
      <c r="K21" s="5"/>
      <c r="L21" s="5" t="b">
        <v>0</v>
      </c>
      <c r="M21" s="5" t="b">
        <v>0</v>
      </c>
      <c r="N21" s="5"/>
      <c r="O21" s="5"/>
      <c r="T21" s="5"/>
    </row>
    <row r="22">
      <c r="A22" s="5" t="s">
        <v>64</v>
      </c>
      <c r="B22" s="6" t="str">
        <f t="shared" ref="B22:B147" si="2">concat("https://www.tsip.ai/force/",A22)</f>
        <v>https://www.tsip.ai/force/7e959336-04ed-49e4-bfef-665c0782448c</v>
      </c>
      <c r="C22" s="7" t="s">
        <v>21</v>
      </c>
      <c r="D22" s="8" t="s">
        <v>65</v>
      </c>
      <c r="E22" s="8">
        <v>60.0</v>
      </c>
      <c r="F22" s="9" t="s">
        <v>16</v>
      </c>
      <c r="G22" s="9" t="s">
        <v>16</v>
      </c>
      <c r="H22" s="9" t="s">
        <v>16</v>
      </c>
      <c r="I22" s="9" t="s">
        <v>16</v>
      </c>
      <c r="J22" s="9" t="s">
        <v>16</v>
      </c>
      <c r="K22" s="10">
        <v>46160.0</v>
      </c>
      <c r="L22" s="5" t="b">
        <v>0</v>
      </c>
      <c r="M22" s="8" t="b">
        <v>1</v>
      </c>
      <c r="N22" s="5"/>
      <c r="O22" s="5"/>
      <c r="T22" s="5"/>
    </row>
    <row r="23">
      <c r="A23" s="5" t="s">
        <v>66</v>
      </c>
      <c r="B23" s="6" t="str">
        <f t="shared" si="2"/>
        <v>https://www.tsip.ai/force/a2cea33d-12d0-44ca-a889-a81ace87c570</v>
      </c>
      <c r="C23" s="7" t="s">
        <v>46</v>
      </c>
      <c r="D23" s="8" t="s">
        <v>53</v>
      </c>
      <c r="E23" s="8">
        <v>53.0</v>
      </c>
      <c r="F23" s="9" t="s">
        <v>16</v>
      </c>
      <c r="G23" s="9" t="s">
        <v>16</v>
      </c>
      <c r="H23" s="9" t="s">
        <v>16</v>
      </c>
      <c r="I23" s="9" t="s">
        <v>16</v>
      </c>
      <c r="J23" s="9" t="s">
        <v>16</v>
      </c>
      <c r="K23" s="10">
        <v>46163.0</v>
      </c>
      <c r="L23" s="5" t="b">
        <v>0</v>
      </c>
      <c r="M23" s="8" t="b">
        <v>1</v>
      </c>
      <c r="N23" s="5"/>
      <c r="O23" s="5"/>
      <c r="T23" s="5"/>
    </row>
    <row r="24" ht="12.75" customHeight="1">
      <c r="A24" s="5" t="s">
        <v>67</v>
      </c>
      <c r="B24" s="6" t="str">
        <f t="shared" si="2"/>
        <v>https://www.tsip.ai/force/e12b11cd-c4b1-416a-89cc-76419d8c598a</v>
      </c>
      <c r="C24" s="7" t="s">
        <v>68</v>
      </c>
      <c r="D24" s="8" t="s">
        <v>69</v>
      </c>
      <c r="E24" s="8">
        <v>60.0</v>
      </c>
      <c r="F24" s="9" t="s">
        <v>16</v>
      </c>
      <c r="G24" s="9" t="s">
        <v>16</v>
      </c>
      <c r="H24" s="9" t="s">
        <v>16</v>
      </c>
      <c r="I24" s="9" t="s">
        <v>16</v>
      </c>
      <c r="J24" s="9" t="s">
        <v>16</v>
      </c>
      <c r="K24" s="10">
        <v>46162.0</v>
      </c>
      <c r="L24" s="8" t="b">
        <v>0</v>
      </c>
      <c r="M24" s="8" t="b">
        <v>1</v>
      </c>
      <c r="N24" s="5"/>
      <c r="O24" s="5"/>
      <c r="T24" s="5"/>
    </row>
    <row r="25" ht="15.0" customHeight="1">
      <c r="A25" s="5" t="s">
        <v>70</v>
      </c>
      <c r="B25" s="6" t="str">
        <f t="shared" si="2"/>
        <v>https://www.tsip.ai/force/62e771dc-72a6-41f0-9a53-41f396bef554</v>
      </c>
      <c r="C25" s="7" t="s">
        <v>68</v>
      </c>
      <c r="D25" s="8" t="s">
        <v>71</v>
      </c>
      <c r="E25" s="8">
        <v>55.0</v>
      </c>
      <c r="F25" s="9" t="s">
        <v>16</v>
      </c>
      <c r="G25" s="9" t="s">
        <v>16</v>
      </c>
      <c r="H25" s="9" t="s">
        <v>16</v>
      </c>
      <c r="I25" s="9" t="s">
        <v>16</v>
      </c>
      <c r="J25" s="9" t="s">
        <v>16</v>
      </c>
      <c r="K25" s="10">
        <v>46161.0</v>
      </c>
      <c r="L25" s="5" t="b">
        <v>0</v>
      </c>
      <c r="M25" s="8" t="b">
        <v>1</v>
      </c>
      <c r="N25" s="5"/>
      <c r="O25" s="5"/>
      <c r="T25" s="5"/>
    </row>
    <row r="26" ht="13.5" customHeight="1">
      <c r="A26" s="5" t="s">
        <v>72</v>
      </c>
      <c r="B26" s="6" t="str">
        <f t="shared" si="2"/>
        <v>https://www.tsip.ai/force/76d1c9fa-dcc0-4ae6-8d8a-54b7a3af800a</v>
      </c>
      <c r="C26" s="7" t="s">
        <v>68</v>
      </c>
      <c r="D26" s="8" t="s">
        <v>73</v>
      </c>
      <c r="E26" s="8">
        <v>65.0</v>
      </c>
      <c r="F26" s="9" t="s">
        <v>16</v>
      </c>
      <c r="G26" s="9" t="s">
        <v>16</v>
      </c>
      <c r="H26" s="9" t="s">
        <v>16</v>
      </c>
      <c r="I26" s="9" t="s">
        <v>16</v>
      </c>
      <c r="J26" s="9" t="s">
        <v>16</v>
      </c>
      <c r="K26" s="10">
        <v>46161.0</v>
      </c>
      <c r="L26" s="5" t="b">
        <v>0</v>
      </c>
      <c r="M26" s="8" t="b">
        <v>1</v>
      </c>
      <c r="N26" s="5"/>
      <c r="O26" s="5"/>
      <c r="T26" s="5"/>
    </row>
    <row r="27" ht="15.75" customHeight="1">
      <c r="A27" s="5" t="s">
        <v>74</v>
      </c>
      <c r="B27" s="6" t="str">
        <f t="shared" si="2"/>
        <v>https://www.tsip.ai/force/de0b9b68-3655-4ad8-b299-716ccea058fa</v>
      </c>
      <c r="C27" s="7" t="s">
        <v>68</v>
      </c>
      <c r="D27" s="8" t="s">
        <v>75</v>
      </c>
      <c r="E27" s="8">
        <v>55.0</v>
      </c>
      <c r="F27" s="9" t="s">
        <v>16</v>
      </c>
      <c r="G27" s="9" t="s">
        <v>16</v>
      </c>
      <c r="H27" s="9" t="s">
        <v>16</v>
      </c>
      <c r="I27" s="9" t="s">
        <v>16</v>
      </c>
      <c r="J27" s="9" t="s">
        <v>16</v>
      </c>
      <c r="K27" s="10">
        <v>46162.0</v>
      </c>
      <c r="L27" s="5" t="b">
        <v>0</v>
      </c>
      <c r="M27" s="8" t="b">
        <v>1</v>
      </c>
      <c r="N27" s="5"/>
      <c r="O27" s="5"/>
      <c r="T27" s="5"/>
    </row>
    <row r="28" ht="12.75" customHeight="1">
      <c r="A28" s="5" t="s">
        <v>76</v>
      </c>
      <c r="B28" s="6" t="str">
        <f t="shared" si="2"/>
        <v>https://www.tsip.ai/force/9b77ed14-955e-476d-b455-9b9b4d7e0441</v>
      </c>
      <c r="C28" s="7" t="s">
        <v>68</v>
      </c>
      <c r="D28" s="8" t="s">
        <v>77</v>
      </c>
      <c r="E28" s="8">
        <v>50.0</v>
      </c>
      <c r="F28" s="9" t="s">
        <v>16</v>
      </c>
      <c r="G28" s="9" t="s">
        <v>16</v>
      </c>
      <c r="H28" s="9" t="s">
        <v>16</v>
      </c>
      <c r="I28" s="9" t="s">
        <v>16</v>
      </c>
      <c r="J28" s="9" t="s">
        <v>16</v>
      </c>
      <c r="K28" s="10">
        <v>46162.0</v>
      </c>
      <c r="L28" s="5" t="b">
        <v>0</v>
      </c>
      <c r="M28" s="8" t="b">
        <v>1</v>
      </c>
      <c r="N28" s="5"/>
      <c r="O28" s="5"/>
      <c r="T28" s="5"/>
    </row>
    <row r="29" ht="15.0" customHeight="1">
      <c r="A29" s="5" t="s">
        <v>78</v>
      </c>
      <c r="B29" s="6" t="str">
        <f t="shared" si="2"/>
        <v>https://www.tsip.ai/force/98424092-bac5-4483-9f0f-dcfa1df92519</v>
      </c>
      <c r="C29" s="7" t="s">
        <v>68</v>
      </c>
      <c r="D29" s="8" t="s">
        <v>79</v>
      </c>
      <c r="E29" s="8">
        <v>90.0</v>
      </c>
      <c r="F29" s="9" t="s">
        <v>16</v>
      </c>
      <c r="G29" s="9" t="s">
        <v>16</v>
      </c>
      <c r="H29" s="9" t="s">
        <v>16</v>
      </c>
      <c r="I29" s="9" t="s">
        <v>16</v>
      </c>
      <c r="J29" s="9" t="s">
        <v>16</v>
      </c>
      <c r="K29" s="10">
        <v>46161.0</v>
      </c>
      <c r="L29" s="5" t="b">
        <v>0</v>
      </c>
      <c r="M29" s="8" t="b">
        <v>1</v>
      </c>
      <c r="N29" s="5"/>
      <c r="O29" s="5"/>
      <c r="T29" s="5"/>
    </row>
    <row r="30" ht="15.75" customHeight="1">
      <c r="A30" s="5" t="s">
        <v>80</v>
      </c>
      <c r="B30" s="6" t="str">
        <f t="shared" si="2"/>
        <v>https://www.tsip.ai/force/36e31d9a-2788-4c0b-816a-22f66623d6fd</v>
      </c>
      <c r="C30" s="7" t="s">
        <v>68</v>
      </c>
      <c r="D30" s="8" t="s">
        <v>81</v>
      </c>
      <c r="E30" s="8">
        <v>50.0</v>
      </c>
      <c r="F30" s="9" t="s">
        <v>16</v>
      </c>
      <c r="G30" s="9" t="s">
        <v>16</v>
      </c>
      <c r="H30" s="9" t="s">
        <v>16</v>
      </c>
      <c r="I30" s="9" t="s">
        <v>16</v>
      </c>
      <c r="J30" s="9" t="s">
        <v>16</v>
      </c>
      <c r="K30" s="10">
        <v>46162.0</v>
      </c>
      <c r="L30" s="5" t="b">
        <v>0</v>
      </c>
      <c r="M30" s="8" t="b">
        <v>1</v>
      </c>
      <c r="N30" s="5"/>
      <c r="O30" s="5"/>
      <c r="T30" s="5"/>
    </row>
    <row r="31" ht="15.0" customHeight="1">
      <c r="A31" s="5" t="s">
        <v>82</v>
      </c>
      <c r="B31" s="6" t="str">
        <f t="shared" si="2"/>
        <v>https://www.tsip.ai/force/0a88b778-e4f3-418f-a39c-31aa94b7afa0</v>
      </c>
      <c r="C31" s="7" t="s">
        <v>83</v>
      </c>
      <c r="D31" s="8" t="s">
        <v>84</v>
      </c>
      <c r="E31" s="8">
        <v>45.0</v>
      </c>
      <c r="F31" s="9">
        <v>3.0</v>
      </c>
      <c r="G31" s="9" t="s">
        <v>85</v>
      </c>
      <c r="H31" s="9" t="s">
        <v>16</v>
      </c>
      <c r="I31" s="9" t="s">
        <v>16</v>
      </c>
      <c r="J31" s="9" t="s">
        <v>16</v>
      </c>
      <c r="K31" s="10">
        <v>46163.0</v>
      </c>
      <c r="L31" s="5" t="b">
        <v>0</v>
      </c>
      <c r="M31" s="8" t="b">
        <v>1</v>
      </c>
      <c r="N31" s="5"/>
      <c r="O31" s="5"/>
      <c r="T31" s="5"/>
    </row>
    <row r="32">
      <c r="A32" s="5" t="s">
        <v>86</v>
      </c>
      <c r="B32" s="6" t="str">
        <f t="shared" si="2"/>
        <v>https://www.tsip.ai/force/d83d3eb8-99ca-4de7-9f98-991a81ce1147</v>
      </c>
      <c r="C32" s="7" t="s">
        <v>68</v>
      </c>
      <c r="D32" s="8" t="s">
        <v>87</v>
      </c>
      <c r="E32" s="5"/>
      <c r="F32" s="9" t="s">
        <v>16</v>
      </c>
      <c r="G32" s="9" t="s">
        <v>16</v>
      </c>
      <c r="H32" s="9" t="s">
        <v>16</v>
      </c>
      <c r="I32" s="9" t="s">
        <v>16</v>
      </c>
      <c r="J32" s="9" t="s">
        <v>16</v>
      </c>
      <c r="K32" s="5"/>
      <c r="L32" s="5" t="b">
        <v>0</v>
      </c>
      <c r="M32" s="5" t="b">
        <v>0</v>
      </c>
      <c r="N32" s="5"/>
      <c r="O32" s="5"/>
      <c r="T32" s="5"/>
    </row>
    <row r="33">
      <c r="A33" s="5" t="s">
        <v>61</v>
      </c>
      <c r="B33" s="6" t="str">
        <f t="shared" si="2"/>
        <v>https://www.tsip.ai/force/2d607b4b-a8a1-41eb-a290-966ef66a1a8e</v>
      </c>
      <c r="C33" s="7" t="s">
        <v>39</v>
      </c>
      <c r="D33" s="8" t="s">
        <v>88</v>
      </c>
      <c r="E33" s="8">
        <v>65.0</v>
      </c>
      <c r="F33" s="9" t="s">
        <v>16</v>
      </c>
      <c r="G33" s="9" t="s">
        <v>16</v>
      </c>
      <c r="H33" s="9" t="s">
        <v>16</v>
      </c>
      <c r="I33" s="9" t="s">
        <v>16</v>
      </c>
      <c r="J33" s="9" t="s">
        <v>16</v>
      </c>
      <c r="K33" s="10">
        <v>46161.0</v>
      </c>
      <c r="L33" s="5" t="b">
        <v>0</v>
      </c>
      <c r="M33" s="8" t="b">
        <v>1</v>
      </c>
      <c r="N33" s="5"/>
      <c r="O33" s="5"/>
      <c r="T33" s="5"/>
    </row>
    <row r="34">
      <c r="A34" s="5" t="s">
        <v>89</v>
      </c>
      <c r="B34" s="6" t="str">
        <f t="shared" si="2"/>
        <v>https://www.tsip.ai/force/45417e1e-19aa-4c6b-83e6-cd694026420d</v>
      </c>
      <c r="C34" s="7" t="s">
        <v>90</v>
      </c>
      <c r="D34" s="8" t="s">
        <v>91</v>
      </c>
      <c r="E34" s="8">
        <v>90.0</v>
      </c>
      <c r="F34" s="9" t="s">
        <v>16</v>
      </c>
      <c r="G34" s="9" t="s">
        <v>16</v>
      </c>
      <c r="H34" s="9" t="s">
        <v>16</v>
      </c>
      <c r="I34" s="9" t="s">
        <v>16</v>
      </c>
      <c r="J34" s="9" t="s">
        <v>16</v>
      </c>
      <c r="K34" s="10">
        <v>46162.0</v>
      </c>
      <c r="L34" s="5" t="b">
        <v>0</v>
      </c>
      <c r="M34" s="8" t="b">
        <v>1</v>
      </c>
      <c r="N34" s="5"/>
      <c r="O34" s="5"/>
      <c r="T34" s="5"/>
    </row>
    <row r="35">
      <c r="A35" s="5" t="s">
        <v>92</v>
      </c>
      <c r="B35" s="6" t="str">
        <f t="shared" si="2"/>
        <v>https://www.tsip.ai/force/108dc013-5e4c-4773-8379-c873684fe7ca</v>
      </c>
      <c r="C35" s="7" t="s">
        <v>62</v>
      </c>
      <c r="D35" s="8" t="s">
        <v>93</v>
      </c>
      <c r="E35" s="8">
        <v>90.0</v>
      </c>
      <c r="F35" s="9" t="s">
        <v>16</v>
      </c>
      <c r="G35" s="9" t="s">
        <v>16</v>
      </c>
      <c r="H35" s="9" t="s">
        <v>16</v>
      </c>
      <c r="I35" s="9" t="s">
        <v>16</v>
      </c>
      <c r="J35" s="9" t="s">
        <v>16</v>
      </c>
      <c r="K35" s="10">
        <v>46161.0</v>
      </c>
      <c r="L35" s="5" t="b">
        <v>0</v>
      </c>
      <c r="M35" s="8" t="b">
        <v>1</v>
      </c>
      <c r="N35" s="5"/>
      <c r="O35" s="5"/>
      <c r="T35" s="5"/>
    </row>
    <row r="36">
      <c r="A36" s="5" t="s">
        <v>94</v>
      </c>
      <c r="B36" s="6" t="str">
        <f t="shared" si="2"/>
        <v>https://www.tsip.ai/force/bb995691-d4c3-4929-82e0-514c944b369a</v>
      </c>
      <c r="C36" s="7" t="s">
        <v>95</v>
      </c>
      <c r="D36" s="15" t="s">
        <v>96</v>
      </c>
      <c r="E36" s="8">
        <v>50.0</v>
      </c>
      <c r="F36" s="9" t="s">
        <v>16</v>
      </c>
      <c r="G36" s="9" t="s">
        <v>16</v>
      </c>
      <c r="H36" s="9" t="s">
        <v>16</v>
      </c>
      <c r="I36" s="9" t="s">
        <v>16</v>
      </c>
      <c r="J36" s="9" t="s">
        <v>16</v>
      </c>
      <c r="K36" s="10">
        <v>46163.0</v>
      </c>
      <c r="L36" s="5" t="b">
        <v>0</v>
      </c>
      <c r="M36" s="8" t="b">
        <v>1</v>
      </c>
      <c r="N36" s="5"/>
      <c r="O36" s="5"/>
      <c r="T36" s="5"/>
    </row>
    <row r="37">
      <c r="A37" s="5" t="s">
        <v>97</v>
      </c>
      <c r="B37" s="6" t="str">
        <f t="shared" si="2"/>
        <v>https://www.tsip.ai/force/ea0c47ab-e763-421c-b9cd-9d61c1e1c880</v>
      </c>
      <c r="C37" s="7" t="s">
        <v>39</v>
      </c>
      <c r="D37" s="15" t="s">
        <v>98</v>
      </c>
      <c r="E37" s="8">
        <v>90.0</v>
      </c>
      <c r="F37" s="9" t="s">
        <v>16</v>
      </c>
      <c r="G37" s="9" t="s">
        <v>16</v>
      </c>
      <c r="H37" s="9" t="s">
        <v>16</v>
      </c>
      <c r="I37" s="9" t="s">
        <v>16</v>
      </c>
      <c r="J37" s="9" t="s">
        <v>16</v>
      </c>
      <c r="K37" s="10">
        <v>46161.0</v>
      </c>
      <c r="L37" s="5" t="b">
        <v>0</v>
      </c>
      <c r="M37" s="8" t="b">
        <v>1</v>
      </c>
      <c r="N37" s="5"/>
      <c r="O37" s="5"/>
      <c r="T37" s="5"/>
    </row>
    <row r="38" ht="13.5" customHeight="1">
      <c r="A38" s="5" t="s">
        <v>99</v>
      </c>
      <c r="B38" s="6" t="str">
        <f t="shared" si="2"/>
        <v>https://www.tsip.ai/force/c3e5538c-d952-4ac9-9a99-7069e6438856</v>
      </c>
      <c r="C38" s="7" t="s">
        <v>68</v>
      </c>
      <c r="D38" s="15" t="s">
        <v>100</v>
      </c>
      <c r="E38" s="8">
        <v>80.0</v>
      </c>
      <c r="F38" s="9" t="s">
        <v>16</v>
      </c>
      <c r="G38" s="9" t="s">
        <v>16</v>
      </c>
      <c r="H38" s="9" t="s">
        <v>16</v>
      </c>
      <c r="I38" s="9" t="s">
        <v>16</v>
      </c>
      <c r="J38" s="9" t="s">
        <v>16</v>
      </c>
      <c r="K38" s="10">
        <v>46161.0</v>
      </c>
      <c r="L38" s="8" t="b">
        <v>0</v>
      </c>
      <c r="M38" s="8" t="b">
        <v>1</v>
      </c>
      <c r="N38" s="5"/>
      <c r="O38" s="5"/>
      <c r="T38" s="5"/>
    </row>
    <row r="39" ht="15.75" customHeight="1">
      <c r="A39" s="5" t="s">
        <v>101</v>
      </c>
      <c r="B39" s="6" t="str">
        <f t="shared" si="2"/>
        <v>https://www.tsip.ai/force/b66e0bf3-d738-4297-83dc-c19c545cf74c</v>
      </c>
      <c r="C39" s="7" t="s">
        <v>68</v>
      </c>
      <c r="D39" s="15" t="s">
        <v>102</v>
      </c>
      <c r="E39" s="8">
        <v>90.0</v>
      </c>
      <c r="F39" s="9" t="s">
        <v>16</v>
      </c>
      <c r="G39" s="9" t="s">
        <v>16</v>
      </c>
      <c r="H39" s="9" t="s">
        <v>16</v>
      </c>
      <c r="I39" s="9" t="s">
        <v>16</v>
      </c>
      <c r="J39" s="9" t="s">
        <v>16</v>
      </c>
      <c r="K39" s="10">
        <v>46161.0</v>
      </c>
      <c r="L39" s="5" t="b">
        <v>0</v>
      </c>
      <c r="M39" s="8" t="b">
        <v>1</v>
      </c>
      <c r="N39" s="5"/>
      <c r="O39" s="5"/>
      <c r="T39" s="5"/>
    </row>
    <row r="40" ht="15.0" customHeight="1">
      <c r="A40" s="5" t="s">
        <v>103</v>
      </c>
      <c r="B40" s="6" t="str">
        <f t="shared" si="2"/>
        <v>https://www.tsip.ai/force/058b4565-71f7-4ebc-a015-b8c266077015</v>
      </c>
      <c r="C40" s="7" t="s">
        <v>104</v>
      </c>
      <c r="D40" s="16" t="s">
        <v>105</v>
      </c>
      <c r="E40" s="8">
        <v>60.0</v>
      </c>
      <c r="F40" s="9" t="s">
        <v>16</v>
      </c>
      <c r="G40" s="9" t="s">
        <v>16</v>
      </c>
      <c r="H40" s="9" t="s">
        <v>16</v>
      </c>
      <c r="I40" s="9" t="s">
        <v>16</v>
      </c>
      <c r="J40" s="9" t="s">
        <v>16</v>
      </c>
      <c r="K40" s="10">
        <v>46161.0</v>
      </c>
      <c r="L40" s="5" t="b">
        <v>0</v>
      </c>
      <c r="M40" s="8" t="b">
        <v>1</v>
      </c>
      <c r="N40" s="5"/>
      <c r="O40" s="5"/>
      <c r="T40" s="5"/>
    </row>
    <row r="41">
      <c r="A41" s="5" t="s">
        <v>106</v>
      </c>
      <c r="B41" s="6" t="str">
        <f t="shared" si="2"/>
        <v>https://www.tsip.ai/force/041e6f7f-5946-4fbd-8fb3-44b05aa05bfc</v>
      </c>
      <c r="C41" s="7" t="s">
        <v>36</v>
      </c>
      <c r="D41" s="15" t="s">
        <v>107</v>
      </c>
      <c r="E41" s="8">
        <v>120.0</v>
      </c>
      <c r="F41" s="9" t="s">
        <v>16</v>
      </c>
      <c r="G41" s="9" t="s">
        <v>16</v>
      </c>
      <c r="H41" s="9" t="s">
        <v>16</v>
      </c>
      <c r="I41" s="9" t="s">
        <v>16</v>
      </c>
      <c r="J41" s="9" t="s">
        <v>16</v>
      </c>
      <c r="K41" s="10">
        <v>46161.0</v>
      </c>
      <c r="L41" s="5" t="b">
        <v>0</v>
      </c>
      <c r="M41" s="8" t="b">
        <v>1</v>
      </c>
      <c r="N41" s="5"/>
      <c r="O41" s="5"/>
      <c r="T41" s="5"/>
    </row>
    <row r="42">
      <c r="A42" s="5" t="s">
        <v>108</v>
      </c>
      <c r="B42" s="6" t="str">
        <f t="shared" si="2"/>
        <v>https://www.tsip.ai/force/f30e6ae0-df43-4046-bcf8-a3f33b59aeb9</v>
      </c>
      <c r="C42" s="7" t="s">
        <v>36</v>
      </c>
      <c r="D42" s="15" t="s">
        <v>109</v>
      </c>
      <c r="E42" s="8">
        <v>120.0</v>
      </c>
      <c r="F42" s="9" t="s">
        <v>16</v>
      </c>
      <c r="G42" s="9" t="s">
        <v>16</v>
      </c>
      <c r="H42" s="9" t="s">
        <v>16</v>
      </c>
      <c r="I42" s="9" t="s">
        <v>16</v>
      </c>
      <c r="J42" s="9" t="s">
        <v>16</v>
      </c>
      <c r="K42" s="10">
        <v>46161.0</v>
      </c>
      <c r="L42" s="5" t="b">
        <v>0</v>
      </c>
      <c r="M42" s="8" t="b">
        <v>1</v>
      </c>
      <c r="N42" s="5"/>
      <c r="O42" s="5"/>
      <c r="T42" s="5"/>
    </row>
    <row r="43">
      <c r="A43" s="5" t="s">
        <v>110</v>
      </c>
      <c r="B43" s="6" t="str">
        <f t="shared" si="2"/>
        <v>https://www.tsip.ai/force/be626304-e5bb-4b2f-9ce0-8b4cd83bfbf3</v>
      </c>
      <c r="C43" s="7" t="s">
        <v>24</v>
      </c>
      <c r="D43" s="15" t="s">
        <v>111</v>
      </c>
      <c r="E43" s="8">
        <v>75.0</v>
      </c>
      <c r="F43" s="9" t="s">
        <v>16</v>
      </c>
      <c r="G43" s="9" t="s">
        <v>16</v>
      </c>
      <c r="H43" s="9" t="s">
        <v>16</v>
      </c>
      <c r="I43" s="9" t="s">
        <v>16</v>
      </c>
      <c r="J43" s="9" t="s">
        <v>16</v>
      </c>
      <c r="K43" s="10">
        <v>46160.0</v>
      </c>
      <c r="L43" s="8" t="b">
        <v>0</v>
      </c>
      <c r="M43" s="8" t="b">
        <v>1</v>
      </c>
      <c r="N43" s="5"/>
      <c r="O43" s="5"/>
      <c r="T43" s="5"/>
    </row>
    <row r="44">
      <c r="A44" s="5" t="s">
        <v>112</v>
      </c>
      <c r="B44" s="6" t="str">
        <f t="shared" si="2"/>
        <v>https://www.tsip.ai/force/bf4c8c03-081b-4fc0-898a-fe986f5af59f</v>
      </c>
      <c r="C44" s="7" t="s">
        <v>104</v>
      </c>
      <c r="D44" s="15" t="s">
        <v>113</v>
      </c>
      <c r="E44" s="8">
        <v>50.0</v>
      </c>
      <c r="F44" s="9" t="s">
        <v>16</v>
      </c>
      <c r="G44" s="9" t="s">
        <v>16</v>
      </c>
      <c r="H44" s="9" t="s">
        <v>16</v>
      </c>
      <c r="I44" s="9" t="s">
        <v>16</v>
      </c>
      <c r="J44" s="9" t="s">
        <v>16</v>
      </c>
      <c r="K44" s="10">
        <v>46163.0</v>
      </c>
      <c r="L44" s="5" t="b">
        <v>0</v>
      </c>
      <c r="M44" s="8" t="b">
        <v>1</v>
      </c>
      <c r="N44" s="5"/>
      <c r="O44" s="5"/>
      <c r="T44" s="5"/>
    </row>
    <row r="45" ht="15.75" customHeight="1">
      <c r="A45" s="5" t="s">
        <v>114</v>
      </c>
      <c r="B45" s="6" t="str">
        <f t="shared" si="2"/>
        <v>https://www.tsip.ai/force/9d414d85-a66d-4f32-b050-5fdbbd86f024</v>
      </c>
      <c r="C45" s="7" t="s">
        <v>104</v>
      </c>
      <c r="D45" s="15" t="s">
        <v>115</v>
      </c>
      <c r="E45" s="8">
        <v>60.0</v>
      </c>
      <c r="F45" s="9" t="s">
        <v>16</v>
      </c>
      <c r="G45" s="9" t="s">
        <v>16</v>
      </c>
      <c r="H45" s="9" t="s">
        <v>16</v>
      </c>
      <c r="I45" s="9" t="s">
        <v>16</v>
      </c>
      <c r="J45" s="9" t="s">
        <v>16</v>
      </c>
      <c r="K45" s="10">
        <v>46161.0</v>
      </c>
      <c r="L45" s="5" t="b">
        <v>0</v>
      </c>
      <c r="M45" s="8" t="b">
        <v>1</v>
      </c>
      <c r="N45" s="5"/>
      <c r="O45" s="5"/>
      <c r="T45" s="5"/>
    </row>
    <row r="46">
      <c r="A46" s="5" t="s">
        <v>116</v>
      </c>
      <c r="B46" s="6" t="str">
        <f t="shared" si="2"/>
        <v>https://www.tsip.ai/force/1a694939-ce51-42dd-9273-d4121f1ffab0</v>
      </c>
      <c r="C46" s="7" t="s">
        <v>14</v>
      </c>
      <c r="D46" s="15" t="s">
        <v>117</v>
      </c>
      <c r="E46" s="8">
        <v>80.0</v>
      </c>
      <c r="F46" s="9" t="s">
        <v>16</v>
      </c>
      <c r="G46" s="9" t="s">
        <v>16</v>
      </c>
      <c r="H46" s="9" t="s">
        <v>16</v>
      </c>
      <c r="I46" s="9" t="s">
        <v>16</v>
      </c>
      <c r="J46" s="9" t="s">
        <v>16</v>
      </c>
      <c r="K46" s="10">
        <v>46162.0</v>
      </c>
      <c r="L46" s="5" t="b">
        <v>0</v>
      </c>
      <c r="M46" s="8" t="b">
        <v>1</v>
      </c>
      <c r="N46" s="5"/>
      <c r="O46" s="5"/>
      <c r="T46" s="5"/>
    </row>
    <row r="47">
      <c r="A47" s="5" t="s">
        <v>118</v>
      </c>
      <c r="B47" s="6" t="str">
        <f t="shared" si="2"/>
        <v>https://www.tsip.ai/force/6e838e97-396b-444d-9be1-91e86bcae25b</v>
      </c>
      <c r="C47" s="7" t="s">
        <v>24</v>
      </c>
      <c r="D47" s="15" t="s">
        <v>119</v>
      </c>
      <c r="E47" s="8">
        <v>65.0</v>
      </c>
      <c r="F47" s="9" t="s">
        <v>16</v>
      </c>
      <c r="G47" s="9" t="s">
        <v>16</v>
      </c>
      <c r="H47" s="9" t="s">
        <v>16</v>
      </c>
      <c r="I47" s="9" t="s">
        <v>16</v>
      </c>
      <c r="J47" s="9" t="s">
        <v>16</v>
      </c>
      <c r="K47" s="10">
        <v>46160.0</v>
      </c>
      <c r="L47" s="8" t="b">
        <v>0</v>
      </c>
      <c r="M47" s="8" t="b">
        <v>1</v>
      </c>
      <c r="N47" s="5"/>
      <c r="O47" s="5"/>
      <c r="T47" s="5"/>
    </row>
    <row r="48">
      <c r="A48" s="5" t="s">
        <v>120</v>
      </c>
      <c r="B48" s="6" t="str">
        <f t="shared" si="2"/>
        <v>https://www.tsip.ai/force/899357e8-934d-4655-990c-5e66e404d2a2</v>
      </c>
      <c r="C48" s="7" t="s">
        <v>14</v>
      </c>
      <c r="D48" s="15" t="s">
        <v>121</v>
      </c>
      <c r="E48" s="8">
        <v>70.0</v>
      </c>
      <c r="F48" s="9" t="s">
        <v>16</v>
      </c>
      <c r="G48" s="9" t="s">
        <v>16</v>
      </c>
      <c r="H48" s="9" t="s">
        <v>16</v>
      </c>
      <c r="I48" s="9" t="s">
        <v>16</v>
      </c>
      <c r="J48" s="9" t="s">
        <v>16</v>
      </c>
      <c r="K48" s="10">
        <v>46160.0</v>
      </c>
      <c r="L48" s="5" t="b">
        <v>0</v>
      </c>
      <c r="M48" s="8" t="b">
        <v>1</v>
      </c>
      <c r="N48" s="5"/>
      <c r="O48" s="5"/>
      <c r="T48" s="5"/>
    </row>
    <row r="49">
      <c r="A49" s="5" t="s">
        <v>122</v>
      </c>
      <c r="B49" s="6" t="str">
        <f t="shared" si="2"/>
        <v>https://www.tsip.ai/force/6ceb3036-31f8-4349-9f95-5d4777b0c7c8</v>
      </c>
      <c r="C49" s="7" t="s">
        <v>104</v>
      </c>
      <c r="D49" s="15" t="s">
        <v>123</v>
      </c>
      <c r="E49" s="8">
        <v>55.0</v>
      </c>
      <c r="F49" s="9" t="s">
        <v>16</v>
      </c>
      <c r="G49" s="9" t="s">
        <v>16</v>
      </c>
      <c r="H49" s="9" t="s">
        <v>16</v>
      </c>
      <c r="I49" s="9" t="s">
        <v>16</v>
      </c>
      <c r="J49" s="9" t="s">
        <v>16</v>
      </c>
      <c r="K49" s="10">
        <v>46161.0</v>
      </c>
      <c r="L49" s="5" t="b">
        <v>0</v>
      </c>
      <c r="M49" s="8" t="b">
        <v>1</v>
      </c>
      <c r="N49" s="5"/>
      <c r="O49" s="5"/>
      <c r="T49" s="5"/>
    </row>
    <row r="50">
      <c r="A50" s="5" t="s">
        <v>124</v>
      </c>
      <c r="B50" s="6" t="str">
        <f t="shared" si="2"/>
        <v>https://www.tsip.ai/force/23a19259-e3c4-4823-bb05-ed7821221264</v>
      </c>
      <c r="C50" s="7" t="s">
        <v>33</v>
      </c>
      <c r="D50" s="15" t="s">
        <v>125</v>
      </c>
      <c r="E50" s="8">
        <v>100.0</v>
      </c>
      <c r="F50" s="9" t="s">
        <v>16</v>
      </c>
      <c r="G50" s="9" t="s">
        <v>16</v>
      </c>
      <c r="H50" s="9" t="s">
        <v>16</v>
      </c>
      <c r="I50" s="9" t="s">
        <v>16</v>
      </c>
      <c r="J50" s="9" t="s">
        <v>16</v>
      </c>
      <c r="K50" s="10">
        <v>46161.0</v>
      </c>
      <c r="L50" s="5" t="b">
        <v>0</v>
      </c>
      <c r="M50" s="8" t="b">
        <v>1</v>
      </c>
      <c r="N50" s="5"/>
      <c r="O50" s="5"/>
      <c r="T50" s="5"/>
    </row>
    <row r="51">
      <c r="A51" s="5" t="s">
        <v>126</v>
      </c>
      <c r="B51" s="6" t="str">
        <f t="shared" si="2"/>
        <v>https://www.tsip.ai/force/d295bf7f-ae0d-4757-af49-90df5a265211</v>
      </c>
      <c r="C51" s="7" t="s">
        <v>127</v>
      </c>
      <c r="D51" s="15" t="s">
        <v>128</v>
      </c>
      <c r="E51" s="8">
        <v>23.0</v>
      </c>
      <c r="F51" s="9" t="s">
        <v>16</v>
      </c>
      <c r="G51" s="9" t="s">
        <v>16</v>
      </c>
      <c r="H51" s="9" t="s">
        <v>16</v>
      </c>
      <c r="I51" s="9" t="s">
        <v>16</v>
      </c>
      <c r="J51" s="9" t="s">
        <v>16</v>
      </c>
      <c r="K51" s="5"/>
      <c r="L51" s="5" t="b">
        <v>0</v>
      </c>
      <c r="M51" s="5" t="b">
        <v>0</v>
      </c>
      <c r="N51" s="5"/>
      <c r="O51" s="5"/>
      <c r="T51" s="5"/>
    </row>
    <row r="52">
      <c r="A52" s="5" t="s">
        <v>129</v>
      </c>
      <c r="B52" s="6" t="str">
        <f t="shared" si="2"/>
        <v>https://www.tsip.ai/force/a6dbab57-b9a1-4329-8bed-969535af74bd</v>
      </c>
      <c r="C52" s="7" t="s">
        <v>24</v>
      </c>
      <c r="D52" s="15" t="s">
        <v>130</v>
      </c>
      <c r="E52" s="8">
        <v>60.0</v>
      </c>
      <c r="F52" s="9" t="s">
        <v>16</v>
      </c>
      <c r="G52" s="9" t="s">
        <v>16</v>
      </c>
      <c r="H52" s="9" t="s">
        <v>16</v>
      </c>
      <c r="I52" s="9" t="s">
        <v>16</v>
      </c>
      <c r="J52" s="9" t="s">
        <v>16</v>
      </c>
      <c r="K52" s="10">
        <v>46161.0</v>
      </c>
      <c r="L52" s="8" t="b">
        <v>0</v>
      </c>
      <c r="M52" s="8" t="b">
        <v>1</v>
      </c>
      <c r="N52" s="5"/>
      <c r="O52" s="5"/>
      <c r="T52" s="5"/>
    </row>
    <row r="53">
      <c r="A53" s="5" t="s">
        <v>131</v>
      </c>
      <c r="B53" s="6" t="str">
        <f t="shared" si="2"/>
        <v>https://www.tsip.ai/force/3784aa9e-504c-4e54-b985-7a5cb8d1933a</v>
      </c>
      <c r="C53" s="7" t="s">
        <v>24</v>
      </c>
      <c r="D53" s="15" t="s">
        <v>132</v>
      </c>
      <c r="E53" s="8">
        <v>10.0</v>
      </c>
      <c r="F53" s="9" t="s">
        <v>16</v>
      </c>
      <c r="G53" s="9" t="s">
        <v>16</v>
      </c>
      <c r="H53" s="9" t="s">
        <v>16</v>
      </c>
      <c r="I53" s="9" t="s">
        <v>16</v>
      </c>
      <c r="J53" s="9" t="s">
        <v>16</v>
      </c>
      <c r="K53" s="10">
        <v>46161.0</v>
      </c>
      <c r="L53" s="8" t="b">
        <v>1</v>
      </c>
      <c r="M53" s="8" t="b">
        <v>1</v>
      </c>
      <c r="N53" s="5"/>
      <c r="O53" s="5"/>
      <c r="T53" s="5"/>
    </row>
    <row r="54">
      <c r="A54" s="5" t="s">
        <v>133</v>
      </c>
      <c r="B54" s="6" t="str">
        <f t="shared" si="2"/>
        <v>https://www.tsip.ai/force/8d6779ec-df84-4fcb-8d42-17100bec979c</v>
      </c>
      <c r="C54" s="7" t="s">
        <v>24</v>
      </c>
      <c r="D54" s="15" t="s">
        <v>134</v>
      </c>
      <c r="E54" s="8">
        <v>85.0</v>
      </c>
      <c r="F54" s="9" t="s">
        <v>16</v>
      </c>
      <c r="G54" s="9" t="s">
        <v>16</v>
      </c>
      <c r="H54" s="9" t="s">
        <v>16</v>
      </c>
      <c r="I54" s="9" t="s">
        <v>16</v>
      </c>
      <c r="J54" s="9" t="s">
        <v>16</v>
      </c>
      <c r="K54" s="10">
        <v>46163.0</v>
      </c>
      <c r="L54" s="8" t="b">
        <v>0</v>
      </c>
      <c r="M54" s="8" t="b">
        <v>1</v>
      </c>
      <c r="N54" s="5"/>
      <c r="O54" s="5"/>
      <c r="T54" s="5"/>
    </row>
    <row r="55">
      <c r="A55" s="5" t="s">
        <v>135</v>
      </c>
      <c r="B55" s="6" t="str">
        <f t="shared" si="2"/>
        <v>https://www.tsip.ai/force/d5f5c3cc-bec3-457a-8f25-39e33cce876f</v>
      </c>
      <c r="C55" s="7" t="s">
        <v>18</v>
      </c>
      <c r="D55" s="15" t="s">
        <v>136</v>
      </c>
      <c r="E55" s="8">
        <v>35.0</v>
      </c>
      <c r="F55" s="9" t="s">
        <v>16</v>
      </c>
      <c r="G55" s="9" t="s">
        <v>16</v>
      </c>
      <c r="H55" s="9" t="s">
        <v>16</v>
      </c>
      <c r="I55" s="9" t="s">
        <v>16</v>
      </c>
      <c r="J55" s="9" t="s">
        <v>16</v>
      </c>
      <c r="K55" s="10">
        <v>46162.0</v>
      </c>
      <c r="L55" s="5" t="b">
        <v>0</v>
      </c>
      <c r="M55" s="8" t="b">
        <v>1</v>
      </c>
      <c r="N55" s="5"/>
      <c r="O55" s="5"/>
      <c r="T55" s="5"/>
    </row>
    <row r="56">
      <c r="A56" s="5" t="s">
        <v>137</v>
      </c>
      <c r="B56" s="6" t="str">
        <f t="shared" si="2"/>
        <v>https://www.tsip.ai/force/b63e33e0-f4e9-4802-9908-2ce8ca7c074e</v>
      </c>
      <c r="C56" s="7" t="s">
        <v>138</v>
      </c>
      <c r="D56" s="15"/>
      <c r="E56" s="5"/>
      <c r="F56" s="9" t="s">
        <v>16</v>
      </c>
      <c r="G56" s="9" t="s">
        <v>16</v>
      </c>
      <c r="H56" s="9" t="s">
        <v>16</v>
      </c>
      <c r="I56" s="9" t="s">
        <v>16</v>
      </c>
      <c r="J56" s="9" t="s">
        <v>16</v>
      </c>
      <c r="K56" s="5"/>
      <c r="L56" s="5" t="b">
        <v>0</v>
      </c>
      <c r="M56" s="5" t="b">
        <v>0</v>
      </c>
      <c r="N56" s="5"/>
      <c r="O56" s="5"/>
      <c r="T56" s="5"/>
    </row>
    <row r="57">
      <c r="A57" s="5" t="s">
        <v>139</v>
      </c>
      <c r="B57" s="6" t="str">
        <f t="shared" si="2"/>
        <v>https://www.tsip.ai/force/6be2cad2-d839-433a-837f-ead416902d88</v>
      </c>
      <c r="C57" s="7" t="s">
        <v>18</v>
      </c>
      <c r="D57" s="15" t="s">
        <v>140</v>
      </c>
      <c r="E57" s="8">
        <v>40.0</v>
      </c>
      <c r="F57" s="9" t="s">
        <v>16</v>
      </c>
      <c r="G57" s="9" t="s">
        <v>16</v>
      </c>
      <c r="H57" s="9" t="s">
        <v>16</v>
      </c>
      <c r="I57" s="9" t="s">
        <v>16</v>
      </c>
      <c r="J57" s="9" t="s">
        <v>16</v>
      </c>
      <c r="K57" s="10">
        <v>46163.0</v>
      </c>
      <c r="L57" s="5" t="b">
        <v>0</v>
      </c>
      <c r="M57" s="8" t="b">
        <v>1</v>
      </c>
      <c r="N57" s="5"/>
      <c r="O57" s="5"/>
      <c r="T57" s="5"/>
    </row>
    <row r="58">
      <c r="A58" s="5" t="s">
        <v>141</v>
      </c>
      <c r="B58" s="6" t="str">
        <f t="shared" si="2"/>
        <v>https://www.tsip.ai/force/4b3370f6-b062-4b42-a9c0-70edb4a9f649</v>
      </c>
      <c r="C58" s="7"/>
      <c r="D58" s="15" t="s">
        <v>142</v>
      </c>
      <c r="E58" s="5"/>
      <c r="F58" s="9" t="s">
        <v>16</v>
      </c>
      <c r="G58" s="9" t="s">
        <v>16</v>
      </c>
      <c r="H58" s="9" t="s">
        <v>16</v>
      </c>
      <c r="I58" s="9" t="s">
        <v>16</v>
      </c>
      <c r="J58" s="9" t="s">
        <v>16</v>
      </c>
      <c r="K58" s="5"/>
      <c r="L58" s="5" t="b">
        <v>0</v>
      </c>
      <c r="M58" s="5" t="b">
        <v>0</v>
      </c>
      <c r="N58" s="5"/>
      <c r="O58" s="5"/>
      <c r="T58" s="5"/>
    </row>
    <row r="59">
      <c r="A59" s="5" t="s">
        <v>143</v>
      </c>
      <c r="B59" s="6" t="str">
        <f t="shared" si="2"/>
        <v>https://www.tsip.ai/force/8506d678-28b4-4dc3-8d48-e847e8bb11f0</v>
      </c>
      <c r="C59" s="7" t="s">
        <v>104</v>
      </c>
      <c r="D59" s="15" t="s">
        <v>144</v>
      </c>
      <c r="E59" s="8">
        <v>40.0</v>
      </c>
      <c r="F59" s="9" t="s">
        <v>16</v>
      </c>
      <c r="G59" s="9" t="s">
        <v>16</v>
      </c>
      <c r="H59" s="9" t="s">
        <v>16</v>
      </c>
      <c r="I59" s="9" t="s">
        <v>16</v>
      </c>
      <c r="J59" s="9" t="s">
        <v>16</v>
      </c>
      <c r="K59" s="10">
        <v>46161.0</v>
      </c>
      <c r="L59" s="5" t="b">
        <v>0</v>
      </c>
      <c r="M59" s="8" t="b">
        <v>1</v>
      </c>
      <c r="N59" s="5"/>
      <c r="O59" s="5"/>
      <c r="T59" s="5"/>
    </row>
    <row r="60">
      <c r="A60" s="5" t="s">
        <v>145</v>
      </c>
      <c r="B60" s="6" t="str">
        <f t="shared" si="2"/>
        <v>https://www.tsip.ai/force/b6c24819-eb15-41e3-9e85-e1ec3944a1f3</v>
      </c>
      <c r="C60" s="7" t="s">
        <v>104</v>
      </c>
      <c r="D60" s="15" t="s">
        <v>146</v>
      </c>
      <c r="E60" s="8">
        <v>45.0</v>
      </c>
      <c r="F60" s="9" t="s">
        <v>16</v>
      </c>
      <c r="G60" s="9" t="s">
        <v>16</v>
      </c>
      <c r="H60" s="9" t="s">
        <v>16</v>
      </c>
      <c r="I60" s="9" t="s">
        <v>16</v>
      </c>
      <c r="J60" s="9" t="s">
        <v>16</v>
      </c>
      <c r="K60" s="10">
        <v>46163.0</v>
      </c>
      <c r="L60" s="5" t="b">
        <v>0</v>
      </c>
      <c r="M60" s="8" t="b">
        <v>1</v>
      </c>
      <c r="N60" s="5"/>
      <c r="O60" s="5"/>
      <c r="T60" s="5"/>
    </row>
    <row r="61">
      <c r="A61" s="5" t="s">
        <v>147</v>
      </c>
      <c r="B61" s="6" t="str">
        <f t="shared" si="2"/>
        <v>https://www.tsip.ai/force/3068d001-beac-4e53-ba25-1029c5b31b0a</v>
      </c>
      <c r="C61" s="7" t="s">
        <v>39</v>
      </c>
      <c r="D61" s="17" t="s">
        <v>148</v>
      </c>
      <c r="E61" s="8">
        <v>60.0</v>
      </c>
      <c r="F61" s="9" t="s">
        <v>16</v>
      </c>
      <c r="G61" s="9" t="s">
        <v>16</v>
      </c>
      <c r="H61" s="9" t="s">
        <v>16</v>
      </c>
      <c r="I61" s="9" t="s">
        <v>16</v>
      </c>
      <c r="J61" s="9" t="s">
        <v>16</v>
      </c>
      <c r="K61" s="18">
        <v>46160.0</v>
      </c>
      <c r="L61" s="5" t="b">
        <v>0</v>
      </c>
      <c r="M61" s="8" t="b">
        <v>1</v>
      </c>
      <c r="N61" s="5"/>
      <c r="O61" s="5"/>
      <c r="T61" s="5"/>
    </row>
    <row r="62">
      <c r="A62" s="5" t="s">
        <v>149</v>
      </c>
      <c r="B62" s="6" t="str">
        <f t="shared" si="2"/>
        <v>https://www.tsip.ai/force/4afa716c-2632-44e3-a046-1d3cafde99ad</v>
      </c>
      <c r="C62" s="7" t="s">
        <v>150</v>
      </c>
      <c r="D62" s="19" t="s">
        <v>151</v>
      </c>
      <c r="E62" s="5"/>
      <c r="F62" s="9" t="s">
        <v>16</v>
      </c>
      <c r="G62" s="9" t="s">
        <v>16</v>
      </c>
      <c r="H62" s="9" t="s">
        <v>16</v>
      </c>
      <c r="I62" s="9" t="s">
        <v>16</v>
      </c>
      <c r="J62" s="9" t="s">
        <v>16</v>
      </c>
      <c r="K62" s="5"/>
      <c r="L62" s="5" t="b">
        <v>0</v>
      </c>
      <c r="M62" s="5" t="b">
        <v>0</v>
      </c>
      <c r="N62" s="5"/>
      <c r="O62" s="5"/>
      <c r="T62" s="5"/>
    </row>
    <row r="63">
      <c r="A63" s="5" t="s">
        <v>152</v>
      </c>
      <c r="B63" s="6" t="str">
        <f t="shared" si="2"/>
        <v>https://www.tsip.ai/force/9ac50b6a-b3cc-4e39-80db-26efc527a7df</v>
      </c>
      <c r="C63" s="7" t="s">
        <v>150</v>
      </c>
      <c r="D63" s="19" t="s">
        <v>153</v>
      </c>
      <c r="E63" s="8">
        <v>70.0</v>
      </c>
      <c r="F63" s="9" t="s">
        <v>16</v>
      </c>
      <c r="G63" s="9" t="s">
        <v>16</v>
      </c>
      <c r="H63" s="9" t="s">
        <v>16</v>
      </c>
      <c r="I63" s="9" t="s">
        <v>16</v>
      </c>
      <c r="J63" s="9" t="s">
        <v>16</v>
      </c>
      <c r="K63" s="10">
        <v>46161.0</v>
      </c>
      <c r="L63" s="5" t="b">
        <v>0</v>
      </c>
      <c r="M63" s="8" t="b">
        <v>1</v>
      </c>
      <c r="N63" s="5"/>
      <c r="O63" s="5"/>
      <c r="T63" s="5"/>
    </row>
    <row r="64">
      <c r="A64" s="4" t="s">
        <v>154</v>
      </c>
      <c r="B64" s="6" t="str">
        <f t="shared" si="2"/>
        <v>https://www.tsip.ai/force/dd5dd87a-520c-4890-ae75-645ec85a25b0</v>
      </c>
      <c r="C64" s="20" t="s">
        <v>33</v>
      </c>
      <c r="D64" s="17" t="s">
        <v>155</v>
      </c>
      <c r="E64" s="4">
        <v>80.0</v>
      </c>
      <c r="F64" s="9" t="s">
        <v>16</v>
      </c>
      <c r="G64" s="9" t="s">
        <v>16</v>
      </c>
      <c r="H64" s="9" t="s">
        <v>16</v>
      </c>
      <c r="I64" s="9" t="s">
        <v>16</v>
      </c>
      <c r="J64" s="9" t="s">
        <v>16</v>
      </c>
      <c r="K64" s="10">
        <v>46161.0</v>
      </c>
      <c r="L64" s="5" t="b">
        <v>0</v>
      </c>
      <c r="M64" s="8" t="b">
        <v>1</v>
      </c>
      <c r="N64" s="5"/>
      <c r="O64" s="5"/>
      <c r="T64" s="5"/>
    </row>
    <row r="65">
      <c r="A65" s="5" t="s">
        <v>156</v>
      </c>
      <c r="B65" s="6" t="str">
        <f t="shared" si="2"/>
        <v>https://www.tsip.ai/force/9050883a-2ded-43ff-bdef-b111598bfe77</v>
      </c>
      <c r="C65" s="7"/>
      <c r="D65" s="17"/>
      <c r="F65" s="9" t="s">
        <v>16</v>
      </c>
      <c r="G65" s="9" t="s">
        <v>16</v>
      </c>
      <c r="H65" s="9" t="s">
        <v>16</v>
      </c>
      <c r="I65" s="9" t="s">
        <v>16</v>
      </c>
      <c r="J65" s="9" t="s">
        <v>16</v>
      </c>
      <c r="L65" s="5" t="b">
        <v>0</v>
      </c>
      <c r="M65" s="5" t="b">
        <v>0</v>
      </c>
      <c r="N65" s="5"/>
      <c r="O65" s="5"/>
      <c r="T65" s="5"/>
    </row>
    <row r="66">
      <c r="A66" s="5" t="s">
        <v>157</v>
      </c>
      <c r="B66" s="6" t="str">
        <f t="shared" si="2"/>
        <v>https://www.tsip.ai/force/95e47754-95d9-43e7-b7ac-b7182ed26a1f</v>
      </c>
      <c r="C66" s="7" t="s">
        <v>104</v>
      </c>
      <c r="D66" s="17" t="s">
        <v>158</v>
      </c>
      <c r="E66" s="4">
        <v>50.0</v>
      </c>
      <c r="F66" s="9" t="s">
        <v>16</v>
      </c>
      <c r="G66" s="9" t="s">
        <v>16</v>
      </c>
      <c r="H66" s="9" t="s">
        <v>16</v>
      </c>
      <c r="I66" s="9" t="s">
        <v>16</v>
      </c>
      <c r="J66" s="9" t="s">
        <v>16</v>
      </c>
      <c r="K66" s="21">
        <v>46162.0</v>
      </c>
      <c r="L66" s="8" t="b">
        <v>0</v>
      </c>
      <c r="M66" s="8" t="b">
        <v>1</v>
      </c>
      <c r="N66" s="5"/>
      <c r="O66" s="5"/>
      <c r="T66" s="5"/>
    </row>
    <row r="67">
      <c r="A67" s="5" t="s">
        <v>159</v>
      </c>
      <c r="B67" s="6" t="str">
        <f t="shared" si="2"/>
        <v>https://www.tsip.ai/force/2a848255-51e8-41af-8bf6-33720f84f8f3</v>
      </c>
      <c r="C67" s="13" t="s">
        <v>160</v>
      </c>
      <c r="D67" s="17" t="s">
        <v>161</v>
      </c>
      <c r="E67" s="4">
        <v>65.0</v>
      </c>
      <c r="F67" s="9" t="s">
        <v>16</v>
      </c>
      <c r="G67" s="9" t="s">
        <v>16</v>
      </c>
      <c r="H67" s="9" t="s">
        <v>16</v>
      </c>
      <c r="I67" s="9" t="s">
        <v>16</v>
      </c>
      <c r="J67" s="9" t="s">
        <v>16</v>
      </c>
      <c r="K67" s="18">
        <v>46160.0</v>
      </c>
      <c r="L67" s="5" t="b">
        <v>0</v>
      </c>
      <c r="M67" s="8" t="b">
        <v>1</v>
      </c>
      <c r="N67" s="5"/>
      <c r="O67" s="5"/>
      <c r="T67" s="5"/>
    </row>
    <row r="68">
      <c r="A68" s="5" t="s">
        <v>162</v>
      </c>
      <c r="B68" s="6" t="str">
        <f t="shared" si="2"/>
        <v>https://www.tsip.ai/force/1c826292-7474-41b0-b55c-c5c3026881e9</v>
      </c>
      <c r="C68" s="13" t="s">
        <v>33</v>
      </c>
      <c r="D68" s="17" t="s">
        <v>163</v>
      </c>
      <c r="E68" s="4">
        <v>60.0</v>
      </c>
      <c r="F68" s="9" t="s">
        <v>16</v>
      </c>
      <c r="G68" s="9" t="s">
        <v>16</v>
      </c>
      <c r="H68" s="9" t="s">
        <v>16</v>
      </c>
      <c r="I68" s="9" t="s">
        <v>16</v>
      </c>
      <c r="J68" s="9" t="s">
        <v>16</v>
      </c>
      <c r="K68" s="18">
        <v>46160.0</v>
      </c>
      <c r="L68" s="5" t="b">
        <v>0</v>
      </c>
      <c r="M68" s="8" t="b">
        <v>1</v>
      </c>
      <c r="N68" s="5"/>
      <c r="O68" s="5"/>
      <c r="T68" s="5"/>
    </row>
    <row r="69">
      <c r="A69" s="5" t="s">
        <v>164</v>
      </c>
      <c r="B69" s="6" t="str">
        <f t="shared" si="2"/>
        <v>https://www.tsip.ai/force/654770a8-7e2c-447f-a770-57a6b05f1683</v>
      </c>
      <c r="C69" s="13" t="s">
        <v>21</v>
      </c>
      <c r="D69" s="17" t="s">
        <v>161</v>
      </c>
      <c r="F69" s="9" t="s">
        <v>16</v>
      </c>
      <c r="G69" s="9" t="s">
        <v>16</v>
      </c>
      <c r="H69" s="9" t="s">
        <v>16</v>
      </c>
      <c r="I69" s="9" t="s">
        <v>16</v>
      </c>
      <c r="J69" s="9" t="s">
        <v>16</v>
      </c>
      <c r="L69" s="5" t="b">
        <v>0</v>
      </c>
      <c r="M69" s="8" t="b">
        <v>1</v>
      </c>
      <c r="N69" s="5"/>
      <c r="O69" s="5"/>
      <c r="T69" s="5"/>
    </row>
    <row r="70">
      <c r="A70" s="5" t="s">
        <v>165</v>
      </c>
      <c r="B70" s="6" t="str">
        <f t="shared" si="2"/>
        <v>https://www.tsip.ai/force/25c6fc3e-a489-4b5c-a24f-6ac3bf5f7cf2</v>
      </c>
      <c r="C70" s="13" t="s">
        <v>104</v>
      </c>
      <c r="D70" s="17" t="s">
        <v>166</v>
      </c>
      <c r="E70" s="4">
        <v>45.0</v>
      </c>
      <c r="F70" s="9" t="s">
        <v>16</v>
      </c>
      <c r="G70" s="9" t="s">
        <v>16</v>
      </c>
      <c r="H70" s="9" t="s">
        <v>16</v>
      </c>
      <c r="I70" s="9" t="s">
        <v>16</v>
      </c>
      <c r="J70" s="9" t="s">
        <v>16</v>
      </c>
      <c r="K70" s="22">
        <v>46161.0</v>
      </c>
      <c r="L70" s="5" t="b">
        <v>0</v>
      </c>
      <c r="M70" s="8" t="b">
        <v>1</v>
      </c>
      <c r="N70" s="5"/>
      <c r="O70" s="5"/>
      <c r="T70" s="5"/>
    </row>
    <row r="71">
      <c r="A71" s="5" t="s">
        <v>167</v>
      </c>
      <c r="B71" s="6" t="str">
        <f t="shared" si="2"/>
        <v>https://www.tsip.ai/force/3426a792-0dce-4172-99f3-ad16f69e29e3</v>
      </c>
      <c r="C71" s="7" t="s">
        <v>104</v>
      </c>
      <c r="D71" s="17" t="s">
        <v>168</v>
      </c>
      <c r="E71" s="4">
        <v>45.0</v>
      </c>
      <c r="F71" s="9" t="s">
        <v>16</v>
      </c>
      <c r="G71" s="9" t="s">
        <v>16</v>
      </c>
      <c r="H71" s="9" t="s">
        <v>16</v>
      </c>
      <c r="I71" s="9" t="s">
        <v>16</v>
      </c>
      <c r="J71" s="9" t="s">
        <v>16</v>
      </c>
      <c r="K71" s="22">
        <v>46162.0</v>
      </c>
      <c r="L71" s="5" t="b">
        <v>0</v>
      </c>
      <c r="M71" s="8" t="b">
        <v>1</v>
      </c>
      <c r="N71" s="5"/>
      <c r="O71" s="5"/>
      <c r="T71" s="5"/>
    </row>
    <row r="72">
      <c r="A72" s="5" t="s">
        <v>169</v>
      </c>
      <c r="B72" s="6" t="str">
        <f t="shared" si="2"/>
        <v>https://www.tsip.ai/force/f355ac29-6025-4a13-a04b-b1e0b9cf0b67</v>
      </c>
      <c r="C72" s="13" t="s">
        <v>46</v>
      </c>
      <c r="D72" s="23"/>
      <c r="E72" s="24">
        <v>62.0</v>
      </c>
      <c r="F72" s="9" t="s">
        <v>16</v>
      </c>
      <c r="G72" s="9" t="s">
        <v>16</v>
      </c>
      <c r="H72" s="9" t="s">
        <v>16</v>
      </c>
      <c r="I72" s="9" t="s">
        <v>16</v>
      </c>
      <c r="J72" s="9" t="s">
        <v>16</v>
      </c>
      <c r="K72" s="22">
        <v>46159.0</v>
      </c>
      <c r="L72" s="5" t="b">
        <v>0</v>
      </c>
      <c r="M72" s="8" t="b">
        <v>1</v>
      </c>
      <c r="N72" s="5"/>
      <c r="O72" s="5"/>
      <c r="T72" s="5"/>
    </row>
    <row r="73">
      <c r="A73" s="5" t="s">
        <v>170</v>
      </c>
      <c r="B73" s="6" t="str">
        <f t="shared" si="2"/>
        <v>https://www.tsip.ai/force/68f08b51-5cf5-446d-ac68-50ed30841bdc</v>
      </c>
      <c r="C73" s="13" t="s">
        <v>46</v>
      </c>
      <c r="D73" s="23"/>
      <c r="E73" s="24">
        <v>77.0</v>
      </c>
      <c r="F73" s="9" t="s">
        <v>16</v>
      </c>
      <c r="G73" s="9" t="s">
        <v>16</v>
      </c>
      <c r="H73" s="9" t="s">
        <v>16</v>
      </c>
      <c r="I73" s="9" t="s">
        <v>16</v>
      </c>
      <c r="J73" s="9" t="s">
        <v>16</v>
      </c>
      <c r="K73" s="10">
        <v>46159.0</v>
      </c>
      <c r="L73" s="5" t="b">
        <v>0</v>
      </c>
      <c r="M73" s="8" t="b">
        <v>1</v>
      </c>
      <c r="N73" s="5"/>
      <c r="O73" s="5"/>
      <c r="T73" s="5"/>
    </row>
    <row r="74">
      <c r="A74" s="5" t="s">
        <v>171</v>
      </c>
      <c r="B74" s="6" t="str">
        <f t="shared" si="2"/>
        <v>https://www.tsip.ai/force/a8590094-240a-4bd5-9fc9-1957975c02cd</v>
      </c>
      <c r="C74" s="13" t="s">
        <v>33</v>
      </c>
      <c r="D74" s="17" t="s">
        <v>161</v>
      </c>
      <c r="E74" s="24">
        <v>70.0</v>
      </c>
      <c r="F74" s="9" t="s">
        <v>16</v>
      </c>
      <c r="G74" s="9" t="s">
        <v>16</v>
      </c>
      <c r="H74" s="9" t="s">
        <v>16</v>
      </c>
      <c r="I74" s="9" t="s">
        <v>16</v>
      </c>
      <c r="J74" s="9" t="s">
        <v>16</v>
      </c>
      <c r="K74" s="10">
        <v>46159.0</v>
      </c>
      <c r="L74" s="5" t="b">
        <v>0</v>
      </c>
      <c r="M74" s="8" t="b">
        <v>1</v>
      </c>
      <c r="N74" s="5"/>
      <c r="O74" s="5"/>
      <c r="T74" s="5"/>
    </row>
    <row r="75">
      <c r="A75" s="5" t="s">
        <v>172</v>
      </c>
      <c r="B75" s="6" t="str">
        <f t="shared" si="2"/>
        <v>https://www.tsip.ai/force/3166a5a4-9fa1-4cb6-9cb7-69efb4129132</v>
      </c>
      <c r="C75" s="7" t="s">
        <v>24</v>
      </c>
      <c r="D75" s="17" t="s">
        <v>173</v>
      </c>
      <c r="E75" s="8">
        <v>10.0</v>
      </c>
      <c r="F75" s="9" t="s">
        <v>16</v>
      </c>
      <c r="G75" s="9" t="s">
        <v>16</v>
      </c>
      <c r="H75" s="9" t="s">
        <v>16</v>
      </c>
      <c r="I75" s="9" t="s">
        <v>16</v>
      </c>
      <c r="J75" s="9" t="s">
        <v>16</v>
      </c>
      <c r="K75" s="10">
        <v>46161.0</v>
      </c>
      <c r="L75" s="8" t="b">
        <v>1</v>
      </c>
      <c r="M75" s="8" t="b">
        <v>1</v>
      </c>
      <c r="N75" s="5"/>
      <c r="O75" s="5"/>
      <c r="T75" s="5"/>
    </row>
    <row r="76">
      <c r="A76" s="5" t="s">
        <v>174</v>
      </c>
      <c r="B76" s="6" t="str">
        <f t="shared" si="2"/>
        <v>https://www.tsip.ai/force/f37029d6-f2f6-458e-803a-32d664f3e0ca</v>
      </c>
      <c r="C76" s="13" t="s">
        <v>33</v>
      </c>
      <c r="D76" s="17" t="s">
        <v>175</v>
      </c>
      <c r="E76" s="8">
        <v>70.0</v>
      </c>
      <c r="F76" s="9" t="s">
        <v>16</v>
      </c>
      <c r="G76" s="9" t="s">
        <v>16</v>
      </c>
      <c r="H76" s="9" t="s">
        <v>16</v>
      </c>
      <c r="I76" s="9" t="s">
        <v>16</v>
      </c>
      <c r="J76" s="9" t="s">
        <v>16</v>
      </c>
      <c r="K76" s="10">
        <v>46162.0</v>
      </c>
      <c r="L76" s="8" t="b">
        <v>1</v>
      </c>
      <c r="M76" s="8" t="b">
        <v>1</v>
      </c>
      <c r="N76" s="5"/>
      <c r="O76" s="5"/>
      <c r="T76" s="5"/>
    </row>
    <row r="77">
      <c r="A77" s="5" t="s">
        <v>176</v>
      </c>
      <c r="B77" s="6" t="str">
        <f t="shared" si="2"/>
        <v>https://www.tsip.ai/force/d44d1f90-a527-4f89-b6b8-7b0182b31ac6</v>
      </c>
      <c r="C77" s="13" t="s">
        <v>33</v>
      </c>
      <c r="D77" s="17" t="s">
        <v>177</v>
      </c>
      <c r="E77" s="8">
        <v>50.0</v>
      </c>
      <c r="F77" s="9" t="s">
        <v>16</v>
      </c>
      <c r="G77" s="9" t="s">
        <v>16</v>
      </c>
      <c r="H77" s="9" t="s">
        <v>16</v>
      </c>
      <c r="I77" s="9" t="s">
        <v>16</v>
      </c>
      <c r="J77" s="9" t="s">
        <v>16</v>
      </c>
      <c r="K77" s="22">
        <v>46163.0</v>
      </c>
      <c r="L77" s="8" t="b">
        <v>1</v>
      </c>
      <c r="M77" s="8" t="b">
        <v>1</v>
      </c>
      <c r="N77" s="5"/>
      <c r="O77" s="5"/>
      <c r="T77" s="5"/>
    </row>
    <row r="78">
      <c r="A78" s="5" t="s">
        <v>178</v>
      </c>
      <c r="B78" s="6" t="str">
        <f t="shared" si="2"/>
        <v>https://www.tsip.ai/force/274a5df8-9de4-47da-a688-f7c2c545426a</v>
      </c>
      <c r="C78" s="7" t="s">
        <v>24</v>
      </c>
      <c r="D78" s="17" t="s">
        <v>161</v>
      </c>
      <c r="E78" s="4">
        <v>60.0</v>
      </c>
      <c r="F78" s="9" t="s">
        <v>16</v>
      </c>
      <c r="G78" s="9" t="s">
        <v>16</v>
      </c>
      <c r="H78" s="9" t="s">
        <v>16</v>
      </c>
      <c r="I78" s="9" t="s">
        <v>16</v>
      </c>
      <c r="J78" s="9" t="s">
        <v>16</v>
      </c>
      <c r="K78" s="10">
        <v>46160.0</v>
      </c>
      <c r="L78" s="8" t="b">
        <v>0</v>
      </c>
      <c r="M78" s="8" t="b">
        <v>1</v>
      </c>
      <c r="N78" s="5"/>
      <c r="O78" s="5"/>
      <c r="T78" s="5"/>
    </row>
    <row r="79">
      <c r="A79" s="5" t="s">
        <v>179</v>
      </c>
      <c r="B79" s="6" t="str">
        <f t="shared" si="2"/>
        <v>https://www.tsip.ai/force/735a68dd-f94a-4837-aa1a-4e4db7330811</v>
      </c>
      <c r="C79" s="7" t="s">
        <v>104</v>
      </c>
      <c r="D79" s="17" t="s">
        <v>180</v>
      </c>
      <c r="E79" s="8">
        <v>60.0</v>
      </c>
      <c r="F79" s="9" t="s">
        <v>16</v>
      </c>
      <c r="G79" s="9" t="s">
        <v>16</v>
      </c>
      <c r="H79" s="9" t="s">
        <v>16</v>
      </c>
      <c r="I79" s="9" t="s">
        <v>16</v>
      </c>
      <c r="J79" s="9" t="s">
        <v>16</v>
      </c>
      <c r="K79" s="10">
        <v>46162.0</v>
      </c>
      <c r="L79" s="5" t="b">
        <v>0</v>
      </c>
      <c r="M79" s="8" t="b">
        <v>1</v>
      </c>
      <c r="N79" s="5"/>
      <c r="O79" s="5"/>
      <c r="T79" s="5"/>
    </row>
    <row r="80">
      <c r="A80" s="5" t="s">
        <v>181</v>
      </c>
      <c r="B80" s="6" t="str">
        <f t="shared" si="2"/>
        <v>https://www.tsip.ai/force/fe06a32d-2474-4338-8d11-e6391b0e0002</v>
      </c>
      <c r="C80" s="13" t="s">
        <v>36</v>
      </c>
      <c r="D80" s="17" t="s">
        <v>161</v>
      </c>
      <c r="E80" s="4">
        <v>120.0</v>
      </c>
      <c r="F80" s="9" t="s">
        <v>16</v>
      </c>
      <c r="G80" s="9" t="s">
        <v>16</v>
      </c>
      <c r="H80" s="9" t="s">
        <v>16</v>
      </c>
      <c r="I80" s="9" t="s">
        <v>16</v>
      </c>
      <c r="J80" s="9" t="s">
        <v>16</v>
      </c>
      <c r="K80" s="10">
        <v>46160.0</v>
      </c>
      <c r="L80" s="5" t="b">
        <v>0</v>
      </c>
      <c r="M80" s="8" t="b">
        <v>1</v>
      </c>
      <c r="N80" s="5"/>
      <c r="O80" s="5"/>
      <c r="T80" s="5"/>
    </row>
    <row r="81">
      <c r="A81" s="5" t="s">
        <v>182</v>
      </c>
      <c r="B81" s="6" t="str">
        <f t="shared" si="2"/>
        <v>https://www.tsip.ai/force/c603f188-012e-432c-987a-bab69d68e967</v>
      </c>
      <c r="C81" s="7" t="s">
        <v>18</v>
      </c>
      <c r="D81" s="17" t="s">
        <v>183</v>
      </c>
      <c r="E81" s="8">
        <v>100.0</v>
      </c>
      <c r="F81" s="9" t="s">
        <v>16</v>
      </c>
      <c r="G81" s="9" t="s">
        <v>16</v>
      </c>
      <c r="H81" s="9" t="s">
        <v>16</v>
      </c>
      <c r="I81" s="9" t="s">
        <v>16</v>
      </c>
      <c r="J81" s="9" t="s">
        <v>16</v>
      </c>
      <c r="K81" s="10">
        <v>46162.0</v>
      </c>
      <c r="L81" s="5" t="b">
        <v>0</v>
      </c>
      <c r="M81" s="8" t="b">
        <v>1</v>
      </c>
      <c r="N81" s="5"/>
      <c r="O81" s="5"/>
      <c r="T81" s="5"/>
    </row>
    <row r="82">
      <c r="A82" s="5" t="s">
        <v>184</v>
      </c>
      <c r="B82" s="6" t="str">
        <f t="shared" si="2"/>
        <v>https://www.tsip.ai/force/4d4aebcd-b8ad-4ced-bf88-65f873ada047</v>
      </c>
      <c r="C82" s="13" t="s">
        <v>36</v>
      </c>
      <c r="D82" s="17" t="s">
        <v>161</v>
      </c>
      <c r="E82" s="8">
        <v>300.0</v>
      </c>
      <c r="F82" s="9" t="s">
        <v>16</v>
      </c>
      <c r="G82" s="9" t="s">
        <v>16</v>
      </c>
      <c r="H82" s="9" t="s">
        <v>16</v>
      </c>
      <c r="I82" s="9" t="s">
        <v>16</v>
      </c>
      <c r="J82" s="9" t="s">
        <v>16</v>
      </c>
      <c r="K82" s="10">
        <v>46160.0</v>
      </c>
      <c r="L82" s="5" t="b">
        <v>0</v>
      </c>
      <c r="M82" s="8" t="b">
        <v>1</v>
      </c>
      <c r="N82" s="5"/>
      <c r="O82" s="5"/>
      <c r="T82" s="5"/>
    </row>
    <row r="83">
      <c r="A83" s="5" t="s">
        <v>185</v>
      </c>
      <c r="B83" s="6" t="str">
        <f t="shared" si="2"/>
        <v>https://www.tsip.ai/force/f294960f-a3ca-40cf-acca-b9590c052592</v>
      </c>
      <c r="C83" s="13" t="s">
        <v>90</v>
      </c>
      <c r="D83" s="17" t="s">
        <v>161</v>
      </c>
      <c r="E83" s="8">
        <v>200.0</v>
      </c>
      <c r="F83" s="9" t="s">
        <v>16</v>
      </c>
      <c r="G83" s="9" t="s">
        <v>16</v>
      </c>
      <c r="H83" s="9" t="s">
        <v>16</v>
      </c>
      <c r="I83" s="9" t="s">
        <v>16</v>
      </c>
      <c r="J83" s="9" t="s">
        <v>16</v>
      </c>
      <c r="K83" s="10">
        <v>46160.0</v>
      </c>
      <c r="L83" s="5" t="b">
        <v>0</v>
      </c>
      <c r="M83" s="8" t="b">
        <v>1</v>
      </c>
      <c r="N83" s="5"/>
      <c r="O83" s="5"/>
      <c r="T83" s="5"/>
    </row>
    <row r="84">
      <c r="A84" s="5" t="s">
        <v>186</v>
      </c>
      <c r="B84" s="6" t="str">
        <f t="shared" si="2"/>
        <v>https://www.tsip.ai/force/837b4154-66d4-4608-ae5e-c276a5353e0a</v>
      </c>
      <c r="C84" s="13" t="s">
        <v>68</v>
      </c>
      <c r="D84" s="17" t="s">
        <v>161</v>
      </c>
      <c r="E84" s="24">
        <v>48.0</v>
      </c>
      <c r="F84" s="9" t="s">
        <v>16</v>
      </c>
      <c r="G84" s="9" t="s">
        <v>16</v>
      </c>
      <c r="H84" s="9" t="s">
        <v>16</v>
      </c>
      <c r="I84" s="9" t="s">
        <v>16</v>
      </c>
      <c r="J84" s="9" t="s">
        <v>16</v>
      </c>
      <c r="K84" s="21">
        <v>46160.0</v>
      </c>
      <c r="L84" s="5"/>
      <c r="M84" s="8" t="b">
        <v>1</v>
      </c>
      <c r="N84" s="5"/>
      <c r="O84" s="5"/>
      <c r="T84" s="5"/>
    </row>
    <row r="85">
      <c r="A85" s="5" t="s">
        <v>187</v>
      </c>
      <c r="B85" s="6" t="str">
        <f t="shared" si="2"/>
        <v>https://www.tsip.ai/force/1edd989b-7321-4735-a6f3-3ee860e97797</v>
      </c>
      <c r="C85" s="13" t="s">
        <v>68</v>
      </c>
      <c r="D85" s="17" t="s">
        <v>161</v>
      </c>
      <c r="E85" s="24">
        <v>67.0</v>
      </c>
      <c r="F85" s="9" t="s">
        <v>16</v>
      </c>
      <c r="G85" s="9" t="s">
        <v>16</v>
      </c>
      <c r="H85" s="9" t="s">
        <v>16</v>
      </c>
      <c r="I85" s="9" t="s">
        <v>16</v>
      </c>
      <c r="J85" s="9" t="s">
        <v>16</v>
      </c>
      <c r="K85" s="21">
        <v>46160.0</v>
      </c>
      <c r="L85" s="5"/>
      <c r="M85" s="8" t="b">
        <v>1</v>
      </c>
      <c r="N85" s="5"/>
      <c r="O85" s="5"/>
      <c r="T85" s="5"/>
    </row>
    <row r="86">
      <c r="A86" s="5" t="s">
        <v>188</v>
      </c>
      <c r="B86" s="6" t="str">
        <f t="shared" si="2"/>
        <v>https://www.tsip.ai/force/8acc4474-5e33-4ec3-a13b-91af7d059e53</v>
      </c>
      <c r="C86" s="13" t="s">
        <v>68</v>
      </c>
      <c r="D86" s="17" t="s">
        <v>161</v>
      </c>
      <c r="E86" s="24">
        <v>60.0</v>
      </c>
      <c r="F86" s="9" t="s">
        <v>16</v>
      </c>
      <c r="G86" s="9" t="s">
        <v>16</v>
      </c>
      <c r="H86" s="9" t="s">
        <v>16</v>
      </c>
      <c r="I86" s="9" t="s">
        <v>16</v>
      </c>
      <c r="J86" s="9" t="s">
        <v>16</v>
      </c>
      <c r="K86" s="21">
        <v>46160.0</v>
      </c>
      <c r="L86" s="5"/>
      <c r="M86" s="8" t="b">
        <v>1</v>
      </c>
      <c r="N86" s="5"/>
      <c r="O86" s="5"/>
      <c r="T86" s="5"/>
    </row>
    <row r="87">
      <c r="A87" s="5" t="s">
        <v>189</v>
      </c>
      <c r="B87" s="6" t="str">
        <f t="shared" si="2"/>
        <v>https://www.tsip.ai/force/a9ecec1f-7c00-483e-a8a2-ca5e37bb67d7</v>
      </c>
      <c r="C87" s="13" t="s">
        <v>68</v>
      </c>
      <c r="D87" s="17" t="s">
        <v>161</v>
      </c>
      <c r="E87" s="24">
        <v>80.0</v>
      </c>
      <c r="F87" s="9" t="s">
        <v>16</v>
      </c>
      <c r="G87" s="9" t="s">
        <v>16</v>
      </c>
      <c r="H87" s="9" t="s">
        <v>16</v>
      </c>
      <c r="I87" s="9" t="s">
        <v>16</v>
      </c>
      <c r="J87" s="9" t="s">
        <v>16</v>
      </c>
      <c r="K87" s="21">
        <v>46160.0</v>
      </c>
      <c r="L87" s="5"/>
      <c r="M87" s="8" t="b">
        <v>1</v>
      </c>
      <c r="N87" s="5"/>
      <c r="O87" s="5"/>
      <c r="T87" s="5"/>
    </row>
    <row r="88">
      <c r="A88" s="5" t="s">
        <v>190</v>
      </c>
      <c r="B88" s="6" t="str">
        <f t="shared" si="2"/>
        <v>https://www.tsip.ai/force/91773d4f-fedd-4d3c-869c-677ea3db26c5</v>
      </c>
      <c r="C88" s="13" t="s">
        <v>150</v>
      </c>
      <c r="D88" s="25" t="s">
        <v>191</v>
      </c>
      <c r="E88" s="8">
        <v>75.0</v>
      </c>
      <c r="F88" s="9" t="s">
        <v>16</v>
      </c>
      <c r="G88" s="9" t="s">
        <v>16</v>
      </c>
      <c r="H88" s="9" t="s">
        <v>16</v>
      </c>
      <c r="I88" s="9" t="s">
        <v>16</v>
      </c>
      <c r="J88" s="9" t="s">
        <v>16</v>
      </c>
      <c r="K88" s="10">
        <v>46161.0</v>
      </c>
      <c r="L88" s="5" t="b">
        <v>0</v>
      </c>
      <c r="M88" s="8" t="b">
        <v>1</v>
      </c>
      <c r="N88" s="5"/>
      <c r="O88" s="5"/>
      <c r="T88" s="5"/>
    </row>
    <row r="89" ht="15.75" customHeight="1">
      <c r="A89" s="5" t="s">
        <v>192</v>
      </c>
      <c r="B89" s="6" t="str">
        <f t="shared" si="2"/>
        <v>https://www.tsip.ai/force/67f9d9b6-ddab-458f-825e-472de522a481</v>
      </c>
      <c r="C89" s="13" t="s">
        <v>68</v>
      </c>
      <c r="D89" s="15" t="s">
        <v>193</v>
      </c>
      <c r="E89" s="8">
        <v>60.0</v>
      </c>
      <c r="F89" s="9" t="s">
        <v>16</v>
      </c>
      <c r="G89" s="9" t="s">
        <v>16</v>
      </c>
      <c r="H89" s="9" t="s">
        <v>16</v>
      </c>
      <c r="I89" s="9" t="s">
        <v>16</v>
      </c>
      <c r="J89" s="9" t="s">
        <v>16</v>
      </c>
      <c r="K89" s="10">
        <v>46161.0</v>
      </c>
      <c r="L89" s="5" t="b">
        <v>0</v>
      </c>
      <c r="M89" s="8" t="b">
        <v>1</v>
      </c>
      <c r="N89" s="5"/>
      <c r="O89" s="5"/>
      <c r="T89" s="5"/>
    </row>
    <row r="90">
      <c r="A90" s="5" t="s">
        <v>194</v>
      </c>
      <c r="B90" s="6" t="str">
        <f t="shared" si="2"/>
        <v>https://www.tsip.ai/force/fedb1a49-141f-4903-bb1d-af4e416f99e9</v>
      </c>
      <c r="C90" s="7"/>
      <c r="D90" s="17" t="s">
        <v>195</v>
      </c>
      <c r="E90" s="8">
        <v>5.0</v>
      </c>
      <c r="F90" s="9" t="s">
        <v>16</v>
      </c>
      <c r="G90" s="9" t="s">
        <v>16</v>
      </c>
      <c r="H90" s="9" t="s">
        <v>16</v>
      </c>
      <c r="I90" s="9" t="s">
        <v>16</v>
      </c>
      <c r="J90" s="9" t="s">
        <v>16</v>
      </c>
      <c r="K90" s="10">
        <v>46161.0</v>
      </c>
      <c r="L90" s="5" t="b">
        <v>0</v>
      </c>
      <c r="M90" s="5" t="b">
        <v>0</v>
      </c>
      <c r="N90" s="5"/>
      <c r="O90" s="5"/>
      <c r="T90" s="5"/>
    </row>
    <row r="91">
      <c r="A91" s="5" t="s">
        <v>196</v>
      </c>
      <c r="B91" s="6" t="str">
        <f t="shared" si="2"/>
        <v>https://www.tsip.ai/force/88bf1a51-3a20-4248-aa51-d6f16244776d</v>
      </c>
      <c r="C91" s="7" t="s">
        <v>90</v>
      </c>
      <c r="D91" s="17" t="s">
        <v>197</v>
      </c>
      <c r="E91" s="5"/>
      <c r="F91" s="9" t="s">
        <v>16</v>
      </c>
      <c r="G91" s="9" t="s">
        <v>16</v>
      </c>
      <c r="H91" s="9" t="s">
        <v>16</v>
      </c>
      <c r="I91" s="9" t="s">
        <v>16</v>
      </c>
      <c r="J91" s="9" t="s">
        <v>16</v>
      </c>
      <c r="K91" s="5"/>
      <c r="L91" s="5" t="b">
        <v>0</v>
      </c>
      <c r="M91" s="5" t="b">
        <v>0</v>
      </c>
      <c r="N91" s="5"/>
      <c r="O91" s="5"/>
      <c r="T91" s="5"/>
    </row>
    <row r="92">
      <c r="A92" s="5" t="s">
        <v>198</v>
      </c>
      <c r="B92" s="6" t="str">
        <f t="shared" si="2"/>
        <v>https://www.tsip.ai/force/ed6c77a7-69a7-4c66-9b3b-277ccab17b9d</v>
      </c>
      <c r="C92" s="13" t="s">
        <v>160</v>
      </c>
      <c r="D92" s="17" t="s">
        <v>161</v>
      </c>
      <c r="E92" s="8">
        <v>60.0</v>
      </c>
      <c r="F92" s="9" t="s">
        <v>16</v>
      </c>
      <c r="G92" s="9" t="s">
        <v>16</v>
      </c>
      <c r="H92" s="9" t="s">
        <v>16</v>
      </c>
      <c r="I92" s="9" t="s">
        <v>16</v>
      </c>
      <c r="J92" s="9" t="s">
        <v>16</v>
      </c>
      <c r="K92" s="21">
        <v>46159.0</v>
      </c>
      <c r="L92" s="5" t="b">
        <v>0</v>
      </c>
      <c r="M92" s="8" t="b">
        <v>1</v>
      </c>
      <c r="N92" s="5"/>
      <c r="O92" s="5"/>
      <c r="T92" s="5"/>
    </row>
    <row r="93">
      <c r="A93" s="5" t="s">
        <v>199</v>
      </c>
      <c r="B93" s="6" t="str">
        <f t="shared" si="2"/>
        <v>https://www.tsip.ai/force/7e1002d3-e929-49ff-b66f-0c8639cd3d49</v>
      </c>
      <c r="C93" s="13" t="s">
        <v>39</v>
      </c>
      <c r="D93" s="17" t="s">
        <v>200</v>
      </c>
      <c r="E93" s="8">
        <v>25.0</v>
      </c>
      <c r="F93" s="9" t="s">
        <v>16</v>
      </c>
      <c r="G93" s="9" t="s">
        <v>16</v>
      </c>
      <c r="H93" s="9" t="s">
        <v>16</v>
      </c>
      <c r="I93" s="9" t="s">
        <v>16</v>
      </c>
      <c r="J93" s="9" t="s">
        <v>16</v>
      </c>
      <c r="K93" s="10">
        <v>46162.0</v>
      </c>
      <c r="L93" s="5" t="b">
        <v>0</v>
      </c>
      <c r="M93" s="8" t="b">
        <v>1</v>
      </c>
      <c r="N93" s="5"/>
      <c r="O93" s="5"/>
      <c r="T93" s="5"/>
    </row>
    <row r="94">
      <c r="A94" s="5" t="s">
        <v>201</v>
      </c>
      <c r="B94" s="6" t="str">
        <f t="shared" si="2"/>
        <v>https://www.tsip.ai/force/f54cc8f4-531c-43ad-8271-0731f6a5fc1f</v>
      </c>
      <c r="C94" s="13" t="s">
        <v>14</v>
      </c>
      <c r="D94" s="17" t="s">
        <v>161</v>
      </c>
      <c r="E94" s="4">
        <v>60.0</v>
      </c>
      <c r="F94" s="9" t="s">
        <v>16</v>
      </c>
      <c r="G94" s="9" t="s">
        <v>16</v>
      </c>
      <c r="H94" s="9" t="s">
        <v>16</v>
      </c>
      <c r="I94" s="9" t="s">
        <v>16</v>
      </c>
      <c r="J94" s="9" t="s">
        <v>16</v>
      </c>
      <c r="K94" s="22">
        <v>46160.0</v>
      </c>
      <c r="L94" s="5"/>
      <c r="M94" s="8" t="b">
        <v>1</v>
      </c>
      <c r="N94" s="5"/>
      <c r="O94" s="5"/>
      <c r="T94" s="5"/>
    </row>
    <row r="95" ht="15.0" customHeight="1">
      <c r="A95" s="5" t="s">
        <v>202</v>
      </c>
      <c r="B95" s="6" t="str">
        <f t="shared" si="2"/>
        <v>https://www.tsip.ai/force/bcdd0085-aeb2-483b-937b-3eca8c90a71a</v>
      </c>
      <c r="C95" s="13" t="s">
        <v>68</v>
      </c>
      <c r="D95" s="17" t="s">
        <v>203</v>
      </c>
      <c r="E95" s="8">
        <v>95.0</v>
      </c>
      <c r="F95" s="9" t="s">
        <v>16</v>
      </c>
      <c r="G95" s="9" t="s">
        <v>16</v>
      </c>
      <c r="H95" s="9" t="s">
        <v>16</v>
      </c>
      <c r="I95" s="9" t="s">
        <v>16</v>
      </c>
      <c r="J95" s="9" t="s">
        <v>16</v>
      </c>
      <c r="K95" s="10">
        <v>46161.0</v>
      </c>
      <c r="L95" s="8" t="b">
        <v>0</v>
      </c>
      <c r="M95" s="8" t="b">
        <v>1</v>
      </c>
      <c r="N95" s="5"/>
      <c r="O95" s="5"/>
      <c r="T95" s="5"/>
    </row>
    <row r="96">
      <c r="A96" s="5" t="s">
        <v>204</v>
      </c>
      <c r="B96" s="6" t="str">
        <f t="shared" si="2"/>
        <v>https://www.tsip.ai/force/ecea9d6b-d4fa-4ceb-9612-428e69c57930</v>
      </c>
      <c r="C96" s="13" t="s">
        <v>39</v>
      </c>
      <c r="D96" s="17" t="s">
        <v>161</v>
      </c>
      <c r="E96" s="4">
        <v>50.0</v>
      </c>
      <c r="F96" s="9" t="s">
        <v>16</v>
      </c>
      <c r="G96" s="9" t="s">
        <v>16</v>
      </c>
      <c r="H96" s="9" t="s">
        <v>16</v>
      </c>
      <c r="I96" s="9" t="s">
        <v>16</v>
      </c>
      <c r="J96" s="9" t="s">
        <v>16</v>
      </c>
      <c r="K96" s="18">
        <v>46159.0</v>
      </c>
      <c r="L96" s="5"/>
      <c r="M96" s="8" t="b">
        <v>1</v>
      </c>
      <c r="N96" s="5"/>
      <c r="O96" s="5"/>
      <c r="T96" s="5"/>
    </row>
    <row r="97">
      <c r="A97" s="5" t="s">
        <v>205</v>
      </c>
      <c r="B97" s="6" t="str">
        <f t="shared" si="2"/>
        <v>https://www.tsip.ai/force/cf2067a1-99b4-4c0d-817b-01e60ba24c80</v>
      </c>
      <c r="C97" s="13" t="s">
        <v>33</v>
      </c>
      <c r="D97" s="17" t="s">
        <v>206</v>
      </c>
      <c r="E97" s="4">
        <v>50.0</v>
      </c>
      <c r="F97" s="9" t="s">
        <v>16</v>
      </c>
      <c r="G97" s="9" t="s">
        <v>16</v>
      </c>
      <c r="H97" s="9" t="s">
        <v>16</v>
      </c>
      <c r="I97" s="9" t="s">
        <v>16</v>
      </c>
      <c r="J97" s="9" t="s">
        <v>16</v>
      </c>
      <c r="K97" s="18">
        <v>46160.0</v>
      </c>
      <c r="L97" s="5"/>
      <c r="M97" s="8" t="b">
        <v>1</v>
      </c>
      <c r="N97" s="5"/>
      <c r="O97" s="5"/>
      <c r="T97" s="5"/>
    </row>
    <row r="98">
      <c r="A98" s="5" t="s">
        <v>207</v>
      </c>
      <c r="B98" s="6" t="str">
        <f t="shared" si="2"/>
        <v>https://www.tsip.ai/force/455a84b6-0dec-4e36-9f0c-a49a25261eda</v>
      </c>
      <c r="C98" s="7" t="s">
        <v>104</v>
      </c>
      <c r="D98" s="15" t="s">
        <v>208</v>
      </c>
      <c r="E98" s="8">
        <v>70.0</v>
      </c>
      <c r="F98" s="9" t="s">
        <v>16</v>
      </c>
      <c r="G98" s="9" t="s">
        <v>16</v>
      </c>
      <c r="H98" s="9" t="s">
        <v>16</v>
      </c>
      <c r="I98" s="9" t="s">
        <v>16</v>
      </c>
      <c r="J98" s="9" t="s">
        <v>16</v>
      </c>
      <c r="K98" s="10">
        <v>46161.0</v>
      </c>
      <c r="L98" s="5" t="b">
        <v>0</v>
      </c>
      <c r="M98" s="8" t="b">
        <v>1</v>
      </c>
      <c r="N98" s="5"/>
      <c r="O98" s="5"/>
      <c r="T98" s="5"/>
    </row>
    <row r="99">
      <c r="A99" s="5" t="s">
        <v>209</v>
      </c>
      <c r="B99" s="6" t="str">
        <f t="shared" si="2"/>
        <v>https://www.tsip.ai/force/e3c878e1-31cc-44a5-9d12-3045a0475fdd</v>
      </c>
      <c r="C99" s="7" t="s">
        <v>127</v>
      </c>
      <c r="D99" s="15" t="s">
        <v>210</v>
      </c>
      <c r="E99" s="8">
        <v>44.0</v>
      </c>
      <c r="F99" s="9" t="s">
        <v>16</v>
      </c>
      <c r="G99" s="9" t="s">
        <v>16</v>
      </c>
      <c r="H99" s="9" t="s">
        <v>16</v>
      </c>
      <c r="I99" s="9" t="s">
        <v>16</v>
      </c>
      <c r="J99" s="9" t="s">
        <v>16</v>
      </c>
      <c r="K99" s="26">
        <v>46161.0</v>
      </c>
      <c r="L99" s="5" t="b">
        <v>0</v>
      </c>
      <c r="M99" s="8" t="b">
        <v>1</v>
      </c>
      <c r="N99" s="5"/>
      <c r="O99" s="5"/>
      <c r="T99" s="5"/>
    </row>
    <row r="100">
      <c r="A100" s="5" t="s">
        <v>211</v>
      </c>
      <c r="B100" s="6" t="str">
        <f t="shared" si="2"/>
        <v>https://www.tsip.ai/force/36ab5d58-e3a7-40e2-9388-e1d156a775f7</v>
      </c>
      <c r="C100" s="7" t="s">
        <v>21</v>
      </c>
      <c r="D100" s="15" t="s">
        <v>212</v>
      </c>
      <c r="E100" s="8">
        <v>55.0</v>
      </c>
      <c r="F100" s="9" t="s">
        <v>16</v>
      </c>
      <c r="G100" s="9" t="s">
        <v>16</v>
      </c>
      <c r="H100" s="9" t="s">
        <v>16</v>
      </c>
      <c r="I100" s="9" t="s">
        <v>16</v>
      </c>
      <c r="J100" s="9" t="s">
        <v>16</v>
      </c>
      <c r="K100" s="10">
        <v>46161.0</v>
      </c>
      <c r="L100" s="5" t="b">
        <v>0</v>
      </c>
      <c r="M100" s="8" t="b">
        <v>1</v>
      </c>
      <c r="N100" s="5"/>
      <c r="O100" s="5"/>
      <c r="T100" s="5"/>
    </row>
    <row r="101">
      <c r="A101" s="5" t="s">
        <v>213</v>
      </c>
      <c r="B101" s="6" t="str">
        <f t="shared" si="2"/>
        <v>https://www.tsip.ai/force/1ef74bd2-64b2-448e-a858-57a93046a5fd</v>
      </c>
      <c r="C101" s="20" t="s">
        <v>18</v>
      </c>
      <c r="D101" s="17" t="s">
        <v>214</v>
      </c>
      <c r="E101" s="4">
        <v>40.0</v>
      </c>
      <c r="F101" s="9" t="s">
        <v>16</v>
      </c>
      <c r="G101" s="9" t="s">
        <v>16</v>
      </c>
      <c r="H101" s="9" t="s">
        <v>16</v>
      </c>
      <c r="I101" s="9" t="s">
        <v>16</v>
      </c>
      <c r="J101" s="9" t="s">
        <v>16</v>
      </c>
      <c r="K101" s="22">
        <v>46162.0</v>
      </c>
      <c r="L101" s="4" t="s">
        <v>215</v>
      </c>
      <c r="M101" s="8" t="b">
        <v>1</v>
      </c>
      <c r="N101" s="5"/>
      <c r="T101" s="5"/>
    </row>
    <row r="102">
      <c r="A102" s="5" t="s">
        <v>216</v>
      </c>
      <c r="B102" s="6" t="str">
        <f t="shared" si="2"/>
        <v>https://www.tsip.ai/force/3f333b76-25bc-4c8a-80b4-c06e7d095f32</v>
      </c>
      <c r="C102" s="20" t="s">
        <v>39</v>
      </c>
      <c r="D102" s="17" t="s">
        <v>217</v>
      </c>
      <c r="E102" s="8">
        <v>70.0</v>
      </c>
      <c r="F102" s="9" t="s">
        <v>16</v>
      </c>
      <c r="G102" s="9" t="s">
        <v>16</v>
      </c>
      <c r="H102" s="9" t="s">
        <v>16</v>
      </c>
      <c r="I102" s="9" t="s">
        <v>16</v>
      </c>
      <c r="J102" s="9" t="s">
        <v>16</v>
      </c>
      <c r="K102" s="10">
        <v>46162.0</v>
      </c>
      <c r="L102" s="4" t="s">
        <v>215</v>
      </c>
      <c r="M102" s="8" t="b">
        <v>1</v>
      </c>
      <c r="N102" s="5"/>
      <c r="T102" s="5"/>
    </row>
    <row r="103" ht="15.75" customHeight="1">
      <c r="A103" s="5" t="s">
        <v>218</v>
      </c>
      <c r="B103" s="6" t="str">
        <f t="shared" si="2"/>
        <v>https://www.tsip.ai/force/67c66149-8cf4-4a0c-9bd0-959882d572f1</v>
      </c>
      <c r="C103" s="20" t="s">
        <v>160</v>
      </c>
      <c r="D103" s="4" t="s">
        <v>219</v>
      </c>
      <c r="E103" s="4">
        <v>46.0</v>
      </c>
      <c r="F103" s="9" t="s">
        <v>16</v>
      </c>
      <c r="G103" s="9" t="s">
        <v>16</v>
      </c>
      <c r="H103" s="9" t="s">
        <v>16</v>
      </c>
      <c r="I103" s="9" t="s">
        <v>16</v>
      </c>
      <c r="J103" s="9" t="s">
        <v>16</v>
      </c>
      <c r="K103" s="21">
        <v>46161.0</v>
      </c>
      <c r="L103" s="4" t="s">
        <v>215</v>
      </c>
      <c r="M103" s="8" t="b">
        <v>1</v>
      </c>
      <c r="N103" s="5"/>
      <c r="T103" s="5"/>
    </row>
    <row r="104">
      <c r="A104" s="5" t="s">
        <v>220</v>
      </c>
      <c r="B104" s="6" t="str">
        <f t="shared" si="2"/>
        <v>https://www.tsip.ai/force/733e1ae8-7516-4dcf-8dd9-3a9b082c2153</v>
      </c>
      <c r="C104" s="20" t="s">
        <v>160</v>
      </c>
      <c r="D104" s="15" t="s">
        <v>221</v>
      </c>
      <c r="E104" s="4">
        <v>150.0</v>
      </c>
      <c r="F104" s="9" t="s">
        <v>16</v>
      </c>
      <c r="G104" s="9" t="s">
        <v>16</v>
      </c>
      <c r="H104" s="9" t="s">
        <v>16</v>
      </c>
      <c r="I104" s="9" t="s">
        <v>16</v>
      </c>
      <c r="J104" s="9" t="s">
        <v>16</v>
      </c>
      <c r="K104" s="21">
        <v>46163.0</v>
      </c>
      <c r="L104" s="4" t="s">
        <v>215</v>
      </c>
      <c r="M104" s="5" t="b">
        <v>0</v>
      </c>
      <c r="N104" s="5"/>
      <c r="T104" s="5"/>
    </row>
    <row r="105" ht="15.75" customHeight="1">
      <c r="A105" s="5" t="s">
        <v>222</v>
      </c>
      <c r="B105" s="6" t="str">
        <f t="shared" si="2"/>
        <v>https://www.tsip.ai/force/7b100f04-743a-441e-9b0c-6bebe95cbee0</v>
      </c>
      <c r="C105" s="20" t="s">
        <v>160</v>
      </c>
      <c r="D105" s="17" t="s">
        <v>223</v>
      </c>
      <c r="E105" s="4">
        <v>38.0</v>
      </c>
      <c r="F105" s="9">
        <v>4.0</v>
      </c>
      <c r="G105" s="27" t="s">
        <v>224</v>
      </c>
      <c r="H105" s="9" t="s">
        <v>16</v>
      </c>
      <c r="I105" s="9" t="s">
        <v>16</v>
      </c>
      <c r="J105" s="9" t="s">
        <v>16</v>
      </c>
      <c r="K105" s="21">
        <v>46161.0</v>
      </c>
      <c r="L105" s="4" t="s">
        <v>215</v>
      </c>
      <c r="M105" s="8" t="b">
        <v>1</v>
      </c>
      <c r="T105" s="5"/>
    </row>
    <row r="106" ht="15.75" customHeight="1">
      <c r="A106" s="5" t="s">
        <v>225</v>
      </c>
      <c r="B106" s="6" t="str">
        <f t="shared" si="2"/>
        <v>https://www.tsip.ai/force/7b5945dd-98a8-43ef-b9d2-2c94c05bf17a</v>
      </c>
      <c r="C106" s="20" t="s">
        <v>160</v>
      </c>
      <c r="D106" s="17" t="s">
        <v>226</v>
      </c>
      <c r="E106" s="4">
        <v>74.0</v>
      </c>
      <c r="F106" s="9">
        <v>4.0</v>
      </c>
      <c r="G106" s="27" t="s">
        <v>227</v>
      </c>
      <c r="H106" s="9" t="s">
        <v>16</v>
      </c>
      <c r="I106" s="9" t="s">
        <v>16</v>
      </c>
      <c r="J106" s="9" t="s">
        <v>16</v>
      </c>
      <c r="K106" s="21">
        <v>46161.0</v>
      </c>
      <c r="L106" s="4" t="s">
        <v>215</v>
      </c>
      <c r="M106" s="8" t="b">
        <v>1</v>
      </c>
      <c r="T106" s="5"/>
    </row>
    <row r="107">
      <c r="A107" s="5" t="s">
        <v>228</v>
      </c>
      <c r="B107" s="6" t="str">
        <f t="shared" si="2"/>
        <v>https://www.tsip.ai/force/7d448839-ff50-421f-bc77-2e16018b103a</v>
      </c>
      <c r="C107" s="20" t="s">
        <v>160</v>
      </c>
      <c r="D107" s="17" t="s">
        <v>226</v>
      </c>
      <c r="E107" s="4">
        <v>60.0</v>
      </c>
      <c r="F107" s="9" t="s">
        <v>16</v>
      </c>
      <c r="G107" s="9" t="s">
        <v>16</v>
      </c>
      <c r="H107" s="9" t="s">
        <v>16</v>
      </c>
      <c r="I107" s="9" t="s">
        <v>16</v>
      </c>
      <c r="J107" s="9" t="s">
        <v>16</v>
      </c>
      <c r="K107" s="21">
        <v>46162.0</v>
      </c>
      <c r="L107" s="4" t="s">
        <v>215</v>
      </c>
      <c r="M107" s="8" t="b">
        <v>1</v>
      </c>
      <c r="T107" s="5"/>
    </row>
    <row r="108" ht="15.75" customHeight="1">
      <c r="A108" s="28" t="s">
        <v>229</v>
      </c>
      <c r="B108" s="6" t="str">
        <f t="shared" si="2"/>
        <v>https://www.tsip.ai/force/a124b3a8-c8db-404b-8746-898dcb4ac333</v>
      </c>
      <c r="C108" s="29" t="s">
        <v>160</v>
      </c>
      <c r="D108" s="30" t="s">
        <v>230</v>
      </c>
      <c r="E108" s="31">
        <v>64.0</v>
      </c>
      <c r="F108" s="27">
        <v>3.0</v>
      </c>
      <c r="G108" s="27" t="s">
        <v>231</v>
      </c>
      <c r="H108" s="27" t="s">
        <v>16</v>
      </c>
      <c r="I108" s="27" t="s">
        <v>16</v>
      </c>
      <c r="J108" s="27" t="s">
        <v>16</v>
      </c>
      <c r="K108" s="21">
        <v>46161.0</v>
      </c>
      <c r="L108" s="31" t="s">
        <v>215</v>
      </c>
      <c r="M108" s="32" t="b">
        <v>1</v>
      </c>
      <c r="N108" s="33"/>
      <c r="O108" s="33"/>
      <c r="P108" s="33"/>
      <c r="Q108" s="33"/>
      <c r="R108" s="33"/>
      <c r="T108" s="5"/>
      <c r="U108" s="33"/>
      <c r="V108" s="33"/>
      <c r="W108" s="33"/>
      <c r="X108" s="33"/>
      <c r="Y108" s="33"/>
      <c r="Z108" s="33"/>
      <c r="AA108" s="33"/>
    </row>
    <row r="109">
      <c r="A109" s="5" t="s">
        <v>232</v>
      </c>
      <c r="B109" s="6" t="str">
        <f t="shared" si="2"/>
        <v>https://www.tsip.ai/force/a1994fa7-5a56-405c-b21c-2adcd5e00220</v>
      </c>
      <c r="C109" s="29" t="s">
        <v>68</v>
      </c>
      <c r="D109" s="8" t="s">
        <v>87</v>
      </c>
      <c r="F109" s="9" t="s">
        <v>16</v>
      </c>
      <c r="G109" s="9" t="s">
        <v>16</v>
      </c>
      <c r="H109" s="9" t="s">
        <v>16</v>
      </c>
      <c r="I109" s="9" t="s">
        <v>16</v>
      </c>
      <c r="J109" s="9" t="s">
        <v>16</v>
      </c>
      <c r="L109" s="4" t="s">
        <v>215</v>
      </c>
      <c r="M109" s="5" t="b">
        <v>0</v>
      </c>
      <c r="T109" s="5"/>
    </row>
    <row r="110" ht="14.25" customHeight="1">
      <c r="A110" s="5" t="s">
        <v>233</v>
      </c>
      <c r="B110" s="6" t="str">
        <f t="shared" si="2"/>
        <v>https://www.tsip.ai/force/b6ff3d68-fd93-4b27-b359-e9133b897b5e</v>
      </c>
      <c r="C110" s="20" t="s">
        <v>83</v>
      </c>
      <c r="D110" s="17" t="s">
        <v>234</v>
      </c>
      <c r="E110" s="4">
        <v>60.0</v>
      </c>
      <c r="F110" s="9">
        <v>4.0</v>
      </c>
      <c r="G110" s="9" t="s">
        <v>235</v>
      </c>
      <c r="H110" s="9" t="s">
        <v>16</v>
      </c>
      <c r="I110" s="9" t="s">
        <v>16</v>
      </c>
      <c r="J110" s="9" t="s">
        <v>16</v>
      </c>
      <c r="K110" s="22">
        <v>46161.0</v>
      </c>
      <c r="L110" s="4" t="s">
        <v>215</v>
      </c>
      <c r="M110" s="8" t="b">
        <v>1</v>
      </c>
      <c r="T110" s="5"/>
    </row>
    <row r="111">
      <c r="A111" s="5" t="s">
        <v>236</v>
      </c>
      <c r="B111" s="6" t="str">
        <f t="shared" si="2"/>
        <v>https://www.tsip.ai/force/bdebb79d-9179-4081-8c21-130d8746836b</v>
      </c>
      <c r="C111" s="20"/>
      <c r="D111" s="23"/>
      <c r="F111" s="9" t="s">
        <v>16</v>
      </c>
      <c r="G111" s="9" t="s">
        <v>16</v>
      </c>
      <c r="H111" s="9" t="s">
        <v>16</v>
      </c>
      <c r="I111" s="9" t="s">
        <v>16</v>
      </c>
      <c r="J111" s="9" t="s">
        <v>16</v>
      </c>
      <c r="L111" s="4" t="s">
        <v>215</v>
      </c>
      <c r="M111" s="5" t="b">
        <v>0</v>
      </c>
      <c r="T111" s="5"/>
    </row>
    <row r="112">
      <c r="A112" s="5" t="s">
        <v>237</v>
      </c>
      <c r="B112" s="6" t="str">
        <f t="shared" si="2"/>
        <v>https://www.tsip.ai/force/ce32d18d-3a33-4d27-8545-04abfe38a94a</v>
      </c>
      <c r="C112" s="20" t="s">
        <v>104</v>
      </c>
      <c r="D112" s="17" t="s">
        <v>238</v>
      </c>
      <c r="E112" s="4">
        <v>55.0</v>
      </c>
      <c r="F112" s="9" t="s">
        <v>16</v>
      </c>
      <c r="G112" s="9" t="s">
        <v>16</v>
      </c>
      <c r="H112" s="9" t="s">
        <v>16</v>
      </c>
      <c r="I112" s="9" t="s">
        <v>16</v>
      </c>
      <c r="J112" s="9" t="s">
        <v>16</v>
      </c>
      <c r="K112" s="22">
        <v>46161.0</v>
      </c>
      <c r="L112" s="4" t="s">
        <v>215</v>
      </c>
      <c r="M112" s="8" t="b">
        <v>1</v>
      </c>
      <c r="T112" s="5"/>
    </row>
    <row r="113">
      <c r="A113" s="5" t="s">
        <v>239</v>
      </c>
      <c r="B113" s="6" t="str">
        <f t="shared" si="2"/>
        <v>https://www.tsip.ai/force/d0debda7-739a-4533-86cf-237ee6667ddf</v>
      </c>
      <c r="C113" s="20" t="s">
        <v>36</v>
      </c>
      <c r="D113" s="17" t="s">
        <v>240</v>
      </c>
      <c r="E113" s="4">
        <v>90.0</v>
      </c>
      <c r="F113" s="9" t="s">
        <v>16</v>
      </c>
      <c r="G113" s="9" t="s">
        <v>16</v>
      </c>
      <c r="H113" s="9" t="s">
        <v>16</v>
      </c>
      <c r="I113" s="9" t="s">
        <v>16</v>
      </c>
      <c r="J113" s="9" t="s">
        <v>16</v>
      </c>
      <c r="K113" s="22">
        <v>46161.0</v>
      </c>
      <c r="L113" s="4" t="s">
        <v>215</v>
      </c>
      <c r="M113" s="8" t="b">
        <v>1</v>
      </c>
      <c r="T113" s="5"/>
    </row>
    <row r="114" ht="15.0" customHeight="1">
      <c r="A114" s="5" t="s">
        <v>241</v>
      </c>
      <c r="B114" s="6" t="str">
        <f t="shared" si="2"/>
        <v>https://www.tsip.ai/force/d8573bf5-af9e-4bd2-bead-e53a7aa221d3</v>
      </c>
      <c r="C114" s="20" t="s">
        <v>83</v>
      </c>
      <c r="D114" s="17" t="s">
        <v>242</v>
      </c>
      <c r="E114" s="4">
        <v>55.0</v>
      </c>
      <c r="F114" s="9">
        <v>4.0</v>
      </c>
      <c r="G114" s="9" t="s">
        <v>243</v>
      </c>
      <c r="H114" s="9" t="s">
        <v>16</v>
      </c>
      <c r="I114" s="9" t="s">
        <v>16</v>
      </c>
      <c r="J114" s="9" t="s">
        <v>16</v>
      </c>
      <c r="K114" s="22">
        <v>46162.0</v>
      </c>
      <c r="L114" s="4" t="s">
        <v>215</v>
      </c>
      <c r="M114" s="8" t="b">
        <v>1</v>
      </c>
      <c r="T114" s="5"/>
    </row>
    <row r="115">
      <c r="A115" s="5" t="s">
        <v>244</v>
      </c>
      <c r="B115" s="6" t="str">
        <f t="shared" si="2"/>
        <v>https://www.tsip.ai/force/ddf08efb-44d8-4311-ba6f-67c7c0f9b5e0</v>
      </c>
      <c r="C115" s="20" t="s">
        <v>104</v>
      </c>
      <c r="D115" s="17" t="s">
        <v>245</v>
      </c>
      <c r="E115" s="4">
        <v>40.0</v>
      </c>
      <c r="F115" s="9" t="s">
        <v>16</v>
      </c>
      <c r="G115" s="9" t="s">
        <v>16</v>
      </c>
      <c r="H115" s="9" t="s">
        <v>16</v>
      </c>
      <c r="I115" s="9" t="s">
        <v>16</v>
      </c>
      <c r="J115" s="9" t="s">
        <v>16</v>
      </c>
      <c r="K115" s="22">
        <v>46162.0</v>
      </c>
      <c r="L115" s="4" t="s">
        <v>215</v>
      </c>
      <c r="M115" s="8" t="b">
        <v>1</v>
      </c>
      <c r="T115" s="5"/>
    </row>
    <row r="116">
      <c r="A116" s="5" t="s">
        <v>246</v>
      </c>
      <c r="B116" s="6" t="str">
        <f t="shared" si="2"/>
        <v>https://www.tsip.ai/force/de7da32b-1496-4fc0-9668-365d8e167669</v>
      </c>
      <c r="C116" s="20" t="s">
        <v>247</v>
      </c>
      <c r="D116" s="17" t="s">
        <v>248</v>
      </c>
      <c r="F116" s="9">
        <v>2.0</v>
      </c>
      <c r="G116" s="34" t="s">
        <v>249</v>
      </c>
      <c r="H116" s="9" t="s">
        <v>16</v>
      </c>
      <c r="I116" s="9" t="s">
        <v>16</v>
      </c>
      <c r="J116" s="9" t="s">
        <v>16</v>
      </c>
      <c r="L116" s="4" t="s">
        <v>215</v>
      </c>
      <c r="M116" s="5" t="b">
        <v>0</v>
      </c>
      <c r="T116" s="5"/>
    </row>
    <row r="117">
      <c r="A117" s="5" t="s">
        <v>250</v>
      </c>
      <c r="B117" s="6" t="str">
        <f t="shared" si="2"/>
        <v>https://www.tsip.ai/force/e5722b43-4586-4bbe-9476-bed884031c29</v>
      </c>
      <c r="C117" s="20" t="s">
        <v>68</v>
      </c>
      <c r="D117" s="8" t="s">
        <v>87</v>
      </c>
      <c r="F117" s="9" t="s">
        <v>16</v>
      </c>
      <c r="G117" s="9" t="s">
        <v>16</v>
      </c>
      <c r="H117" s="9" t="s">
        <v>16</v>
      </c>
      <c r="I117" s="9" t="s">
        <v>16</v>
      </c>
      <c r="J117" s="9" t="s">
        <v>16</v>
      </c>
      <c r="L117" s="4" t="s">
        <v>215</v>
      </c>
      <c r="M117" s="5" t="b">
        <v>0</v>
      </c>
      <c r="T117" s="5"/>
    </row>
    <row r="118">
      <c r="A118" s="5" t="s">
        <v>251</v>
      </c>
      <c r="B118" s="6" t="str">
        <f t="shared" si="2"/>
        <v>https://www.tsip.ai/force/ebd52873-afcc-4d85-8551-37803b3b3d51</v>
      </c>
      <c r="C118" s="20" t="s">
        <v>18</v>
      </c>
      <c r="D118" s="17" t="s">
        <v>252</v>
      </c>
      <c r="E118" s="4">
        <v>40.0</v>
      </c>
      <c r="F118" s="9" t="s">
        <v>16</v>
      </c>
      <c r="G118" s="9" t="s">
        <v>16</v>
      </c>
      <c r="H118" s="9" t="s">
        <v>16</v>
      </c>
      <c r="I118" s="9" t="s">
        <v>16</v>
      </c>
      <c r="J118" s="9" t="s">
        <v>16</v>
      </c>
      <c r="K118" s="22">
        <v>46163.0</v>
      </c>
      <c r="L118" s="4" t="s">
        <v>215</v>
      </c>
      <c r="M118" s="8" t="b">
        <v>1</v>
      </c>
      <c r="T118" s="5"/>
    </row>
    <row r="119">
      <c r="A119" s="5" t="s">
        <v>253</v>
      </c>
      <c r="B119" s="6" t="str">
        <f t="shared" si="2"/>
        <v>https://www.tsip.ai/force/ee7f9598-b841-436a-a2e1-a731f901d2a5</v>
      </c>
      <c r="C119" s="20" t="s">
        <v>24</v>
      </c>
      <c r="D119" s="17" t="s">
        <v>254</v>
      </c>
      <c r="E119" s="4">
        <v>45.0</v>
      </c>
      <c r="F119" s="9" t="s">
        <v>16</v>
      </c>
      <c r="G119" s="9" t="s">
        <v>16</v>
      </c>
      <c r="H119" s="9" t="s">
        <v>16</v>
      </c>
      <c r="I119" s="9" t="s">
        <v>16</v>
      </c>
      <c r="J119" s="9" t="s">
        <v>16</v>
      </c>
      <c r="K119" s="22">
        <v>46161.0</v>
      </c>
      <c r="L119" s="4" t="s">
        <v>215</v>
      </c>
      <c r="M119" s="8" t="b">
        <v>1</v>
      </c>
      <c r="T119" s="5"/>
    </row>
    <row r="120" ht="12.75" customHeight="1">
      <c r="A120" s="5" t="s">
        <v>255</v>
      </c>
      <c r="B120" s="6" t="str">
        <f t="shared" si="2"/>
        <v>https://www.tsip.ai/force/f1261b88-1642-4ebe-a2ed-ce1c0918bc52</v>
      </c>
      <c r="C120" s="20" t="s">
        <v>256</v>
      </c>
      <c r="D120" s="15" t="s">
        <v>257</v>
      </c>
      <c r="F120" s="9" t="s">
        <v>16</v>
      </c>
      <c r="G120" s="9" t="s">
        <v>16</v>
      </c>
      <c r="H120" s="9" t="s">
        <v>16</v>
      </c>
      <c r="I120" s="9" t="s">
        <v>16</v>
      </c>
      <c r="J120" s="9" t="s">
        <v>16</v>
      </c>
      <c r="K120" s="22">
        <v>46163.0</v>
      </c>
      <c r="L120" s="4" t="s">
        <v>215</v>
      </c>
      <c r="M120" s="8" t="b">
        <v>1</v>
      </c>
      <c r="T120" s="5"/>
    </row>
    <row r="121">
      <c r="A121" s="5" t="s">
        <v>258</v>
      </c>
      <c r="B121" s="6" t="str">
        <f t="shared" si="2"/>
        <v>https://www.tsip.ai/force/f36a98f3-3d0c-4d52-8cb1-b0d927bf96fb</v>
      </c>
      <c r="C121" s="20" t="s">
        <v>104</v>
      </c>
      <c r="D121" s="15" t="s">
        <v>259</v>
      </c>
      <c r="E121" s="4">
        <v>40.0</v>
      </c>
      <c r="F121" s="9" t="s">
        <v>16</v>
      </c>
      <c r="G121" s="9" t="s">
        <v>16</v>
      </c>
      <c r="H121" s="9" t="s">
        <v>16</v>
      </c>
      <c r="I121" s="9" t="s">
        <v>16</v>
      </c>
      <c r="J121" s="9" t="s">
        <v>16</v>
      </c>
      <c r="K121" s="22">
        <v>46161.0</v>
      </c>
      <c r="L121" s="4" t="s">
        <v>215</v>
      </c>
      <c r="M121" s="8" t="b">
        <v>1</v>
      </c>
      <c r="T121" s="5"/>
    </row>
    <row r="122">
      <c r="A122" s="5" t="s">
        <v>260</v>
      </c>
      <c r="B122" s="6" t="str">
        <f t="shared" si="2"/>
        <v>https://www.tsip.ai/force/f84b70a6-25e7-4a65-a48f-e49f3d11ee68</v>
      </c>
      <c r="C122" s="35" t="s">
        <v>104</v>
      </c>
      <c r="D122" s="15" t="s">
        <v>261</v>
      </c>
      <c r="E122" s="4">
        <v>100.0</v>
      </c>
      <c r="F122" s="9" t="s">
        <v>16</v>
      </c>
      <c r="G122" s="9" t="s">
        <v>16</v>
      </c>
      <c r="H122" s="9" t="s">
        <v>16</v>
      </c>
      <c r="I122" s="9" t="s">
        <v>16</v>
      </c>
      <c r="J122" s="9" t="s">
        <v>16</v>
      </c>
      <c r="K122" s="22">
        <v>46162.0</v>
      </c>
      <c r="L122" s="4" t="s">
        <v>215</v>
      </c>
      <c r="M122" s="8" t="b">
        <v>1</v>
      </c>
      <c r="T122" s="5"/>
    </row>
    <row r="123">
      <c r="A123" s="5" t="s">
        <v>262</v>
      </c>
      <c r="B123" s="6" t="str">
        <f t="shared" si="2"/>
        <v>https://www.tsip.ai/force/f8e1dc28-6729-4054-96f1-e2cf47656818</v>
      </c>
      <c r="C123" s="35" t="s">
        <v>104</v>
      </c>
      <c r="D123" s="15" t="s">
        <v>263</v>
      </c>
      <c r="E123" s="4">
        <v>80.0</v>
      </c>
      <c r="F123" s="9" t="s">
        <v>16</v>
      </c>
      <c r="G123" s="9" t="s">
        <v>16</v>
      </c>
      <c r="H123" s="9" t="s">
        <v>16</v>
      </c>
      <c r="I123" s="9" t="s">
        <v>16</v>
      </c>
      <c r="J123" s="9" t="s">
        <v>16</v>
      </c>
      <c r="K123" s="22">
        <v>46162.0</v>
      </c>
      <c r="L123" s="4" t="s">
        <v>215</v>
      </c>
      <c r="M123" s="8" t="b">
        <v>1</v>
      </c>
      <c r="T123" s="5"/>
    </row>
    <row r="124">
      <c r="A124" s="5" t="s">
        <v>264</v>
      </c>
      <c r="B124" s="6" t="str">
        <f t="shared" si="2"/>
        <v>https://www.tsip.ai/force/096c55fa-de5b-4f3f-95f5-9e9ae584e9c4</v>
      </c>
      <c r="C124" s="20" t="s">
        <v>104</v>
      </c>
      <c r="D124" s="17" t="s">
        <v>265</v>
      </c>
      <c r="E124" s="4">
        <v>50.0</v>
      </c>
      <c r="F124" s="9" t="s">
        <v>16</v>
      </c>
      <c r="G124" s="9" t="s">
        <v>16</v>
      </c>
      <c r="H124" s="9" t="s">
        <v>16</v>
      </c>
      <c r="I124" s="9" t="s">
        <v>16</v>
      </c>
      <c r="J124" s="9" t="s">
        <v>16</v>
      </c>
      <c r="K124" s="22">
        <v>46162.0</v>
      </c>
      <c r="L124" s="4" t="s">
        <v>215</v>
      </c>
      <c r="M124" s="8" t="b">
        <v>1</v>
      </c>
      <c r="T124" s="5"/>
    </row>
    <row r="125">
      <c r="A125" s="5" t="s">
        <v>266</v>
      </c>
      <c r="B125" s="6" t="str">
        <f t="shared" si="2"/>
        <v>https://www.tsip.ai/force/098dfc3f-e094-4da1-af4c-db764ef4b1ba</v>
      </c>
      <c r="C125" s="20" t="s">
        <v>24</v>
      </c>
      <c r="D125" s="17" t="s">
        <v>267</v>
      </c>
      <c r="E125" s="4">
        <v>65.0</v>
      </c>
      <c r="F125" s="9" t="s">
        <v>16</v>
      </c>
      <c r="G125" s="9" t="s">
        <v>16</v>
      </c>
      <c r="H125" s="9" t="s">
        <v>16</v>
      </c>
      <c r="I125" s="9" t="s">
        <v>16</v>
      </c>
      <c r="J125" s="9" t="s">
        <v>16</v>
      </c>
      <c r="K125" s="22">
        <v>46161.0</v>
      </c>
      <c r="L125" s="4" t="s">
        <v>215</v>
      </c>
      <c r="M125" s="8" t="b">
        <v>1</v>
      </c>
      <c r="T125" s="5"/>
    </row>
    <row r="126">
      <c r="A126" s="5" t="s">
        <v>268</v>
      </c>
      <c r="B126" s="6" t="str">
        <f t="shared" si="2"/>
        <v>https://www.tsip.ai/force/0a0d9272-d159-4fb2-9ac5-1aef6629bdf0</v>
      </c>
      <c r="C126" s="20" t="s">
        <v>104</v>
      </c>
      <c r="D126" s="17" t="s">
        <v>269</v>
      </c>
      <c r="E126" s="4">
        <v>75.0</v>
      </c>
      <c r="F126" s="9" t="s">
        <v>16</v>
      </c>
      <c r="G126" s="9" t="s">
        <v>16</v>
      </c>
      <c r="H126" s="9" t="s">
        <v>16</v>
      </c>
      <c r="I126" s="9" t="s">
        <v>16</v>
      </c>
      <c r="J126" s="9" t="s">
        <v>16</v>
      </c>
      <c r="K126" s="22">
        <v>46162.0</v>
      </c>
      <c r="L126" s="4" t="s">
        <v>215</v>
      </c>
      <c r="M126" s="8" t="b">
        <v>1</v>
      </c>
      <c r="T126" s="5"/>
    </row>
    <row r="127">
      <c r="A127" s="5" t="s">
        <v>270</v>
      </c>
      <c r="B127" s="6" t="str">
        <f t="shared" si="2"/>
        <v>https://www.tsip.ai/force/0aa6f18c-2aad-49cc-8813-cb79f92b65ce</v>
      </c>
      <c r="C127" s="20" t="s">
        <v>39</v>
      </c>
      <c r="D127" s="17" t="s">
        <v>271</v>
      </c>
      <c r="E127" s="4">
        <v>60.0</v>
      </c>
      <c r="F127" s="9" t="s">
        <v>16</v>
      </c>
      <c r="G127" s="9" t="s">
        <v>16</v>
      </c>
      <c r="H127" s="9" t="s">
        <v>16</v>
      </c>
      <c r="I127" s="9" t="s">
        <v>16</v>
      </c>
      <c r="J127" s="9" t="s">
        <v>16</v>
      </c>
      <c r="K127" s="21">
        <v>46161.0</v>
      </c>
      <c r="L127" s="4" t="s">
        <v>215</v>
      </c>
      <c r="M127" s="8" t="b">
        <v>1</v>
      </c>
      <c r="T127" s="5"/>
    </row>
    <row r="128">
      <c r="A128" s="5" t="s">
        <v>272</v>
      </c>
      <c r="B128" s="6" t="str">
        <f t="shared" si="2"/>
        <v>https://www.tsip.ai/force/109dbda6-e0bc-4aa0-b0ab-563bca672717</v>
      </c>
      <c r="C128" s="20" t="s">
        <v>104</v>
      </c>
      <c r="D128" s="17" t="s">
        <v>273</v>
      </c>
      <c r="E128" s="4">
        <v>50.0</v>
      </c>
      <c r="F128" s="9" t="s">
        <v>16</v>
      </c>
      <c r="G128" s="9" t="s">
        <v>16</v>
      </c>
      <c r="H128" s="9" t="s">
        <v>16</v>
      </c>
      <c r="I128" s="9" t="s">
        <v>16</v>
      </c>
      <c r="J128" s="9" t="s">
        <v>16</v>
      </c>
      <c r="K128" s="22">
        <v>46161.0</v>
      </c>
      <c r="L128" s="4" t="s">
        <v>215</v>
      </c>
      <c r="M128" s="8" t="b">
        <v>1</v>
      </c>
      <c r="T128" s="5"/>
    </row>
    <row r="129" ht="14.25" customHeight="1">
      <c r="A129" s="5" t="s">
        <v>274</v>
      </c>
      <c r="B129" s="6" t="str">
        <f t="shared" si="2"/>
        <v>https://www.tsip.ai/force/10f93eac-1ebc-438c-8e1b-e4fa66ad59a8</v>
      </c>
      <c r="C129" s="20" t="s">
        <v>256</v>
      </c>
      <c r="D129" s="4" t="s">
        <v>275</v>
      </c>
      <c r="F129" s="9" t="s">
        <v>16</v>
      </c>
      <c r="G129" s="9" t="s">
        <v>16</v>
      </c>
      <c r="H129" s="9" t="s">
        <v>16</v>
      </c>
      <c r="I129" s="9" t="s">
        <v>16</v>
      </c>
      <c r="J129" s="9" t="s">
        <v>16</v>
      </c>
      <c r="K129" s="22">
        <v>46163.0</v>
      </c>
      <c r="L129" s="4" t="s">
        <v>215</v>
      </c>
      <c r="M129" s="8" t="b">
        <v>1</v>
      </c>
      <c r="T129" s="5"/>
    </row>
    <row r="130">
      <c r="A130" s="5" t="s">
        <v>276</v>
      </c>
      <c r="B130" s="6" t="str">
        <f t="shared" si="2"/>
        <v>https://www.tsip.ai/force/384e684c-4c4a-4896-aca6-69f26a91bbc8</v>
      </c>
      <c r="C130" s="20" t="s">
        <v>24</v>
      </c>
      <c r="D130" s="4" t="s">
        <v>277</v>
      </c>
      <c r="E130" s="4">
        <v>80.0</v>
      </c>
      <c r="F130" s="9" t="s">
        <v>16</v>
      </c>
      <c r="G130" s="9" t="s">
        <v>16</v>
      </c>
      <c r="H130" s="9" t="s">
        <v>16</v>
      </c>
      <c r="I130" s="9" t="s">
        <v>16</v>
      </c>
      <c r="J130" s="9" t="s">
        <v>16</v>
      </c>
      <c r="K130" s="22">
        <v>46162.0</v>
      </c>
      <c r="L130" s="4" t="s">
        <v>215</v>
      </c>
      <c r="M130" s="8" t="b">
        <v>1</v>
      </c>
      <c r="T130" s="5"/>
    </row>
    <row r="131">
      <c r="A131" s="5" t="s">
        <v>278</v>
      </c>
      <c r="B131" s="6" t="str">
        <f t="shared" si="2"/>
        <v>https://www.tsip.ai/force/387ea929-63d5-4e73-8b80-49a615d95d8b</v>
      </c>
      <c r="C131" s="20" t="s">
        <v>14</v>
      </c>
      <c r="D131" s="4" t="s">
        <v>279</v>
      </c>
      <c r="E131" s="4">
        <v>70.0</v>
      </c>
      <c r="F131" s="9" t="s">
        <v>16</v>
      </c>
      <c r="G131" s="9" t="s">
        <v>16</v>
      </c>
      <c r="H131" s="9" t="s">
        <v>16</v>
      </c>
      <c r="I131" s="9" t="s">
        <v>16</v>
      </c>
      <c r="J131" s="9" t="s">
        <v>16</v>
      </c>
      <c r="K131" s="22">
        <v>46162.0</v>
      </c>
      <c r="L131" s="4" t="s">
        <v>215</v>
      </c>
      <c r="M131" s="8" t="b">
        <v>1</v>
      </c>
      <c r="T131" s="5"/>
    </row>
    <row r="132">
      <c r="A132" s="5" t="s">
        <v>280</v>
      </c>
      <c r="B132" s="6" t="str">
        <f t="shared" si="2"/>
        <v>https://www.tsip.ai/force/3b0bb60d-bc7b-4918-b6f9-d85356c2b62b</v>
      </c>
      <c r="C132" s="20" t="s">
        <v>36</v>
      </c>
      <c r="F132" s="9" t="s">
        <v>16</v>
      </c>
      <c r="G132" s="9" t="s">
        <v>16</v>
      </c>
      <c r="H132" s="9" t="s">
        <v>16</v>
      </c>
      <c r="I132" s="9" t="s">
        <v>16</v>
      </c>
      <c r="J132" s="9" t="s">
        <v>16</v>
      </c>
      <c r="L132" s="4" t="s">
        <v>215</v>
      </c>
      <c r="M132" s="5" t="b">
        <v>0</v>
      </c>
      <c r="T132" s="5"/>
    </row>
    <row r="133">
      <c r="A133" s="5" t="s">
        <v>281</v>
      </c>
      <c r="B133" s="6" t="str">
        <f t="shared" si="2"/>
        <v>https://www.tsip.ai/force/46bc6902-d885-451a-939f-644a66bdf018</v>
      </c>
      <c r="C133" s="20" t="s">
        <v>24</v>
      </c>
      <c r="D133" s="4" t="s">
        <v>282</v>
      </c>
      <c r="E133" s="4">
        <v>65.0</v>
      </c>
      <c r="F133" s="9" t="s">
        <v>16</v>
      </c>
      <c r="G133" s="9" t="s">
        <v>16</v>
      </c>
      <c r="H133" s="9" t="s">
        <v>16</v>
      </c>
      <c r="I133" s="9" t="s">
        <v>16</v>
      </c>
      <c r="J133" s="9" t="s">
        <v>16</v>
      </c>
      <c r="K133" s="22">
        <v>46162.0</v>
      </c>
      <c r="L133" s="4" t="s">
        <v>215</v>
      </c>
      <c r="M133" s="8" t="b">
        <v>1</v>
      </c>
      <c r="T133" s="5"/>
    </row>
    <row r="134">
      <c r="A134" s="5" t="s">
        <v>283</v>
      </c>
      <c r="B134" s="6" t="str">
        <f t="shared" si="2"/>
        <v>https://www.tsip.ai/force/4992bb3d-3736-404e-904a-27017b8fa94c</v>
      </c>
      <c r="C134" s="20" t="s">
        <v>14</v>
      </c>
      <c r="D134" s="4" t="s">
        <v>284</v>
      </c>
      <c r="E134" s="4">
        <v>70.0</v>
      </c>
      <c r="F134" s="9" t="s">
        <v>16</v>
      </c>
      <c r="G134" s="9" t="s">
        <v>16</v>
      </c>
      <c r="H134" s="9" t="s">
        <v>16</v>
      </c>
      <c r="I134" s="9" t="s">
        <v>16</v>
      </c>
      <c r="J134" s="9" t="s">
        <v>16</v>
      </c>
      <c r="K134" s="22">
        <v>46162.0</v>
      </c>
      <c r="L134" s="4" t="s">
        <v>215</v>
      </c>
      <c r="M134" s="8" t="b">
        <v>1</v>
      </c>
      <c r="T134" s="5"/>
    </row>
    <row r="135">
      <c r="A135" s="5" t="s">
        <v>285</v>
      </c>
      <c r="B135" s="6" t="str">
        <f t="shared" si="2"/>
        <v>https://www.tsip.ai/force/6478da8e-d932-4d43-8649-8762dd1046a9</v>
      </c>
      <c r="C135" s="20" t="s">
        <v>33</v>
      </c>
      <c r="D135" s="4" t="s">
        <v>286</v>
      </c>
      <c r="E135" s="4">
        <v>70.0</v>
      </c>
      <c r="F135" s="9" t="s">
        <v>16</v>
      </c>
      <c r="G135" s="9" t="s">
        <v>16</v>
      </c>
      <c r="H135" s="9" t="s">
        <v>16</v>
      </c>
      <c r="I135" s="9" t="s">
        <v>16</v>
      </c>
      <c r="J135" s="9" t="s">
        <v>16</v>
      </c>
      <c r="K135" s="22">
        <v>46162.0</v>
      </c>
      <c r="L135" s="4" t="s">
        <v>215</v>
      </c>
      <c r="M135" s="8" t="b">
        <v>1</v>
      </c>
      <c r="T135" s="5"/>
    </row>
    <row r="136">
      <c r="A136" s="5" t="s">
        <v>287</v>
      </c>
      <c r="B136" s="6" t="str">
        <f t="shared" si="2"/>
        <v>https://www.tsip.ai/force/66615b1b-9151-44c6-a13c-5c4ec2e847de</v>
      </c>
      <c r="C136" s="20" t="s">
        <v>33</v>
      </c>
      <c r="D136" s="4" t="s">
        <v>288</v>
      </c>
      <c r="E136" s="4">
        <v>60.0</v>
      </c>
      <c r="F136" s="9" t="s">
        <v>16</v>
      </c>
      <c r="G136" s="9" t="s">
        <v>16</v>
      </c>
      <c r="H136" s="9" t="s">
        <v>16</v>
      </c>
      <c r="I136" s="9" t="s">
        <v>16</v>
      </c>
      <c r="J136" s="9" t="s">
        <v>16</v>
      </c>
      <c r="K136" s="22">
        <v>46162.0</v>
      </c>
      <c r="L136" s="4" t="s">
        <v>215</v>
      </c>
      <c r="M136" s="8" t="b">
        <v>1</v>
      </c>
      <c r="T136" s="5"/>
    </row>
    <row r="137">
      <c r="A137" s="5" t="s">
        <v>289</v>
      </c>
      <c r="B137" s="6" t="str">
        <f t="shared" si="2"/>
        <v>https://www.tsip.ai/force/6addf781-b3f6-4677-8ad5-7684c6c5e7e8</v>
      </c>
      <c r="C137" s="20" t="s">
        <v>39</v>
      </c>
      <c r="D137" s="4" t="s">
        <v>290</v>
      </c>
      <c r="E137" s="4">
        <v>65.0</v>
      </c>
      <c r="F137" s="9" t="s">
        <v>16</v>
      </c>
      <c r="G137" s="9" t="s">
        <v>16</v>
      </c>
      <c r="H137" s="9" t="s">
        <v>16</v>
      </c>
      <c r="I137" s="9" t="s">
        <v>16</v>
      </c>
      <c r="J137" s="9" t="s">
        <v>16</v>
      </c>
      <c r="K137" s="22">
        <v>46162.0</v>
      </c>
      <c r="L137" s="4" t="s">
        <v>215</v>
      </c>
      <c r="M137" s="8" t="b">
        <v>1</v>
      </c>
      <c r="T137" s="5"/>
    </row>
    <row r="138">
      <c r="A138" s="5" t="s">
        <v>291</v>
      </c>
      <c r="B138" s="6" t="str">
        <f t="shared" si="2"/>
        <v>https://www.tsip.ai/force/77b3736e-2f56-4adf-b43b-73ff9c6b89d8</v>
      </c>
      <c r="C138" s="20" t="s">
        <v>39</v>
      </c>
      <c r="D138" s="4" t="s">
        <v>292</v>
      </c>
      <c r="E138" s="4">
        <v>50.0</v>
      </c>
      <c r="F138" s="9" t="s">
        <v>16</v>
      </c>
      <c r="G138" s="9" t="s">
        <v>16</v>
      </c>
      <c r="H138" s="9" t="s">
        <v>16</v>
      </c>
      <c r="I138" s="9" t="s">
        <v>16</v>
      </c>
      <c r="J138" s="9" t="s">
        <v>16</v>
      </c>
      <c r="K138" s="22">
        <v>46162.0</v>
      </c>
      <c r="L138" s="4" t="s">
        <v>215</v>
      </c>
      <c r="M138" s="8" t="b">
        <v>1</v>
      </c>
      <c r="T138" s="5"/>
    </row>
    <row r="139">
      <c r="A139" s="4" t="s">
        <v>293</v>
      </c>
      <c r="B139" s="6" t="str">
        <f t="shared" si="2"/>
        <v>https://www.tsip.ai/force/4ad76103-3373-4ad2-8368-e8bec79f91b7</v>
      </c>
      <c r="C139" s="20" t="s">
        <v>24</v>
      </c>
      <c r="D139" s="4" t="s">
        <v>294</v>
      </c>
      <c r="E139" s="4">
        <v>70.0</v>
      </c>
      <c r="F139" s="9" t="s">
        <v>16</v>
      </c>
      <c r="G139" s="9" t="s">
        <v>16</v>
      </c>
      <c r="H139" s="9" t="s">
        <v>16</v>
      </c>
      <c r="I139" s="9" t="s">
        <v>16</v>
      </c>
      <c r="J139" s="9" t="s">
        <v>16</v>
      </c>
      <c r="K139" s="22">
        <v>46162.0</v>
      </c>
      <c r="L139" s="4" t="s">
        <v>215</v>
      </c>
      <c r="M139" s="8" t="b">
        <v>1</v>
      </c>
      <c r="T139" s="5"/>
    </row>
    <row r="140">
      <c r="A140" s="5" t="s">
        <v>295</v>
      </c>
      <c r="B140" s="6" t="str">
        <f t="shared" si="2"/>
        <v>https://www.tsip.ai/force/6c47ad05-d883-4622-8508-6519139c38a1</v>
      </c>
      <c r="C140" s="20" t="s">
        <v>256</v>
      </c>
      <c r="D140" s="4" t="s">
        <v>296</v>
      </c>
      <c r="F140" s="9" t="s">
        <v>16</v>
      </c>
      <c r="G140" s="9" t="s">
        <v>16</v>
      </c>
      <c r="H140" s="9" t="s">
        <v>16</v>
      </c>
      <c r="I140" s="9" t="s">
        <v>16</v>
      </c>
      <c r="J140" s="9" t="s">
        <v>16</v>
      </c>
      <c r="L140" s="4" t="s">
        <v>215</v>
      </c>
      <c r="M140" s="5" t="b">
        <v>0</v>
      </c>
      <c r="T140" s="5"/>
    </row>
    <row r="141">
      <c r="A141" s="5" t="s">
        <v>297</v>
      </c>
      <c r="B141" s="6" t="str">
        <f t="shared" si="2"/>
        <v>https://www.tsip.ai/force/6d07c888-8d6e-4da7-8fa7-c94c0afdd82e</v>
      </c>
      <c r="C141" s="20" t="s">
        <v>256</v>
      </c>
      <c r="D141" s="4" t="s">
        <v>298</v>
      </c>
      <c r="F141" s="9" t="s">
        <v>16</v>
      </c>
      <c r="G141" s="9" t="s">
        <v>16</v>
      </c>
      <c r="H141" s="9" t="s">
        <v>16</v>
      </c>
      <c r="I141" s="9" t="s">
        <v>16</v>
      </c>
      <c r="J141" s="9" t="s">
        <v>16</v>
      </c>
      <c r="K141" s="22">
        <v>46163.0</v>
      </c>
      <c r="L141" s="4" t="s">
        <v>215</v>
      </c>
      <c r="M141" s="8" t="b">
        <v>1</v>
      </c>
      <c r="T141" s="5"/>
    </row>
    <row r="142">
      <c r="A142" s="5" t="s">
        <v>299</v>
      </c>
      <c r="B142" s="6" t="str">
        <f t="shared" si="2"/>
        <v>https://www.tsip.ai/force/6d1d736f-fddb-4cdf-8be8-632cf1472d40</v>
      </c>
      <c r="C142" s="20" t="s">
        <v>46</v>
      </c>
      <c r="F142" s="9" t="s">
        <v>16</v>
      </c>
      <c r="G142" s="9" t="s">
        <v>16</v>
      </c>
      <c r="H142" s="9" t="s">
        <v>16</v>
      </c>
      <c r="I142" s="9" t="s">
        <v>16</v>
      </c>
      <c r="J142" s="9" t="s">
        <v>16</v>
      </c>
      <c r="L142" s="4" t="s">
        <v>215</v>
      </c>
      <c r="M142" s="5" t="b">
        <v>0</v>
      </c>
      <c r="T142" s="5"/>
    </row>
    <row r="143">
      <c r="A143" s="5" t="s">
        <v>300</v>
      </c>
      <c r="B143" s="6" t="str">
        <f t="shared" si="2"/>
        <v>https://www.tsip.ai/force/557741d2-e259-4f32-83a8-9cb4eda8060a</v>
      </c>
      <c r="C143" s="20" t="s">
        <v>39</v>
      </c>
      <c r="D143" s="4" t="s">
        <v>301</v>
      </c>
      <c r="E143" s="4">
        <v>60.0</v>
      </c>
      <c r="F143" s="9" t="s">
        <v>16</v>
      </c>
      <c r="G143" s="9" t="s">
        <v>16</v>
      </c>
      <c r="H143" s="9" t="s">
        <v>16</v>
      </c>
      <c r="I143" s="9" t="s">
        <v>16</v>
      </c>
      <c r="J143" s="9" t="s">
        <v>16</v>
      </c>
      <c r="K143" s="22">
        <v>46163.0</v>
      </c>
      <c r="L143" s="4" t="s">
        <v>215</v>
      </c>
      <c r="M143" s="8" t="b">
        <v>1</v>
      </c>
      <c r="T143" s="5"/>
    </row>
    <row r="144">
      <c r="A144" s="5" t="s">
        <v>302</v>
      </c>
      <c r="B144" s="6" t="str">
        <f t="shared" si="2"/>
        <v>https://www.tsip.ai/force/62fae144-7fa0-478a-8105-eef4dcd9be45</v>
      </c>
      <c r="C144" s="20" t="s">
        <v>33</v>
      </c>
      <c r="D144" s="4" t="s">
        <v>303</v>
      </c>
      <c r="E144" s="4">
        <v>60.0</v>
      </c>
      <c r="F144" s="9" t="s">
        <v>16</v>
      </c>
      <c r="G144" s="9" t="s">
        <v>16</v>
      </c>
      <c r="H144" s="9" t="s">
        <v>16</v>
      </c>
      <c r="I144" s="9" t="s">
        <v>16</v>
      </c>
      <c r="J144" s="9" t="s">
        <v>16</v>
      </c>
      <c r="K144" s="22">
        <v>46163.0</v>
      </c>
      <c r="L144" s="4" t="s">
        <v>215</v>
      </c>
      <c r="M144" s="8" t="b">
        <v>1</v>
      </c>
      <c r="T144" s="5"/>
    </row>
    <row r="145">
      <c r="A145" s="5" t="s">
        <v>304</v>
      </c>
      <c r="B145" s="6" t="str">
        <f t="shared" si="2"/>
        <v>https://www.tsip.ai/force/67da163a-7890-4ad3-ac9d-9643acb3a94f</v>
      </c>
      <c r="C145" s="20" t="s">
        <v>33</v>
      </c>
      <c r="D145" s="4" t="s">
        <v>303</v>
      </c>
      <c r="E145" s="4">
        <v>55.0</v>
      </c>
      <c r="F145" s="9" t="s">
        <v>16</v>
      </c>
      <c r="G145" s="9" t="s">
        <v>16</v>
      </c>
      <c r="H145" s="9" t="s">
        <v>16</v>
      </c>
      <c r="I145" s="9" t="s">
        <v>16</v>
      </c>
      <c r="J145" s="9" t="s">
        <v>16</v>
      </c>
      <c r="K145" s="22">
        <v>46163.0</v>
      </c>
      <c r="L145" s="4" t="s">
        <v>215</v>
      </c>
      <c r="M145" s="8" t="b">
        <v>1</v>
      </c>
      <c r="T145" s="5"/>
    </row>
    <row r="146">
      <c r="A146" s="5" t="s">
        <v>305</v>
      </c>
      <c r="B146" s="6" t="str">
        <f t="shared" si="2"/>
        <v>https://www.tsip.ai/force/69315d36-743e-4270-8ade-359416a4b5d0</v>
      </c>
      <c r="C146" s="20" t="s">
        <v>39</v>
      </c>
      <c r="D146" s="4" t="s">
        <v>306</v>
      </c>
      <c r="E146" s="4">
        <v>60.0</v>
      </c>
      <c r="F146" s="9" t="s">
        <v>16</v>
      </c>
      <c r="G146" s="9" t="s">
        <v>16</v>
      </c>
      <c r="H146" s="9" t="s">
        <v>16</v>
      </c>
      <c r="I146" s="9" t="s">
        <v>16</v>
      </c>
      <c r="J146" s="9" t="s">
        <v>16</v>
      </c>
      <c r="K146" s="22">
        <v>46163.0</v>
      </c>
      <c r="L146" s="4" t="s">
        <v>215</v>
      </c>
      <c r="M146" s="8" t="b">
        <v>1</v>
      </c>
      <c r="T146" s="5"/>
    </row>
    <row r="147">
      <c r="A147" s="5" t="s">
        <v>307</v>
      </c>
      <c r="B147" s="6" t="str">
        <f t="shared" si="2"/>
        <v>https://www.tsip.ai/force/3c740849-f6a8-4a9e-8cf6-6eb0309c1fd3</v>
      </c>
      <c r="C147" s="20" t="s">
        <v>24</v>
      </c>
      <c r="D147" s="4" t="s">
        <v>308</v>
      </c>
      <c r="E147" s="4">
        <v>60.0</v>
      </c>
      <c r="F147" s="9" t="s">
        <v>16</v>
      </c>
      <c r="G147" s="9" t="s">
        <v>16</v>
      </c>
      <c r="H147" s="9" t="s">
        <v>16</v>
      </c>
      <c r="I147" s="9" t="s">
        <v>16</v>
      </c>
      <c r="J147" s="9" t="s">
        <v>16</v>
      </c>
      <c r="K147" s="22">
        <v>46163.0</v>
      </c>
      <c r="L147" s="4" t="s">
        <v>215</v>
      </c>
      <c r="M147" s="8" t="b">
        <v>1</v>
      </c>
      <c r="T147" s="5"/>
    </row>
    <row r="148">
      <c r="A148" s="5"/>
      <c r="C148" s="36"/>
      <c r="T148" s="5"/>
    </row>
    <row r="149">
      <c r="A149" s="5"/>
      <c r="C149" s="36"/>
      <c r="T149" s="5"/>
    </row>
    <row r="150">
      <c r="A150" s="5"/>
      <c r="C150" s="36"/>
      <c r="T150" s="5"/>
    </row>
    <row r="151">
      <c r="A151" s="5"/>
      <c r="C151" s="36"/>
      <c r="T151" s="5"/>
    </row>
    <row r="152">
      <c r="A152" s="5"/>
      <c r="C152" s="36"/>
      <c r="T152" s="5"/>
    </row>
    <row r="153">
      <c r="A153" s="5"/>
      <c r="C153" s="36"/>
      <c r="T153" s="5"/>
    </row>
    <row r="154">
      <c r="A154" s="5"/>
      <c r="C154" s="36"/>
      <c r="T154" s="5"/>
    </row>
    <row r="155">
      <c r="A155" s="5"/>
      <c r="C155" s="36"/>
      <c r="T155" s="5"/>
    </row>
    <row r="156">
      <c r="A156" s="5"/>
      <c r="C156" s="36"/>
      <c r="T156" s="5"/>
    </row>
    <row r="157">
      <c r="A157" s="5"/>
      <c r="C157" s="36"/>
      <c r="T157" s="5"/>
    </row>
    <row r="158">
      <c r="A158" s="5"/>
      <c r="C158" s="36"/>
      <c r="T158" s="5"/>
    </row>
    <row r="159">
      <c r="A159" s="5"/>
      <c r="C159" s="36"/>
      <c r="T159" s="5"/>
    </row>
    <row r="160">
      <c r="A160" s="5"/>
      <c r="C160" s="36"/>
      <c r="T160" s="5"/>
    </row>
    <row r="161">
      <c r="A161" s="5"/>
      <c r="C161" s="36"/>
      <c r="T161" s="5"/>
    </row>
    <row r="162">
      <c r="A162" s="5"/>
      <c r="C162" s="36"/>
      <c r="T162" s="5"/>
    </row>
    <row r="163">
      <c r="A163" s="5"/>
      <c r="C163" s="36"/>
      <c r="T163" s="5"/>
    </row>
    <row r="164">
      <c r="A164" s="5"/>
      <c r="C164" s="36"/>
      <c r="T164" s="5"/>
    </row>
    <row r="165">
      <c r="A165" s="5"/>
      <c r="C165" s="36"/>
      <c r="T165" s="5"/>
    </row>
    <row r="166">
      <c r="A166" s="5"/>
      <c r="C166" s="36"/>
      <c r="T166" s="5"/>
    </row>
    <row r="167">
      <c r="A167" s="5"/>
      <c r="C167" s="36"/>
      <c r="T167" s="5"/>
    </row>
    <row r="168">
      <c r="A168" s="5"/>
      <c r="C168" s="36"/>
      <c r="T168" s="5"/>
    </row>
    <row r="169">
      <c r="A169" s="5"/>
      <c r="C169" s="36"/>
      <c r="T169" s="5"/>
    </row>
    <row r="170">
      <c r="A170" s="5"/>
      <c r="C170" s="36"/>
      <c r="T170" s="5"/>
    </row>
    <row r="171">
      <c r="A171" s="5"/>
      <c r="C171" s="36"/>
      <c r="T171" s="5"/>
    </row>
    <row r="172">
      <c r="A172" s="5"/>
      <c r="C172" s="36"/>
      <c r="T172" s="5"/>
    </row>
    <row r="173">
      <c r="A173" s="5"/>
      <c r="C173" s="36"/>
      <c r="T173" s="5"/>
    </row>
    <row r="174">
      <c r="A174" s="5"/>
      <c r="C174" s="36"/>
      <c r="T174" s="5"/>
    </row>
    <row r="175">
      <c r="A175" s="5"/>
      <c r="C175" s="36"/>
      <c r="T175" s="5"/>
    </row>
    <row r="176">
      <c r="A176" s="5"/>
      <c r="C176" s="36"/>
      <c r="T176" s="5"/>
    </row>
    <row r="177">
      <c r="A177" s="5"/>
      <c r="C177" s="36"/>
      <c r="T177" s="5"/>
    </row>
    <row r="178">
      <c r="A178" s="5"/>
      <c r="C178" s="36"/>
      <c r="T178" s="5"/>
    </row>
    <row r="179">
      <c r="A179" s="5"/>
      <c r="C179" s="36"/>
      <c r="T179" s="5"/>
    </row>
    <row r="180">
      <c r="A180" s="5"/>
      <c r="C180" s="36"/>
      <c r="T180" s="5"/>
    </row>
    <row r="181">
      <c r="A181" s="5"/>
      <c r="C181" s="36"/>
      <c r="T181" s="5"/>
    </row>
    <row r="182">
      <c r="A182" s="5"/>
      <c r="C182" s="36"/>
      <c r="T182" s="5"/>
    </row>
    <row r="183">
      <c r="A183" s="5"/>
      <c r="C183" s="36"/>
      <c r="T183" s="5"/>
    </row>
    <row r="184">
      <c r="A184" s="5"/>
      <c r="C184" s="36"/>
      <c r="T184" s="5"/>
    </row>
    <row r="185">
      <c r="A185" s="5"/>
      <c r="C185" s="36"/>
      <c r="T185" s="5"/>
    </row>
    <row r="186">
      <c r="A186" s="5"/>
      <c r="C186" s="36"/>
      <c r="T186" s="5"/>
    </row>
    <row r="187">
      <c r="A187" s="5"/>
      <c r="C187" s="36"/>
      <c r="T187" s="5"/>
    </row>
    <row r="188">
      <c r="A188" s="5"/>
      <c r="C188" s="36"/>
      <c r="T188" s="5"/>
    </row>
    <row r="189">
      <c r="A189" s="5"/>
      <c r="C189" s="36"/>
      <c r="T189" s="5"/>
    </row>
    <row r="190">
      <c r="A190" s="5"/>
      <c r="C190" s="36"/>
      <c r="T190" s="5"/>
    </row>
    <row r="191">
      <c r="A191" s="5"/>
      <c r="C191" s="36"/>
      <c r="T191" s="5"/>
    </row>
    <row r="192">
      <c r="A192" s="5"/>
      <c r="C192" s="36"/>
      <c r="T192" s="5"/>
    </row>
    <row r="193">
      <c r="A193" s="5"/>
      <c r="C193" s="36"/>
      <c r="T193" s="5"/>
    </row>
    <row r="194">
      <c r="A194" s="5"/>
      <c r="C194" s="36"/>
      <c r="T194" s="5"/>
    </row>
    <row r="195">
      <c r="A195" s="5"/>
      <c r="C195" s="36"/>
      <c r="T195" s="5"/>
    </row>
    <row r="196">
      <c r="A196" s="5"/>
      <c r="C196" s="36"/>
      <c r="T196" s="5"/>
    </row>
    <row r="197">
      <c r="A197" s="5"/>
      <c r="C197" s="36"/>
      <c r="T197" s="5"/>
    </row>
    <row r="198">
      <c r="A198" s="5"/>
      <c r="C198" s="36"/>
      <c r="T198" s="5"/>
    </row>
    <row r="199">
      <c r="A199" s="5"/>
      <c r="C199" s="36"/>
      <c r="T199" s="5"/>
    </row>
    <row r="200">
      <c r="A200" s="5"/>
      <c r="C200" s="36"/>
      <c r="T200" s="5"/>
    </row>
    <row r="201">
      <c r="A201" s="5"/>
      <c r="C201" s="36"/>
      <c r="T201" s="5"/>
    </row>
    <row r="202">
      <c r="A202" s="5"/>
      <c r="C202" s="36"/>
      <c r="T202" s="5"/>
    </row>
    <row r="203">
      <c r="C203" s="36"/>
      <c r="T203" s="5"/>
    </row>
    <row r="204">
      <c r="C204" s="36"/>
      <c r="T204" s="5"/>
    </row>
    <row r="205">
      <c r="C205" s="36"/>
      <c r="T205" s="5"/>
    </row>
    <row r="206">
      <c r="C206" s="36"/>
      <c r="T206" s="5"/>
    </row>
    <row r="207">
      <c r="C207" s="36"/>
      <c r="T207" s="5"/>
    </row>
    <row r="208">
      <c r="C208" s="36"/>
      <c r="T208" s="5"/>
    </row>
    <row r="209">
      <c r="C209" s="36"/>
      <c r="T209" s="5"/>
    </row>
    <row r="210">
      <c r="C210" s="36"/>
      <c r="T210" s="5"/>
    </row>
    <row r="211">
      <c r="C211" s="36"/>
      <c r="T211" s="5"/>
    </row>
    <row r="212">
      <c r="C212" s="36"/>
      <c r="T212" s="5"/>
    </row>
    <row r="213">
      <c r="C213" s="36"/>
      <c r="T213" s="5"/>
    </row>
    <row r="214">
      <c r="C214" s="36"/>
      <c r="T214" s="5"/>
    </row>
    <row r="215">
      <c r="C215" s="36"/>
      <c r="T215" s="5"/>
    </row>
    <row r="216">
      <c r="C216" s="36"/>
      <c r="T216" s="5"/>
    </row>
    <row r="217">
      <c r="C217" s="36"/>
      <c r="T217" s="5"/>
    </row>
    <row r="218">
      <c r="C218" s="36"/>
      <c r="T218" s="5"/>
    </row>
    <row r="219">
      <c r="C219" s="36"/>
      <c r="T219" s="5"/>
    </row>
    <row r="220">
      <c r="C220" s="36"/>
      <c r="T220" s="5"/>
    </row>
    <row r="221">
      <c r="C221" s="36"/>
      <c r="T221" s="5"/>
    </row>
    <row r="222">
      <c r="C222" s="36"/>
      <c r="T222" s="5"/>
    </row>
    <row r="223">
      <c r="C223" s="36"/>
      <c r="T223" s="5"/>
    </row>
    <row r="224">
      <c r="C224" s="36"/>
      <c r="T224" s="5"/>
    </row>
    <row r="225">
      <c r="C225" s="36"/>
      <c r="T225" s="5"/>
    </row>
    <row r="226">
      <c r="C226" s="36"/>
      <c r="T226" s="5"/>
    </row>
    <row r="227">
      <c r="C227" s="36"/>
      <c r="T227" s="5"/>
    </row>
    <row r="228">
      <c r="C228" s="36"/>
      <c r="T228" s="5"/>
    </row>
    <row r="229">
      <c r="C229" s="36"/>
      <c r="T229" s="5"/>
    </row>
    <row r="230">
      <c r="C230" s="36"/>
      <c r="T230" s="5"/>
    </row>
    <row r="231">
      <c r="C231" s="36"/>
      <c r="T231" s="5"/>
    </row>
    <row r="232">
      <c r="C232" s="36"/>
      <c r="T232" s="5"/>
    </row>
    <row r="233">
      <c r="C233" s="36"/>
      <c r="T233" s="5"/>
    </row>
    <row r="234">
      <c r="C234" s="36"/>
      <c r="T234" s="5"/>
    </row>
    <row r="235">
      <c r="C235" s="36"/>
      <c r="T235" s="5"/>
    </row>
    <row r="236">
      <c r="C236" s="36"/>
      <c r="T236" s="5"/>
    </row>
    <row r="237">
      <c r="C237" s="36"/>
      <c r="T237" s="5"/>
    </row>
    <row r="238">
      <c r="C238" s="36"/>
      <c r="T238" s="5"/>
    </row>
    <row r="239">
      <c r="C239" s="36"/>
      <c r="T239" s="5"/>
    </row>
    <row r="240">
      <c r="C240" s="36"/>
      <c r="T240" s="5"/>
    </row>
    <row r="241">
      <c r="C241" s="36"/>
      <c r="T241" s="5"/>
    </row>
    <row r="242">
      <c r="C242" s="36"/>
      <c r="T242" s="5"/>
    </row>
    <row r="243">
      <c r="C243" s="36"/>
      <c r="T243" s="5"/>
    </row>
    <row r="244">
      <c r="C244" s="36"/>
      <c r="T244" s="5"/>
    </row>
    <row r="245">
      <c r="C245" s="36"/>
      <c r="T245" s="5"/>
    </row>
    <row r="246">
      <c r="C246" s="36"/>
      <c r="T246" s="5"/>
    </row>
    <row r="247">
      <c r="C247" s="36"/>
      <c r="T247" s="5"/>
    </row>
    <row r="248">
      <c r="C248" s="36"/>
      <c r="T248" s="5"/>
    </row>
    <row r="249">
      <c r="C249" s="36"/>
      <c r="T249" s="5"/>
    </row>
    <row r="250">
      <c r="C250" s="36"/>
      <c r="T250" s="5"/>
    </row>
    <row r="251">
      <c r="C251" s="36"/>
      <c r="T251" s="5"/>
    </row>
    <row r="252">
      <c r="C252" s="36"/>
      <c r="T252" s="5"/>
    </row>
    <row r="253">
      <c r="C253" s="36"/>
      <c r="T253" s="5"/>
    </row>
    <row r="254">
      <c r="C254" s="36"/>
      <c r="T254" s="5"/>
    </row>
    <row r="255">
      <c r="C255" s="36"/>
      <c r="T255" s="5"/>
    </row>
    <row r="256">
      <c r="C256" s="36"/>
      <c r="T256" s="5"/>
    </row>
    <row r="257">
      <c r="C257" s="36"/>
      <c r="T257" s="5"/>
    </row>
    <row r="258">
      <c r="C258" s="36"/>
      <c r="T258" s="5"/>
    </row>
    <row r="259">
      <c r="C259" s="36"/>
      <c r="T259" s="5"/>
    </row>
    <row r="260">
      <c r="C260" s="36"/>
      <c r="T260" s="5"/>
    </row>
    <row r="261">
      <c r="C261" s="36"/>
      <c r="T261" s="5"/>
    </row>
    <row r="262">
      <c r="C262" s="36"/>
      <c r="T262" s="5"/>
    </row>
    <row r="263">
      <c r="C263" s="36"/>
      <c r="T263" s="5"/>
    </row>
    <row r="264">
      <c r="C264" s="36"/>
      <c r="T264" s="5"/>
    </row>
    <row r="265">
      <c r="C265" s="36"/>
      <c r="T265" s="5"/>
    </row>
    <row r="266">
      <c r="C266" s="36"/>
      <c r="T266" s="5"/>
    </row>
    <row r="267">
      <c r="C267" s="36"/>
      <c r="T267" s="5"/>
    </row>
    <row r="268">
      <c r="C268" s="36"/>
      <c r="T268" s="5"/>
    </row>
    <row r="269">
      <c r="C269" s="36"/>
      <c r="T269" s="5"/>
    </row>
    <row r="270">
      <c r="C270" s="36"/>
      <c r="T270" s="5"/>
    </row>
    <row r="271">
      <c r="C271" s="36"/>
      <c r="T271" s="5"/>
    </row>
    <row r="272">
      <c r="C272" s="36"/>
      <c r="T272" s="5"/>
    </row>
    <row r="273">
      <c r="C273" s="36"/>
      <c r="T273" s="5"/>
    </row>
    <row r="274">
      <c r="C274" s="36"/>
      <c r="T274" s="5"/>
    </row>
    <row r="275">
      <c r="C275" s="36"/>
      <c r="T275" s="5"/>
    </row>
    <row r="276">
      <c r="C276" s="36"/>
      <c r="T276" s="5"/>
    </row>
    <row r="277">
      <c r="C277" s="36"/>
      <c r="T277" s="5"/>
    </row>
    <row r="278">
      <c r="C278" s="36"/>
      <c r="T278" s="5"/>
    </row>
    <row r="279">
      <c r="C279" s="36"/>
      <c r="T279" s="5"/>
    </row>
    <row r="280">
      <c r="C280" s="36"/>
      <c r="T280" s="5"/>
    </row>
    <row r="281">
      <c r="C281" s="36"/>
      <c r="T281" s="5"/>
    </row>
    <row r="282">
      <c r="C282" s="36"/>
      <c r="T282" s="5"/>
    </row>
    <row r="283">
      <c r="C283" s="36"/>
      <c r="T283" s="5"/>
    </row>
    <row r="284">
      <c r="C284" s="36"/>
      <c r="T284" s="5"/>
    </row>
    <row r="285">
      <c r="C285" s="36"/>
      <c r="T285" s="5"/>
    </row>
    <row r="286">
      <c r="C286" s="36"/>
      <c r="T286" s="5"/>
    </row>
    <row r="287">
      <c r="C287" s="36"/>
      <c r="T287" s="5"/>
    </row>
    <row r="288">
      <c r="C288" s="36"/>
      <c r="T288" s="5"/>
    </row>
    <row r="289">
      <c r="C289" s="36"/>
      <c r="T289" s="5"/>
    </row>
    <row r="290">
      <c r="C290" s="36"/>
      <c r="T290" s="5"/>
    </row>
    <row r="291">
      <c r="C291" s="36"/>
      <c r="T291" s="5"/>
    </row>
    <row r="292">
      <c r="C292" s="36"/>
      <c r="T292" s="5"/>
    </row>
    <row r="293">
      <c r="C293" s="36"/>
      <c r="T293" s="5"/>
    </row>
    <row r="294">
      <c r="C294" s="36"/>
      <c r="T294" s="5"/>
    </row>
    <row r="295">
      <c r="C295" s="36"/>
      <c r="T295" s="5"/>
    </row>
    <row r="296">
      <c r="C296" s="36"/>
      <c r="T296" s="5"/>
    </row>
    <row r="297">
      <c r="C297" s="36"/>
      <c r="T297" s="5"/>
    </row>
    <row r="298">
      <c r="C298" s="36"/>
      <c r="T298" s="5"/>
    </row>
    <row r="299">
      <c r="C299" s="36"/>
      <c r="T299" s="5"/>
    </row>
    <row r="300">
      <c r="C300" s="36"/>
      <c r="T300" s="5"/>
    </row>
    <row r="301">
      <c r="C301" s="36"/>
      <c r="T301" s="5"/>
    </row>
    <row r="302">
      <c r="C302" s="36"/>
      <c r="T302" s="5"/>
    </row>
    <row r="303">
      <c r="C303" s="36"/>
      <c r="T303" s="5"/>
    </row>
    <row r="304">
      <c r="C304" s="36"/>
      <c r="T304" s="5"/>
    </row>
    <row r="305">
      <c r="C305" s="36"/>
      <c r="T305" s="5"/>
    </row>
    <row r="306">
      <c r="C306" s="36"/>
      <c r="T306" s="5"/>
    </row>
    <row r="307">
      <c r="C307" s="36"/>
      <c r="T307" s="5"/>
    </row>
    <row r="308">
      <c r="C308" s="36"/>
      <c r="T308" s="5"/>
    </row>
    <row r="309">
      <c r="C309" s="36"/>
      <c r="T309" s="5"/>
    </row>
    <row r="310">
      <c r="C310" s="36"/>
      <c r="T310" s="5"/>
    </row>
    <row r="311">
      <c r="C311" s="36"/>
      <c r="T311" s="5"/>
    </row>
    <row r="312">
      <c r="C312" s="36"/>
      <c r="T312" s="5"/>
    </row>
    <row r="313">
      <c r="C313" s="36"/>
      <c r="T313" s="5"/>
    </row>
    <row r="314">
      <c r="C314" s="36"/>
      <c r="T314" s="5"/>
    </row>
    <row r="315">
      <c r="C315" s="36"/>
      <c r="T315" s="5"/>
    </row>
    <row r="316">
      <c r="C316" s="36"/>
      <c r="T316" s="5"/>
    </row>
    <row r="317">
      <c r="C317" s="36"/>
      <c r="T317" s="5"/>
    </row>
    <row r="318">
      <c r="C318" s="36"/>
      <c r="T318" s="5"/>
    </row>
    <row r="319">
      <c r="C319" s="36"/>
      <c r="T319" s="5"/>
    </row>
    <row r="320">
      <c r="C320" s="36"/>
      <c r="T320" s="5"/>
    </row>
    <row r="321">
      <c r="C321" s="36"/>
      <c r="T321" s="5"/>
    </row>
    <row r="322">
      <c r="C322" s="36"/>
      <c r="T322" s="5"/>
    </row>
    <row r="323">
      <c r="C323" s="36"/>
      <c r="T323" s="5"/>
    </row>
    <row r="324">
      <c r="C324" s="36"/>
      <c r="T324" s="5"/>
    </row>
    <row r="325">
      <c r="C325" s="36"/>
      <c r="T325" s="5"/>
    </row>
    <row r="326">
      <c r="C326" s="36"/>
      <c r="T326" s="5"/>
    </row>
    <row r="327">
      <c r="C327" s="36"/>
      <c r="T327" s="5"/>
    </row>
    <row r="328">
      <c r="C328" s="36"/>
      <c r="T328" s="5"/>
    </row>
    <row r="329">
      <c r="C329" s="36"/>
      <c r="T329" s="5"/>
    </row>
    <row r="330">
      <c r="C330" s="36"/>
      <c r="T330" s="5"/>
    </row>
    <row r="331">
      <c r="C331" s="36"/>
      <c r="T331" s="5"/>
    </row>
    <row r="332">
      <c r="C332" s="36"/>
      <c r="T332" s="5"/>
    </row>
    <row r="333">
      <c r="C333" s="36"/>
      <c r="T333" s="5"/>
    </row>
    <row r="334">
      <c r="C334" s="36"/>
      <c r="T334" s="5"/>
    </row>
    <row r="335">
      <c r="C335" s="36"/>
      <c r="T335" s="5"/>
    </row>
    <row r="336">
      <c r="C336" s="36"/>
      <c r="T336" s="5"/>
    </row>
    <row r="337">
      <c r="C337" s="36"/>
      <c r="T337" s="5"/>
    </row>
    <row r="338">
      <c r="C338" s="36"/>
      <c r="T338" s="5"/>
    </row>
    <row r="339">
      <c r="C339" s="36"/>
      <c r="T339" s="5"/>
    </row>
    <row r="340">
      <c r="C340" s="36"/>
      <c r="T340" s="5"/>
    </row>
    <row r="341">
      <c r="C341" s="36"/>
      <c r="T341" s="5"/>
    </row>
    <row r="342">
      <c r="C342" s="36"/>
      <c r="T342" s="5"/>
    </row>
    <row r="343">
      <c r="C343" s="36"/>
      <c r="T343" s="5"/>
    </row>
    <row r="344">
      <c r="C344" s="36"/>
      <c r="T344" s="5"/>
    </row>
    <row r="345">
      <c r="C345" s="36"/>
      <c r="T345" s="5"/>
    </row>
    <row r="346">
      <c r="C346" s="36"/>
      <c r="T346" s="5"/>
    </row>
    <row r="347">
      <c r="C347" s="36"/>
      <c r="T347" s="5"/>
    </row>
    <row r="348">
      <c r="C348" s="36"/>
      <c r="T348" s="5"/>
    </row>
    <row r="349">
      <c r="C349" s="36"/>
      <c r="T349" s="5"/>
    </row>
    <row r="350">
      <c r="C350" s="36"/>
      <c r="T350" s="5"/>
    </row>
    <row r="351">
      <c r="C351" s="36"/>
      <c r="T351" s="5"/>
    </row>
    <row r="352">
      <c r="C352" s="36"/>
      <c r="T352" s="5"/>
    </row>
    <row r="353">
      <c r="C353" s="36"/>
      <c r="T353" s="5"/>
    </row>
    <row r="354">
      <c r="C354" s="36"/>
      <c r="T354" s="5"/>
    </row>
    <row r="355">
      <c r="C355" s="36"/>
      <c r="T355" s="5"/>
    </row>
    <row r="356">
      <c r="C356" s="36"/>
      <c r="T356" s="5"/>
    </row>
    <row r="357">
      <c r="C357" s="36"/>
      <c r="T357" s="5"/>
    </row>
    <row r="358">
      <c r="C358" s="36"/>
      <c r="T358" s="5"/>
    </row>
    <row r="359">
      <c r="C359" s="36"/>
      <c r="T359" s="37"/>
    </row>
    <row r="360">
      <c r="C360" s="36"/>
      <c r="T360" s="37"/>
    </row>
    <row r="361">
      <c r="C361" s="36"/>
      <c r="T361" s="37"/>
    </row>
    <row r="362">
      <c r="C362" s="36"/>
      <c r="T362" s="37"/>
    </row>
    <row r="363">
      <c r="C363" s="36"/>
      <c r="T363" s="5"/>
    </row>
    <row r="364">
      <c r="C364" s="36"/>
      <c r="T364" s="5"/>
    </row>
    <row r="365">
      <c r="C365" s="36"/>
      <c r="T365" s="5"/>
    </row>
    <row r="366">
      <c r="C366" s="36"/>
      <c r="T366" s="5"/>
    </row>
    <row r="367">
      <c r="C367" s="36"/>
      <c r="T367" s="5"/>
    </row>
    <row r="368">
      <c r="C368" s="36"/>
      <c r="T368" s="5"/>
    </row>
    <row r="369">
      <c r="C369" s="36"/>
      <c r="T369" s="5"/>
    </row>
    <row r="370">
      <c r="C370" s="36"/>
      <c r="T370" s="5"/>
    </row>
    <row r="371">
      <c r="C371" s="36"/>
      <c r="T371" s="5"/>
    </row>
    <row r="372">
      <c r="C372" s="36"/>
      <c r="T372" s="5"/>
    </row>
    <row r="373">
      <c r="C373" s="36"/>
      <c r="T373" s="5"/>
    </row>
    <row r="374">
      <c r="C374" s="36"/>
      <c r="T374" s="5"/>
    </row>
    <row r="375">
      <c r="C375" s="36"/>
      <c r="T375" s="5"/>
    </row>
    <row r="376">
      <c r="C376" s="36"/>
      <c r="T376" s="5"/>
    </row>
    <row r="377">
      <c r="C377" s="36"/>
      <c r="T377" s="5"/>
    </row>
    <row r="378">
      <c r="C378" s="36"/>
      <c r="T378" s="5"/>
    </row>
    <row r="379">
      <c r="C379" s="36"/>
      <c r="T379" s="5"/>
    </row>
    <row r="380">
      <c r="C380" s="36"/>
      <c r="T380" s="5"/>
    </row>
    <row r="381">
      <c r="C381" s="36"/>
      <c r="T381" s="5"/>
    </row>
    <row r="382">
      <c r="C382" s="36"/>
    </row>
    <row r="383">
      <c r="C383" s="36"/>
    </row>
    <row r="384">
      <c r="C384" s="36"/>
    </row>
    <row r="385">
      <c r="C385" s="36"/>
    </row>
    <row r="386">
      <c r="C386" s="36"/>
    </row>
    <row r="387">
      <c r="C387" s="36"/>
    </row>
    <row r="388">
      <c r="C388" s="36"/>
    </row>
    <row r="389">
      <c r="C389" s="36"/>
    </row>
    <row r="390">
      <c r="C390" s="36"/>
    </row>
    <row r="391">
      <c r="C391" s="36"/>
    </row>
    <row r="392">
      <c r="C392" s="36"/>
    </row>
    <row r="393">
      <c r="C393" s="36"/>
    </row>
    <row r="394">
      <c r="C394" s="36"/>
    </row>
    <row r="395">
      <c r="C395" s="36"/>
    </row>
    <row r="396">
      <c r="C396" s="36"/>
    </row>
    <row r="397">
      <c r="C397" s="36"/>
    </row>
    <row r="398">
      <c r="C398" s="36"/>
    </row>
    <row r="399">
      <c r="C399" s="36"/>
    </row>
    <row r="400">
      <c r="C400" s="36"/>
    </row>
    <row r="401">
      <c r="C401" s="36"/>
    </row>
    <row r="402">
      <c r="C402" s="36"/>
    </row>
    <row r="403">
      <c r="C403" s="36"/>
    </row>
    <row r="404">
      <c r="C404" s="36"/>
    </row>
    <row r="405">
      <c r="C405" s="36"/>
    </row>
    <row r="406">
      <c r="C406" s="36"/>
    </row>
    <row r="407">
      <c r="C407" s="36"/>
    </row>
    <row r="408">
      <c r="C408" s="36"/>
    </row>
    <row r="409">
      <c r="C409" s="36"/>
    </row>
    <row r="410">
      <c r="C410" s="36"/>
    </row>
    <row r="411">
      <c r="C411" s="36"/>
    </row>
    <row r="412">
      <c r="C412" s="36"/>
    </row>
    <row r="413">
      <c r="C413" s="36"/>
    </row>
    <row r="414">
      <c r="C414" s="36"/>
    </row>
    <row r="415">
      <c r="C415" s="36"/>
    </row>
    <row r="416">
      <c r="C416" s="36"/>
    </row>
    <row r="417">
      <c r="C417" s="36"/>
    </row>
    <row r="418">
      <c r="C418" s="36"/>
    </row>
    <row r="419">
      <c r="C419" s="36"/>
    </row>
    <row r="420">
      <c r="C420" s="36"/>
    </row>
    <row r="421">
      <c r="C421" s="36"/>
    </row>
    <row r="422">
      <c r="C422" s="36"/>
    </row>
    <row r="423">
      <c r="C423" s="36"/>
    </row>
    <row r="424">
      <c r="C424" s="36"/>
    </row>
    <row r="425">
      <c r="C425" s="36"/>
    </row>
    <row r="426">
      <c r="C426" s="36"/>
    </row>
    <row r="427">
      <c r="C427" s="36"/>
    </row>
    <row r="428">
      <c r="C428" s="36"/>
    </row>
    <row r="429">
      <c r="C429" s="36"/>
    </row>
    <row r="430">
      <c r="C430" s="36"/>
    </row>
    <row r="431">
      <c r="C431" s="36"/>
    </row>
    <row r="432">
      <c r="C432" s="36"/>
    </row>
    <row r="433">
      <c r="C433" s="36"/>
    </row>
    <row r="434">
      <c r="C434" s="36"/>
    </row>
    <row r="435">
      <c r="C435" s="36"/>
    </row>
    <row r="436">
      <c r="C436" s="36"/>
    </row>
    <row r="437">
      <c r="C437" s="36"/>
    </row>
    <row r="438">
      <c r="C438" s="36"/>
    </row>
    <row r="439">
      <c r="C439" s="36"/>
    </row>
    <row r="440">
      <c r="C440" s="36"/>
    </row>
    <row r="441">
      <c r="C441" s="36"/>
    </row>
    <row r="442">
      <c r="C442" s="36"/>
    </row>
    <row r="443">
      <c r="C443" s="36"/>
    </row>
    <row r="444">
      <c r="C444" s="36"/>
    </row>
    <row r="445">
      <c r="C445" s="36"/>
    </row>
    <row r="446">
      <c r="C446" s="36"/>
    </row>
    <row r="447">
      <c r="C447" s="36"/>
    </row>
    <row r="448">
      <c r="C448" s="36"/>
    </row>
    <row r="449">
      <c r="C449" s="36"/>
    </row>
    <row r="450">
      <c r="C450" s="36"/>
    </row>
    <row r="451">
      <c r="C451" s="36"/>
    </row>
    <row r="452">
      <c r="C452" s="36"/>
    </row>
    <row r="453">
      <c r="C453" s="36"/>
    </row>
    <row r="454">
      <c r="C454" s="36"/>
    </row>
    <row r="455">
      <c r="C455" s="36"/>
    </row>
    <row r="456">
      <c r="C456" s="36"/>
    </row>
    <row r="457">
      <c r="C457" s="36"/>
    </row>
    <row r="458">
      <c r="C458" s="36"/>
    </row>
    <row r="459">
      <c r="C459" s="36"/>
    </row>
    <row r="460">
      <c r="C460" s="36"/>
    </row>
    <row r="461">
      <c r="C461" s="36"/>
    </row>
    <row r="462">
      <c r="C462" s="36"/>
    </row>
    <row r="463">
      <c r="C463" s="36"/>
    </row>
    <row r="464">
      <c r="C464" s="36"/>
    </row>
    <row r="465">
      <c r="C465" s="36"/>
    </row>
    <row r="466">
      <c r="C466" s="36"/>
    </row>
    <row r="467">
      <c r="C467" s="36"/>
    </row>
    <row r="468">
      <c r="C468" s="36"/>
    </row>
    <row r="469">
      <c r="C469" s="36"/>
    </row>
    <row r="470">
      <c r="C470" s="36"/>
    </row>
    <row r="471">
      <c r="C471" s="36"/>
    </row>
    <row r="472">
      <c r="C472" s="36"/>
    </row>
    <row r="473">
      <c r="C473" s="36"/>
    </row>
    <row r="474">
      <c r="C474" s="36"/>
    </row>
    <row r="475">
      <c r="C475" s="36"/>
    </row>
    <row r="476">
      <c r="C476" s="36"/>
    </row>
    <row r="477">
      <c r="C477" s="36"/>
    </row>
    <row r="478">
      <c r="C478" s="36"/>
    </row>
    <row r="479">
      <c r="C479" s="36"/>
    </row>
    <row r="480">
      <c r="C480" s="36"/>
    </row>
    <row r="481">
      <c r="C481" s="36"/>
    </row>
    <row r="482">
      <c r="C482" s="36"/>
    </row>
    <row r="483">
      <c r="C483" s="36"/>
    </row>
    <row r="484">
      <c r="C484" s="36"/>
    </row>
    <row r="485">
      <c r="C485" s="36"/>
    </row>
    <row r="486">
      <c r="C486" s="36"/>
    </row>
    <row r="487">
      <c r="C487" s="36"/>
    </row>
    <row r="488">
      <c r="C488" s="36"/>
    </row>
    <row r="489">
      <c r="C489" s="36"/>
    </row>
    <row r="490">
      <c r="C490" s="36"/>
    </row>
    <row r="491">
      <c r="C491" s="36"/>
    </row>
    <row r="492">
      <c r="C492" s="36"/>
    </row>
    <row r="493">
      <c r="C493" s="36"/>
    </row>
    <row r="494">
      <c r="C494" s="36"/>
    </row>
    <row r="495">
      <c r="C495" s="36"/>
    </row>
    <row r="496">
      <c r="C496" s="36"/>
    </row>
    <row r="497">
      <c r="C497" s="36"/>
    </row>
    <row r="498">
      <c r="C498" s="36"/>
    </row>
    <row r="499">
      <c r="C499" s="36"/>
    </row>
    <row r="500">
      <c r="C500" s="36"/>
    </row>
    <row r="501">
      <c r="C501" s="36"/>
    </row>
    <row r="502">
      <c r="C502" s="36"/>
    </row>
    <row r="503">
      <c r="C503" s="36"/>
    </row>
    <row r="504">
      <c r="C504" s="36"/>
    </row>
    <row r="505">
      <c r="C505" s="36"/>
    </row>
    <row r="506">
      <c r="C506" s="36"/>
    </row>
    <row r="507">
      <c r="C507" s="36"/>
    </row>
    <row r="508">
      <c r="C508" s="36"/>
    </row>
    <row r="509">
      <c r="C509" s="36"/>
    </row>
    <row r="510">
      <c r="C510" s="36"/>
    </row>
    <row r="511">
      <c r="C511" s="36"/>
    </row>
    <row r="512">
      <c r="C512" s="36"/>
    </row>
    <row r="513">
      <c r="C513" s="36"/>
    </row>
    <row r="514">
      <c r="C514" s="36"/>
    </row>
    <row r="515">
      <c r="C515" s="36"/>
    </row>
    <row r="516">
      <c r="C516" s="36"/>
    </row>
    <row r="517">
      <c r="C517" s="36"/>
    </row>
    <row r="518">
      <c r="C518" s="36"/>
    </row>
    <row r="519">
      <c r="C519" s="36"/>
    </row>
    <row r="520">
      <c r="C520" s="36"/>
    </row>
    <row r="521">
      <c r="C521" s="36"/>
    </row>
    <row r="522">
      <c r="C522" s="36"/>
    </row>
    <row r="523">
      <c r="C523" s="36"/>
    </row>
    <row r="524">
      <c r="C524" s="36"/>
    </row>
    <row r="525">
      <c r="C525" s="36"/>
    </row>
    <row r="526">
      <c r="C526" s="36"/>
    </row>
    <row r="527">
      <c r="C527" s="36"/>
    </row>
    <row r="528">
      <c r="C528" s="36"/>
    </row>
    <row r="529">
      <c r="C529" s="36"/>
    </row>
    <row r="530">
      <c r="C530" s="36"/>
    </row>
    <row r="531">
      <c r="C531" s="36"/>
    </row>
    <row r="532">
      <c r="C532" s="36"/>
    </row>
    <row r="533">
      <c r="C533" s="36"/>
    </row>
    <row r="534">
      <c r="C534" s="36"/>
    </row>
    <row r="535">
      <c r="C535" s="36"/>
    </row>
    <row r="536">
      <c r="C536" s="36"/>
    </row>
    <row r="537">
      <c r="C537" s="36"/>
    </row>
    <row r="538">
      <c r="C538" s="36"/>
    </row>
    <row r="539">
      <c r="C539" s="36"/>
    </row>
    <row r="540">
      <c r="C540" s="36"/>
    </row>
    <row r="541">
      <c r="C541" s="36"/>
    </row>
    <row r="542">
      <c r="C542" s="36"/>
    </row>
    <row r="543">
      <c r="C543" s="36"/>
    </row>
    <row r="544">
      <c r="C544" s="36"/>
    </row>
    <row r="545">
      <c r="C545" s="36"/>
    </row>
    <row r="546">
      <c r="C546" s="36"/>
    </row>
    <row r="547">
      <c r="C547" s="36"/>
    </row>
    <row r="548">
      <c r="C548" s="36"/>
    </row>
    <row r="549">
      <c r="C549" s="36"/>
    </row>
    <row r="550">
      <c r="C550" s="36"/>
    </row>
    <row r="551">
      <c r="C551" s="36"/>
    </row>
    <row r="552">
      <c r="C552" s="36"/>
    </row>
    <row r="553">
      <c r="C553" s="36"/>
    </row>
    <row r="554">
      <c r="C554" s="36"/>
    </row>
    <row r="555">
      <c r="C555" s="36"/>
    </row>
    <row r="556">
      <c r="C556" s="36"/>
    </row>
    <row r="557">
      <c r="C557" s="36"/>
    </row>
    <row r="558">
      <c r="C558" s="36"/>
    </row>
    <row r="559">
      <c r="C559" s="36"/>
    </row>
    <row r="560">
      <c r="C560" s="36"/>
    </row>
    <row r="561">
      <c r="C561" s="36"/>
    </row>
    <row r="562">
      <c r="C562" s="36"/>
    </row>
    <row r="563">
      <c r="C563" s="36"/>
    </row>
    <row r="564">
      <c r="C564" s="36"/>
    </row>
    <row r="565">
      <c r="C565" s="36"/>
    </row>
    <row r="566">
      <c r="C566" s="36"/>
    </row>
    <row r="567">
      <c r="C567" s="36"/>
    </row>
    <row r="568">
      <c r="C568" s="36"/>
    </row>
    <row r="569">
      <c r="C569" s="36"/>
    </row>
    <row r="570">
      <c r="C570" s="36"/>
    </row>
    <row r="571">
      <c r="C571" s="36"/>
    </row>
    <row r="572">
      <c r="C572" s="36"/>
    </row>
    <row r="573">
      <c r="C573" s="36"/>
    </row>
    <row r="574">
      <c r="C574" s="36"/>
    </row>
    <row r="575">
      <c r="C575" s="36"/>
    </row>
    <row r="576">
      <c r="C576" s="36"/>
    </row>
    <row r="577">
      <c r="C577" s="36"/>
    </row>
    <row r="578">
      <c r="C578" s="36"/>
    </row>
    <row r="579">
      <c r="C579" s="36"/>
    </row>
    <row r="580">
      <c r="C580" s="36"/>
    </row>
    <row r="581">
      <c r="C581" s="36"/>
    </row>
    <row r="582">
      <c r="C582" s="36"/>
    </row>
    <row r="583">
      <c r="C583" s="36"/>
    </row>
    <row r="584">
      <c r="C584" s="36"/>
    </row>
    <row r="585">
      <c r="C585" s="36"/>
    </row>
    <row r="586">
      <c r="C586" s="36"/>
    </row>
    <row r="587">
      <c r="C587" s="36"/>
    </row>
    <row r="588">
      <c r="C588" s="36"/>
    </row>
    <row r="589">
      <c r="C589" s="36"/>
    </row>
    <row r="590">
      <c r="C590" s="36"/>
    </row>
    <row r="591">
      <c r="C591" s="36"/>
    </row>
    <row r="592">
      <c r="C592" s="36"/>
    </row>
    <row r="593">
      <c r="C593" s="36"/>
    </row>
    <row r="594">
      <c r="C594" s="36"/>
    </row>
    <row r="595">
      <c r="C595" s="36"/>
    </row>
    <row r="596">
      <c r="C596" s="36"/>
    </row>
    <row r="597">
      <c r="C597" s="36"/>
    </row>
    <row r="598">
      <c r="C598" s="36"/>
    </row>
    <row r="599">
      <c r="C599" s="36"/>
    </row>
    <row r="600">
      <c r="C600" s="36"/>
    </row>
    <row r="601">
      <c r="C601" s="36"/>
    </row>
    <row r="602">
      <c r="C602" s="36"/>
    </row>
    <row r="603">
      <c r="C603" s="36"/>
    </row>
    <row r="604">
      <c r="C604" s="36"/>
    </row>
    <row r="605">
      <c r="C605" s="36"/>
    </row>
    <row r="606">
      <c r="C606" s="36"/>
    </row>
    <row r="607">
      <c r="C607" s="36"/>
    </row>
    <row r="608">
      <c r="C608" s="36"/>
    </row>
    <row r="609">
      <c r="C609" s="36"/>
    </row>
    <row r="610">
      <c r="C610" s="36"/>
    </row>
    <row r="611">
      <c r="C611" s="36"/>
    </row>
    <row r="612">
      <c r="C612" s="36"/>
    </row>
    <row r="613">
      <c r="C613" s="36"/>
    </row>
    <row r="614">
      <c r="C614" s="36"/>
    </row>
    <row r="615">
      <c r="C615" s="36"/>
    </row>
    <row r="616">
      <c r="C616" s="36"/>
    </row>
    <row r="617">
      <c r="C617" s="36"/>
    </row>
    <row r="618">
      <c r="C618" s="36"/>
    </row>
    <row r="619">
      <c r="C619" s="36"/>
    </row>
    <row r="620">
      <c r="C620" s="36"/>
    </row>
    <row r="621">
      <c r="C621" s="36"/>
    </row>
    <row r="622">
      <c r="C622" s="36"/>
    </row>
    <row r="623">
      <c r="C623" s="36"/>
    </row>
    <row r="624">
      <c r="C624" s="36"/>
    </row>
    <row r="625">
      <c r="C625" s="36"/>
    </row>
    <row r="626">
      <c r="C626" s="36"/>
    </row>
    <row r="627">
      <c r="C627" s="36"/>
    </row>
    <row r="628">
      <c r="C628" s="36"/>
    </row>
    <row r="629">
      <c r="C629" s="36"/>
    </row>
    <row r="630">
      <c r="C630" s="36"/>
    </row>
    <row r="631">
      <c r="C631" s="36"/>
    </row>
    <row r="632">
      <c r="C632" s="36"/>
    </row>
    <row r="633">
      <c r="C633" s="36"/>
    </row>
    <row r="634">
      <c r="C634" s="36"/>
    </row>
    <row r="635">
      <c r="C635" s="36"/>
    </row>
    <row r="636">
      <c r="C636" s="36"/>
    </row>
    <row r="637">
      <c r="C637" s="36"/>
    </row>
    <row r="638">
      <c r="C638" s="36"/>
    </row>
    <row r="639">
      <c r="C639" s="36"/>
    </row>
    <row r="640">
      <c r="C640" s="36"/>
    </row>
    <row r="641">
      <c r="C641" s="36"/>
    </row>
    <row r="642">
      <c r="C642" s="36"/>
    </row>
    <row r="643">
      <c r="C643" s="36"/>
    </row>
    <row r="644">
      <c r="C644" s="36"/>
    </row>
    <row r="645">
      <c r="C645" s="36"/>
    </row>
    <row r="646">
      <c r="C646" s="36"/>
    </row>
    <row r="647">
      <c r="C647" s="36"/>
    </row>
    <row r="648">
      <c r="C648" s="36"/>
    </row>
    <row r="649">
      <c r="C649" s="36"/>
    </row>
    <row r="650">
      <c r="C650" s="36"/>
    </row>
    <row r="651">
      <c r="C651" s="36"/>
    </row>
    <row r="652">
      <c r="C652" s="36"/>
    </row>
    <row r="653">
      <c r="C653" s="36"/>
    </row>
    <row r="654">
      <c r="C654" s="36"/>
    </row>
    <row r="655">
      <c r="C655" s="36"/>
    </row>
    <row r="656">
      <c r="C656" s="36"/>
    </row>
    <row r="657">
      <c r="C657" s="36"/>
    </row>
    <row r="658">
      <c r="C658" s="36"/>
    </row>
    <row r="659">
      <c r="C659" s="36"/>
    </row>
    <row r="660">
      <c r="C660" s="36"/>
    </row>
    <row r="661">
      <c r="C661" s="36"/>
    </row>
    <row r="662">
      <c r="C662" s="36"/>
    </row>
    <row r="663">
      <c r="C663" s="36"/>
    </row>
    <row r="664">
      <c r="C664" s="36"/>
    </row>
    <row r="665">
      <c r="C665" s="36"/>
    </row>
    <row r="666">
      <c r="C666" s="36"/>
    </row>
    <row r="667">
      <c r="C667" s="36"/>
    </row>
    <row r="668">
      <c r="C668" s="36"/>
    </row>
    <row r="669">
      <c r="C669" s="36"/>
    </row>
    <row r="670">
      <c r="C670" s="36"/>
    </row>
    <row r="671">
      <c r="C671" s="36"/>
    </row>
    <row r="672">
      <c r="C672" s="36"/>
    </row>
    <row r="673">
      <c r="C673" s="36"/>
    </row>
    <row r="674">
      <c r="C674" s="36"/>
    </row>
    <row r="675">
      <c r="C675" s="36"/>
    </row>
    <row r="676">
      <c r="C676" s="36"/>
    </row>
    <row r="677">
      <c r="C677" s="36"/>
    </row>
    <row r="678">
      <c r="C678" s="36"/>
    </row>
    <row r="679">
      <c r="C679" s="36"/>
    </row>
    <row r="680">
      <c r="C680" s="36"/>
    </row>
    <row r="681">
      <c r="C681" s="36"/>
    </row>
    <row r="682">
      <c r="C682" s="36"/>
    </row>
    <row r="683">
      <c r="C683" s="36"/>
    </row>
    <row r="684">
      <c r="C684" s="36"/>
    </row>
    <row r="685">
      <c r="C685" s="36"/>
    </row>
    <row r="686">
      <c r="C686" s="36"/>
    </row>
    <row r="687">
      <c r="C687" s="36"/>
    </row>
    <row r="688">
      <c r="C688" s="36"/>
    </row>
    <row r="689">
      <c r="C689" s="36"/>
    </row>
    <row r="690">
      <c r="C690" s="36"/>
    </row>
    <row r="691">
      <c r="C691" s="36"/>
    </row>
    <row r="692">
      <c r="C692" s="36"/>
    </row>
    <row r="693">
      <c r="C693" s="36"/>
    </row>
    <row r="694">
      <c r="C694" s="36"/>
    </row>
    <row r="695">
      <c r="C695" s="36"/>
    </row>
    <row r="696">
      <c r="C696" s="36"/>
    </row>
    <row r="697">
      <c r="C697" s="36"/>
    </row>
    <row r="698">
      <c r="C698" s="36"/>
    </row>
    <row r="699">
      <c r="C699" s="36"/>
    </row>
    <row r="700">
      <c r="C700" s="36"/>
    </row>
    <row r="701">
      <c r="C701" s="36"/>
    </row>
    <row r="702">
      <c r="C702" s="36"/>
    </row>
    <row r="703">
      <c r="C703" s="36"/>
    </row>
    <row r="704">
      <c r="C704" s="36"/>
    </row>
    <row r="705">
      <c r="C705" s="36"/>
    </row>
    <row r="706">
      <c r="C706" s="36"/>
    </row>
    <row r="707">
      <c r="C707" s="36"/>
    </row>
    <row r="708">
      <c r="C708" s="36"/>
    </row>
    <row r="709">
      <c r="C709" s="36"/>
    </row>
    <row r="710">
      <c r="C710" s="36"/>
    </row>
    <row r="711">
      <c r="C711" s="36"/>
    </row>
    <row r="712">
      <c r="C712" s="36"/>
    </row>
    <row r="713">
      <c r="C713" s="36"/>
    </row>
    <row r="714">
      <c r="C714" s="36"/>
    </row>
    <row r="715">
      <c r="C715" s="36"/>
    </row>
    <row r="716">
      <c r="C716" s="36"/>
    </row>
    <row r="717">
      <c r="C717" s="36"/>
    </row>
    <row r="718">
      <c r="C718" s="36"/>
    </row>
    <row r="719">
      <c r="C719" s="36"/>
    </row>
    <row r="720">
      <c r="C720" s="36"/>
    </row>
    <row r="721">
      <c r="C721" s="36"/>
    </row>
    <row r="722">
      <c r="C722" s="36"/>
    </row>
    <row r="723">
      <c r="C723" s="36"/>
    </row>
    <row r="724">
      <c r="C724" s="36"/>
    </row>
    <row r="725">
      <c r="C725" s="36"/>
    </row>
    <row r="726">
      <c r="C726" s="36"/>
    </row>
    <row r="727">
      <c r="C727" s="36"/>
    </row>
    <row r="728">
      <c r="C728" s="36"/>
    </row>
    <row r="729">
      <c r="C729" s="36"/>
    </row>
    <row r="730">
      <c r="C730" s="36"/>
    </row>
    <row r="731">
      <c r="C731" s="36"/>
    </row>
    <row r="732">
      <c r="C732" s="36"/>
    </row>
    <row r="733">
      <c r="C733" s="36"/>
    </row>
    <row r="734">
      <c r="C734" s="36"/>
    </row>
    <row r="735">
      <c r="C735" s="36"/>
    </row>
    <row r="736">
      <c r="C736" s="36"/>
    </row>
    <row r="737">
      <c r="C737" s="36"/>
    </row>
    <row r="738">
      <c r="C738" s="36"/>
    </row>
    <row r="739">
      <c r="C739" s="36"/>
    </row>
    <row r="740">
      <c r="C740" s="36"/>
    </row>
    <row r="741">
      <c r="C741" s="36"/>
    </row>
    <row r="742">
      <c r="C742" s="36"/>
    </row>
    <row r="743">
      <c r="C743" s="36"/>
    </row>
    <row r="744">
      <c r="C744" s="36"/>
    </row>
    <row r="745">
      <c r="C745" s="36"/>
    </row>
    <row r="746">
      <c r="C746" s="36"/>
    </row>
    <row r="747">
      <c r="C747" s="36"/>
    </row>
    <row r="748">
      <c r="C748" s="36"/>
    </row>
    <row r="749">
      <c r="C749" s="36"/>
    </row>
    <row r="750">
      <c r="C750" s="36"/>
    </row>
    <row r="751">
      <c r="C751" s="36"/>
    </row>
    <row r="752">
      <c r="C752" s="36"/>
    </row>
    <row r="753">
      <c r="C753" s="36"/>
    </row>
    <row r="754">
      <c r="C754" s="36"/>
    </row>
    <row r="755">
      <c r="C755" s="36"/>
    </row>
    <row r="756">
      <c r="C756" s="36"/>
    </row>
    <row r="757">
      <c r="C757" s="36"/>
    </row>
    <row r="758">
      <c r="C758" s="36"/>
    </row>
    <row r="759">
      <c r="C759" s="36"/>
    </row>
    <row r="760">
      <c r="C760" s="36"/>
    </row>
    <row r="761">
      <c r="C761" s="36"/>
    </row>
    <row r="762">
      <c r="C762" s="36"/>
    </row>
    <row r="763">
      <c r="C763" s="36"/>
    </row>
    <row r="764">
      <c r="C764" s="36"/>
    </row>
    <row r="765">
      <c r="C765" s="36"/>
    </row>
    <row r="766">
      <c r="C766" s="36"/>
    </row>
    <row r="767">
      <c r="C767" s="36"/>
    </row>
    <row r="768">
      <c r="C768" s="36"/>
    </row>
    <row r="769">
      <c r="C769" s="36"/>
    </row>
    <row r="770">
      <c r="C770" s="36"/>
    </row>
    <row r="771">
      <c r="C771" s="36"/>
    </row>
    <row r="772">
      <c r="C772" s="36"/>
    </row>
    <row r="773">
      <c r="C773" s="36"/>
    </row>
    <row r="774">
      <c r="C774" s="36"/>
    </row>
    <row r="775">
      <c r="C775" s="36"/>
    </row>
    <row r="776">
      <c r="C776" s="36"/>
    </row>
    <row r="777">
      <c r="C777" s="36"/>
    </row>
    <row r="778">
      <c r="C778" s="36"/>
    </row>
    <row r="779">
      <c r="C779" s="36"/>
    </row>
    <row r="780">
      <c r="C780" s="36"/>
    </row>
    <row r="781">
      <c r="C781" s="36"/>
    </row>
    <row r="782">
      <c r="C782" s="36"/>
    </row>
    <row r="783">
      <c r="C783" s="36"/>
    </row>
    <row r="784">
      <c r="C784" s="36"/>
    </row>
    <row r="785">
      <c r="C785" s="36"/>
    </row>
    <row r="786">
      <c r="C786" s="36"/>
    </row>
    <row r="787">
      <c r="C787" s="36"/>
    </row>
    <row r="788">
      <c r="C788" s="36"/>
    </row>
    <row r="789">
      <c r="C789" s="36"/>
    </row>
    <row r="790">
      <c r="C790" s="36"/>
    </row>
    <row r="791">
      <c r="C791" s="36"/>
    </row>
    <row r="792">
      <c r="C792" s="36"/>
    </row>
    <row r="793">
      <c r="C793" s="36"/>
    </row>
    <row r="794">
      <c r="C794" s="36"/>
    </row>
    <row r="795">
      <c r="C795" s="36"/>
    </row>
    <row r="796">
      <c r="C796" s="36"/>
    </row>
    <row r="797">
      <c r="C797" s="36"/>
    </row>
    <row r="798">
      <c r="C798" s="36"/>
    </row>
    <row r="799">
      <c r="C799" s="36"/>
    </row>
    <row r="800">
      <c r="C800" s="36"/>
    </row>
    <row r="801">
      <c r="C801" s="36"/>
    </row>
    <row r="802">
      <c r="C802" s="36"/>
    </row>
    <row r="803">
      <c r="C803" s="36"/>
    </row>
    <row r="804">
      <c r="C804" s="36"/>
    </row>
    <row r="805">
      <c r="C805" s="36"/>
    </row>
    <row r="806">
      <c r="C806" s="36"/>
    </row>
    <row r="807">
      <c r="C807" s="36"/>
    </row>
    <row r="808">
      <c r="C808" s="36"/>
    </row>
    <row r="809">
      <c r="C809" s="36"/>
    </row>
    <row r="810">
      <c r="C810" s="36"/>
    </row>
    <row r="811">
      <c r="C811" s="36"/>
    </row>
    <row r="812">
      <c r="C812" s="36"/>
    </row>
    <row r="813">
      <c r="C813" s="36"/>
    </row>
    <row r="814">
      <c r="C814" s="36"/>
    </row>
    <row r="815">
      <c r="C815" s="36"/>
    </row>
    <row r="816">
      <c r="C816" s="36"/>
    </row>
    <row r="817">
      <c r="C817" s="36"/>
    </row>
    <row r="818">
      <c r="C818" s="36"/>
    </row>
    <row r="819">
      <c r="C819" s="36"/>
    </row>
    <row r="820">
      <c r="C820" s="36"/>
    </row>
    <row r="821">
      <c r="C821" s="36"/>
    </row>
    <row r="822">
      <c r="C822" s="36"/>
    </row>
    <row r="823">
      <c r="C823" s="36"/>
    </row>
    <row r="824">
      <c r="C824" s="36"/>
    </row>
    <row r="825">
      <c r="C825" s="36"/>
    </row>
    <row r="826">
      <c r="C826" s="36"/>
    </row>
    <row r="827">
      <c r="C827" s="36"/>
    </row>
    <row r="828">
      <c r="C828" s="36"/>
    </row>
    <row r="829">
      <c r="C829" s="36"/>
    </row>
    <row r="830">
      <c r="C830" s="36"/>
    </row>
    <row r="831">
      <c r="C831" s="36"/>
    </row>
    <row r="832">
      <c r="C832" s="36"/>
    </row>
    <row r="833">
      <c r="C833" s="36"/>
    </row>
    <row r="834">
      <c r="C834" s="36"/>
    </row>
    <row r="835">
      <c r="C835" s="36"/>
    </row>
    <row r="836">
      <c r="C836" s="36"/>
    </row>
    <row r="837">
      <c r="C837" s="36"/>
    </row>
    <row r="838">
      <c r="C838" s="36"/>
    </row>
    <row r="839">
      <c r="C839" s="36"/>
    </row>
    <row r="840">
      <c r="C840" s="36"/>
    </row>
    <row r="841">
      <c r="C841" s="36"/>
    </row>
    <row r="842">
      <c r="C842" s="36"/>
    </row>
    <row r="843">
      <c r="C843" s="36"/>
    </row>
    <row r="844">
      <c r="C844" s="36"/>
    </row>
    <row r="845">
      <c r="C845" s="36"/>
    </row>
    <row r="846">
      <c r="C846" s="36"/>
    </row>
    <row r="847">
      <c r="C847" s="36"/>
    </row>
    <row r="848">
      <c r="C848" s="36"/>
    </row>
    <row r="849">
      <c r="C849" s="36"/>
    </row>
    <row r="850">
      <c r="C850" s="36"/>
    </row>
    <row r="851">
      <c r="C851" s="36"/>
    </row>
    <row r="852">
      <c r="C852" s="36"/>
    </row>
    <row r="853">
      <c r="C853" s="36"/>
    </row>
    <row r="854">
      <c r="C854" s="36"/>
    </row>
    <row r="855">
      <c r="C855" s="36"/>
    </row>
    <row r="856">
      <c r="C856" s="36"/>
    </row>
    <row r="857">
      <c r="C857" s="36"/>
    </row>
    <row r="858">
      <c r="C858" s="36"/>
    </row>
    <row r="859">
      <c r="C859" s="36"/>
    </row>
    <row r="860">
      <c r="B860" s="6"/>
      <c r="C860" s="36"/>
    </row>
  </sheetData>
  <autoFilter ref="$A$1:$M$147"/>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38" t="s">
        <v>5</v>
      </c>
      <c r="C1" s="3" t="s">
        <v>6</v>
      </c>
      <c r="D1" s="3" t="s">
        <v>309</v>
      </c>
      <c r="E1" s="3" t="s">
        <v>310</v>
      </c>
      <c r="F1" s="1"/>
      <c r="G1" s="2"/>
      <c r="H1" s="2"/>
      <c r="I1" s="2"/>
      <c r="J1" s="1"/>
      <c r="K1" s="1"/>
      <c r="L1" s="3"/>
      <c r="M1" s="1"/>
    </row>
    <row r="2" ht="15.75" customHeight="1">
      <c r="A2" s="4" t="s">
        <v>311</v>
      </c>
      <c r="B2" s="4" t="s">
        <v>5</v>
      </c>
      <c r="C2" s="4" t="s">
        <v>6</v>
      </c>
      <c r="D2" s="4" t="s">
        <v>312</v>
      </c>
      <c r="E2" s="4" t="s">
        <v>313</v>
      </c>
    </row>
    <row r="3" ht="15.75" customHeight="1">
      <c r="A3" s="4" t="s">
        <v>314</v>
      </c>
      <c r="B3" s="4">
        <v>3.0</v>
      </c>
      <c r="C3" s="4" t="s">
        <v>315</v>
      </c>
      <c r="D3" s="4">
        <v>97.0</v>
      </c>
      <c r="E3" s="4" t="s">
        <v>316</v>
      </c>
    </row>
    <row r="4" ht="15.75" customHeight="1">
      <c r="A4" s="4" t="s">
        <v>314</v>
      </c>
      <c r="B4" s="4">
        <v>3.0</v>
      </c>
      <c r="C4" s="4" t="s">
        <v>317</v>
      </c>
      <c r="D4" s="4">
        <v>100.0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2.88"/>
    <col customWidth="1" min="2" max="2" width="34.13" outlineLevel="1"/>
    <col customWidth="1" min="6" max="6" width="15.38"/>
    <col collapsed="1" customWidth="1" min="8" max="8" width="16.63"/>
    <col customWidth="1" hidden="1" min="9" max="9" width="23.63" outlineLevel="1"/>
    <col customWidth="1" min="10" max="10" width="14.0"/>
    <col customWidth="1" min="11" max="11" width="24.38"/>
    <col customWidth="1" min="13" max="13" width="12.63"/>
  </cols>
  <sheetData>
    <row r="1" ht="15.75" customHeight="1">
      <c r="A1" s="39" t="s">
        <v>0</v>
      </c>
      <c r="B1" s="40" t="s">
        <v>318</v>
      </c>
      <c r="C1" s="40" t="s">
        <v>2</v>
      </c>
      <c r="D1" s="40" t="s">
        <v>1</v>
      </c>
      <c r="E1" s="40" t="s">
        <v>319</v>
      </c>
      <c r="F1" s="39" t="s">
        <v>320</v>
      </c>
      <c r="G1" s="39" t="s">
        <v>321</v>
      </c>
      <c r="H1" s="39" t="s">
        <v>322</v>
      </c>
      <c r="I1" s="39" t="s">
        <v>323</v>
      </c>
      <c r="J1" s="39" t="s">
        <v>324</v>
      </c>
      <c r="K1" s="39" t="s">
        <v>325</v>
      </c>
      <c r="L1" s="40" t="s">
        <v>321</v>
      </c>
      <c r="M1" s="40" t="s">
        <v>326</v>
      </c>
      <c r="N1" s="41" t="s">
        <v>327</v>
      </c>
      <c r="O1" s="41" t="s">
        <v>328</v>
      </c>
      <c r="P1" s="41" t="s">
        <v>329</v>
      </c>
      <c r="Q1" s="42" t="s">
        <v>330</v>
      </c>
      <c r="R1" s="42" t="s">
        <v>329</v>
      </c>
      <c r="T1" s="22">
        <v>46160.0</v>
      </c>
      <c r="U1" s="43">
        <f t="shared" ref="U1:U5" si="1">countifs(E:E,true,G:G,$T1)</f>
        <v>2</v>
      </c>
      <c r="V1" s="43">
        <f t="shared" ref="V1:V5" si="2">countifs(K:K,true,L:L,$T1)</f>
        <v>2</v>
      </c>
    </row>
    <row r="2" ht="15.75" customHeight="1">
      <c r="A2" s="5" t="s">
        <v>331</v>
      </c>
      <c r="B2" s="5" t="s">
        <v>332</v>
      </c>
      <c r="C2" s="44" t="s">
        <v>68</v>
      </c>
      <c r="D2" s="45" t="str">
        <f t="shared" ref="D2:D143" si="3">concat("https://www.tsip.ai/force/",A2)</f>
        <v>https://www.tsip.ai/force/89eae8f1-dc6f-4145-a072-f056af902c05</v>
      </c>
      <c r="E2" s="46" t="b">
        <v>1</v>
      </c>
      <c r="F2" s="47" t="b">
        <v>0</v>
      </c>
      <c r="G2" s="48">
        <v>46161.0</v>
      </c>
      <c r="H2" s="49">
        <v>50.0</v>
      </c>
      <c r="I2" s="47" t="str">
        <f>iferror(VLOOKUP(A2,'Decomp Rubrics'!A:B,2,false),"generating")</f>
        <v>generating</v>
      </c>
      <c r="J2" s="46"/>
      <c r="K2" s="50" t="b">
        <v>0</v>
      </c>
      <c r="L2" s="51"/>
      <c r="M2" s="44"/>
      <c r="N2" s="45" t="str">
        <f t="shared" ref="N2:N143" si="4">"https://admin.tsip.ai/tasks/"&amp;A2</f>
        <v>https://admin.tsip.ai/tasks/89eae8f1-dc6f-4145-a072-f056af902c05</v>
      </c>
      <c r="O2" s="46" t="b">
        <v>0</v>
      </c>
      <c r="P2" s="5"/>
      <c r="Q2" s="52"/>
      <c r="R2" s="5"/>
      <c r="T2" s="22">
        <v>46161.0</v>
      </c>
      <c r="U2" s="43">
        <f t="shared" si="1"/>
        <v>7</v>
      </c>
      <c r="V2" s="43">
        <f t="shared" si="2"/>
        <v>0</v>
      </c>
    </row>
    <row r="3" ht="15.75" customHeight="1">
      <c r="A3" s="5" t="s">
        <v>333</v>
      </c>
      <c r="B3" s="5" t="s">
        <v>334</v>
      </c>
      <c r="C3" s="44" t="s">
        <v>68</v>
      </c>
      <c r="D3" s="45" t="str">
        <f t="shared" si="3"/>
        <v>https://www.tsip.ai/force/2130b610-dc4c-4605-9163-a8b2224abd06</v>
      </c>
      <c r="E3" s="46" t="b">
        <v>1</v>
      </c>
      <c r="F3" s="53" t="b">
        <v>1</v>
      </c>
      <c r="G3" s="54">
        <v>46162.0</v>
      </c>
      <c r="H3" s="55">
        <v>55.0</v>
      </c>
      <c r="I3" s="47" t="str">
        <f>iferror(VLOOKUP(A3,'Decomp Rubrics'!A:B,2,false),"generating")</f>
        <v>Section 1: Formula Correctness
1.1. Is Total Cost in the main project table on the Gross Margin tab calculated as the sum of Project-Level Cost and Client-Level Cost Allocation for each project? [+2]
1.2. Is Gross Profit in the main project table on the Gross Margin tab calculated as Project Value minus Total Cost for each project? [+2]
1.3. Is Gross Margin in the main project table on the Gross Margin tab calculated as Gross Profit divided by Project Value for each project? [+1]
1.4. Is the Total row Gross Margin on the Gross Margin tab calculated as total Gross Profit divided by total Project Value, rather than as an average of individual project margins? [+2]
1.5. Is the Average row Gross Margin on the Gross Margin tab calculated as average Gross Profit divided by average Project Value, not as the average of individual margins? [+2]
1.6. Does the Total row on the Gross Margin tab sum all 20 projects for Project Value, Hours at Project Level, Project-Level Cost, Client-Level Cost Allocation, Total Cost, and Gross Profit? [+2]
1.7. Does the Average row on the Gross Margin tab compute the arithmetic mean across all 20 projects for each numeric column (value, hours, costs, gross profit)? [+1]
1.8. Is the percentage-of-total column in each client allocation subtable on the Gross Margin tab calculated as that project's Project-Level Cost divided by the client's total Project-Level Cost? [+2]
1.9. Is the Client Level Cost Allocation per project in each client subtable on the Gross Margin tab calculated as the project's percentage of total cost multiplied by the client's total non-project-level cost? [+2]
1.10. Does the total row within each client allocation subtable on the Gross Margin tab sum Hours and Project-Level Cost across all projects listed in that client block? [+1]
1.11. Are Hours in the non-project-level time section on the Gross Margin tab aggregated from Harvest Data by matching both client name and the exact label 'Time not at Project Level' in Project Phase? [+2]
1.12. Is Client-Level Cost in the non-project-level time section on the Gross Margin tab aggregated from Harvest Data's Grossed Extended Cost column using the same dual-filter on client name and Project Phase? [+2]
1.13. Is the Client-Level Cost Allocation in the main table hardcoded to zero for projects belonging to clients with no non-project-level overhead (H&amp;M, Panda Express, Red Sky, Vision Food Group)? [+2]
1.14. Is the Client-Level Cost Allocation for School of Rock's single project in the main table a direct reference to that client's total non-project-level cost rather than a subtable lookup? [+1]
Section 2: Model Integration
2.1. Is the Hours at Project Level on the Gross Margin - Completed Projec tab linked to the Grossed Up Hours on the Harvest Data tab? [+5]
2.2. Is the Project Start Date on the Gross Margin - Completed Projec tab linked to the Actual start date (Permit Ops) on the Projects tab? [+3]
Section 3: Output Validation
3.1. Is the Total Gross Profit on the Gross Margin - Completed Projec tab (Total row, column L) within +/- 2% of 898393.31? [+5]
3.2. Is the Total Gross Margin on the Gross Margin - Completed Projec tab (Total row, column M) within +/- 0.5 pp of 64.8%? [+5]
3.3. Is the Average Gross Profit on the Gross Margin - Completed Projec tab (Average row, column L) within +/- 2% of 44919.67? [+5]
3.4. Is the Total Project-Level Cost on the Gross Margin - Completed Projec tab (Total row, column I) within +/- 2% of 449498.69? [+4]
3.5. Is the Total Client-Level Cost Allocation on the Gross Margin - Completed Projec tab (Total row, column J) within +/- 2% of 39000? [+5]
3.6. Is the Total Hours at Project Level on the Gross Margin - Completed Projec tab (Total row, column H) within +/- 2% of 7858.18? [+3]
3.7. Is the Total Total Cost on the Gross Margin - Completed Projec tab (Total row, column K) within +/- 2% of 488498.69? [+5]
3.8. Is the Total Project Value on the Gross Margin - Completed Projec tab (Total row, column G) within +/- 2% of 1386892? [+3]
3.9. Is the Average Gross Margin on the Gross Margin - Completed Projec tab (Average row, column M) within +/- 0.5 pp of 64.7%? [+5]
Section 4: Perturbation
4.1. If the Grossed Extended Cost value for the first data row in the Harvest Data tab (the row with task ID 15485439, Grossed Extended Cost of approximately 1034.81) is changed from 1034.8128 to 2069.6256 (doubled), does the Total Project-Level Cost on the Gross Margin - Completed Projec tab (Total row) update to reflect the increase, within +/- 2% of the correctly computed value? [+5]
4.2. If the Grossed Up Hours value for the first data row in the Harvest Data tab (the row with Grossed Up Hours of 8) is changed from 8 to 24 (tripled), does the Total Hours at Project Level on the Gross Margin - Completed Projec tab (Total row) update to reflect the increase, within +/- 2% of the correctly computed value? [+5]
4.3. If the Grossed Extended Cost value on the Harvest Data tab in the second data row (approximately 381.19) is changed from 381.1872 to 762.3744 (doubled), does the Total Gross Profit on the Gross Margin - Completed Projec tab (Total row) update to reflect the increased cost reducing profit, within +/- 2% of the correctly computed value? [+5]
4.4. If the Grossed Extended Cost value on the Harvest Data tab in the third data row (approximately 735.19) is changed from 735.1872 to 1470.3744 (doubled), does the Total row Gross Margin percentage on the Gross Margin - Completed Projec tab update to reflect the reduced margin, within +/- 0.5 percentage points of the correctly computed value? [+5]
4.5. If the Grossed Up Hours value on the Harvest Data tab in the second data row (value of 8) is changed from 8 to 40 (5x), does the Average Hours at Project Level on the Gross Margin - Completed Projec tab (Average row) update to reflect the increase, within +/- 2% of the correctly computed value? [+5]
4.6. If the Grossed Extended Cost for the fourth data row on the Harvest Data tab (approximately 129.35, column AM row index corresponding to the fourth upstream constant at AB3's paired cost) is changed from 1034.8128 to 0 (zeroed out), does the Total Cost on the Gross Margin - Completed Projec tab (Total row) update to reflect the decrease, within +/- 2% of the correctly computed value? [+5]
4.7. If the Grossed Extended Cost on the Harvest Data tab in the third data row (approximately 735.19) is changed from 735.1872 to 0 (zeroed out), does the Average Gross Profit on the Gross Margin - Completed Projec tab (Average row) update to reflect the improved profitability, within +/- 2% of the correctly computed value? [+5]
Section 5: Presentation
5.1. Are all dollar-denominated values on the Gross Margin - Completed Projec tab formatted with a dollar sign prefix, comma separators, and no decimal places? [+2]
5.2. Do hardcoded values on the Gross Margin - Completed Projec tab appear in blue font, formula-driven values in black font, and cross-sheet references in green font? [+2]
5.3. Are the Total and Average rows and client-subtable total rows on the Gross Margin - Completed Projec tab visually distinguished with bold text? [+2]
Section 6: Pitfalls
6.1. Are there any error values in the Internal Metrics tab and the Gross Margin - Completed Projec tab (#REF!, #DIV/0!, #VALUE!, #NAME?, #N/A, #NUM!)? [-5]
6.2. Is any data or label text truncated due to insufficient column widths or row heights in the Internal Metrics tab and the Gross Margin - Completed Projec tab? [-3]</v>
      </c>
      <c r="J3" s="46"/>
      <c r="K3" s="46" t="b">
        <v>1</v>
      </c>
      <c r="L3" s="54">
        <v>46162.0</v>
      </c>
      <c r="M3" s="55">
        <v>65.0</v>
      </c>
      <c r="N3" s="45" t="str">
        <f t="shared" si="4"/>
        <v>https://admin.tsip.ai/tasks/2130b610-dc4c-4605-9163-a8b2224abd06</v>
      </c>
      <c r="O3" s="46" t="b">
        <v>0</v>
      </c>
      <c r="Q3" s="52"/>
      <c r="R3" s="5"/>
      <c r="T3" s="22">
        <v>46162.0</v>
      </c>
      <c r="U3" s="43">
        <f t="shared" si="1"/>
        <v>20</v>
      </c>
      <c r="V3" s="43">
        <f t="shared" si="2"/>
        <v>12</v>
      </c>
    </row>
    <row r="4" ht="15.75" customHeight="1">
      <c r="A4" s="5" t="s">
        <v>335</v>
      </c>
      <c r="B4" s="5" t="s">
        <v>336</v>
      </c>
      <c r="C4" s="44" t="s">
        <v>68</v>
      </c>
      <c r="D4" s="45" t="str">
        <f t="shared" si="3"/>
        <v>https://www.tsip.ai/force/6520d1cb-ef7f-4e18-8e27-901c61b13a4b</v>
      </c>
      <c r="E4" s="46" t="b">
        <v>1</v>
      </c>
      <c r="F4" s="53" t="b">
        <v>0</v>
      </c>
      <c r="G4" s="48">
        <v>46161.0</v>
      </c>
      <c r="H4" s="49">
        <v>65.0</v>
      </c>
      <c r="I4" s="47" t="str">
        <f>iferror(VLOOKUP(A4,'Decomp Rubrics'!A:B,2,false),"generating")</f>
        <v>generating</v>
      </c>
      <c r="J4" s="46"/>
      <c r="K4" s="50" t="b">
        <v>0</v>
      </c>
      <c r="L4" s="51"/>
      <c r="M4" s="44"/>
      <c r="N4" s="45" t="str">
        <f t="shared" si="4"/>
        <v>https://admin.tsip.ai/tasks/6520d1cb-ef7f-4e18-8e27-901c61b13a4b</v>
      </c>
      <c r="O4" s="46" t="b">
        <v>0</v>
      </c>
      <c r="P4" s="5"/>
      <c r="Q4" s="52"/>
      <c r="R4" s="5"/>
      <c r="T4" s="22">
        <v>46163.0</v>
      </c>
      <c r="U4" s="43">
        <f t="shared" si="1"/>
        <v>8</v>
      </c>
      <c r="V4" s="43">
        <f t="shared" si="2"/>
        <v>6</v>
      </c>
    </row>
    <row r="5" ht="15.75" customHeight="1">
      <c r="A5" s="5" t="s">
        <v>337</v>
      </c>
      <c r="B5" s="5" t="s">
        <v>336</v>
      </c>
      <c r="C5" s="44" t="s">
        <v>68</v>
      </c>
      <c r="D5" s="45" t="str">
        <f t="shared" si="3"/>
        <v>https://www.tsip.ai/force/f0ec3331-b842-4f0f-bc7a-b3aa14727aa1</v>
      </c>
      <c r="E5" s="46" t="b">
        <v>1</v>
      </c>
      <c r="F5" s="53" t="b">
        <v>0</v>
      </c>
      <c r="G5" s="48">
        <v>46161.0</v>
      </c>
      <c r="H5" s="49">
        <v>65.0</v>
      </c>
      <c r="I5" s="47" t="str">
        <f>iferror(VLOOKUP(A5,'Decomp Rubrics'!A:B,2,false),"generating")</f>
        <v>generating</v>
      </c>
      <c r="J5" s="46"/>
      <c r="K5" s="50" t="b">
        <v>0</v>
      </c>
      <c r="L5" s="51"/>
      <c r="M5" s="44"/>
      <c r="N5" s="45" t="str">
        <f t="shared" si="4"/>
        <v>https://admin.tsip.ai/tasks/f0ec3331-b842-4f0f-bc7a-b3aa14727aa1</v>
      </c>
      <c r="O5" s="46" t="b">
        <v>0</v>
      </c>
      <c r="P5" s="5"/>
      <c r="Q5" s="52"/>
      <c r="R5" s="5"/>
      <c r="T5" s="22">
        <v>46164.0</v>
      </c>
      <c r="U5" s="43">
        <f t="shared" si="1"/>
        <v>0</v>
      </c>
      <c r="V5" s="43">
        <f t="shared" si="2"/>
        <v>0</v>
      </c>
    </row>
    <row r="6" ht="15.75" customHeight="1">
      <c r="A6" s="5" t="s">
        <v>338</v>
      </c>
      <c r="B6" s="5" t="s">
        <v>339</v>
      </c>
      <c r="C6" s="44" t="s">
        <v>68</v>
      </c>
      <c r="D6" s="45" t="str">
        <f t="shared" si="3"/>
        <v>https://www.tsip.ai/force/cb5b1a21-8bce-42c1-807f-d08dcf9df983</v>
      </c>
      <c r="E6" s="46" t="b">
        <v>1</v>
      </c>
      <c r="F6" s="47" t="b">
        <v>0</v>
      </c>
      <c r="G6" s="48">
        <v>46161.0</v>
      </c>
      <c r="H6" s="49">
        <v>55.0</v>
      </c>
      <c r="I6" s="47" t="str">
        <f>iferror(VLOOKUP(A6,'Decomp Rubrics'!A:B,2,false),"generating")</f>
        <v>generating</v>
      </c>
      <c r="J6" s="46"/>
      <c r="K6" s="50" t="b">
        <v>0</v>
      </c>
      <c r="L6" s="51"/>
      <c r="M6" s="44"/>
      <c r="N6" s="45" t="str">
        <f t="shared" si="4"/>
        <v>https://admin.tsip.ai/tasks/cb5b1a21-8bce-42c1-807f-d08dcf9df983</v>
      </c>
      <c r="O6" s="46" t="b">
        <v>0</v>
      </c>
      <c r="P6" s="5"/>
      <c r="Q6" s="52"/>
      <c r="R6" s="5"/>
    </row>
    <row r="7" ht="15.75" customHeight="1">
      <c r="A7" s="5" t="s">
        <v>340</v>
      </c>
      <c r="B7" s="5" t="s">
        <v>339</v>
      </c>
      <c r="C7" s="44" t="s">
        <v>68</v>
      </c>
      <c r="D7" s="45" t="str">
        <f t="shared" si="3"/>
        <v>https://www.tsip.ai/force/4ebd8dfe-d037-41fa-914c-0a150d04cb87</v>
      </c>
      <c r="E7" s="9" t="b">
        <v>1</v>
      </c>
      <c r="F7" s="47" t="b">
        <v>0</v>
      </c>
      <c r="G7" s="48">
        <v>46161.0</v>
      </c>
      <c r="H7" s="49">
        <v>65.0</v>
      </c>
      <c r="I7" s="47" t="str">
        <f>iferror(VLOOKUP(A7,'Decomp Rubrics'!A:B,2,false),"generating")</f>
        <v>generating</v>
      </c>
      <c r="J7" s="46"/>
      <c r="K7" s="50" t="b">
        <v>0</v>
      </c>
      <c r="L7" s="51"/>
      <c r="M7" s="44"/>
      <c r="N7" s="45" t="str">
        <f t="shared" si="4"/>
        <v>https://admin.tsip.ai/tasks/4ebd8dfe-d037-41fa-914c-0a150d04cb87</v>
      </c>
      <c r="O7" s="46" t="b">
        <v>0</v>
      </c>
      <c r="P7" s="5"/>
      <c r="Q7" s="52"/>
      <c r="R7" s="5"/>
    </row>
    <row r="8" ht="15.75" customHeight="1">
      <c r="A8" s="5" t="s">
        <v>341</v>
      </c>
      <c r="B8" s="5" t="s">
        <v>342</v>
      </c>
      <c r="C8" s="44" t="s">
        <v>150</v>
      </c>
      <c r="D8" s="45" t="str">
        <f t="shared" si="3"/>
        <v>https://www.tsip.ai/force/212df67f-c687-4e67-afe9-50edeaab2592</v>
      </c>
      <c r="E8" s="46" t="b">
        <v>1</v>
      </c>
      <c r="F8" s="53" t="b">
        <v>1</v>
      </c>
      <c r="G8" s="48">
        <v>46161.0</v>
      </c>
      <c r="H8" s="49">
        <v>90.0</v>
      </c>
      <c r="I8" s="47" t="str">
        <f>iferror(VLOOKUP(A8,'Decomp Rubrics'!A:B,2,false),"generating")</f>
        <v>generating</v>
      </c>
      <c r="J8" s="9"/>
      <c r="K8" s="9" t="b">
        <v>1</v>
      </c>
      <c r="L8" s="54">
        <v>46162.0</v>
      </c>
      <c r="M8" s="55">
        <v>60.0</v>
      </c>
      <c r="N8" s="45" t="str">
        <f t="shared" si="4"/>
        <v>https://admin.tsip.ai/tasks/212df67f-c687-4e67-afe9-50edeaab2592</v>
      </c>
      <c r="O8" s="46" t="b">
        <v>0</v>
      </c>
      <c r="P8" s="5"/>
      <c r="Q8" s="52"/>
      <c r="R8" s="5"/>
    </row>
    <row r="9" ht="15.75" customHeight="1">
      <c r="A9" s="5" t="s">
        <v>343</v>
      </c>
      <c r="B9" s="5" t="s">
        <v>342</v>
      </c>
      <c r="C9" s="44" t="s">
        <v>62</v>
      </c>
      <c r="D9" s="45" t="str">
        <f t="shared" si="3"/>
        <v>https://www.tsip.ai/force/53f5ed76-f45f-4c3d-986c-2aa0015a4bc0</v>
      </c>
      <c r="E9" s="9" t="b">
        <v>1</v>
      </c>
      <c r="F9" s="53" t="b">
        <v>1</v>
      </c>
      <c r="G9" s="48">
        <v>46161.0</v>
      </c>
      <c r="H9" s="55">
        <v>150.0</v>
      </c>
      <c r="I9" s="47" t="s">
        <v>344</v>
      </c>
      <c r="J9" s="9"/>
      <c r="K9" s="9" t="b">
        <v>1</v>
      </c>
      <c r="L9" s="54">
        <v>46162.0</v>
      </c>
      <c r="M9" s="55">
        <v>90.0</v>
      </c>
      <c r="N9" s="45" t="str">
        <f t="shared" si="4"/>
        <v>https://admin.tsip.ai/tasks/53f5ed76-f45f-4c3d-986c-2aa0015a4bc0</v>
      </c>
      <c r="O9" s="46" t="b">
        <v>0</v>
      </c>
      <c r="P9" s="5"/>
      <c r="Q9" s="52"/>
      <c r="R9" s="5"/>
    </row>
    <row r="10" ht="15.75" customHeight="1">
      <c r="A10" s="5" t="s">
        <v>345</v>
      </c>
      <c r="B10" s="5" t="s">
        <v>342</v>
      </c>
      <c r="C10" s="55" t="s">
        <v>150</v>
      </c>
      <c r="D10" s="45" t="str">
        <f t="shared" si="3"/>
        <v>https://www.tsip.ai/force/0cf86c7d-efd2-449c-ba36-fd3f8ef9d235</v>
      </c>
      <c r="E10" s="9" t="b">
        <v>1</v>
      </c>
      <c r="F10" s="53" t="b">
        <v>1</v>
      </c>
      <c r="G10" s="54">
        <v>46162.0</v>
      </c>
      <c r="H10" s="55">
        <v>15.0</v>
      </c>
      <c r="I10" s="56"/>
      <c r="J10" s="9"/>
      <c r="K10" s="9" t="b">
        <v>1</v>
      </c>
      <c r="L10" s="54">
        <v>46162.0</v>
      </c>
      <c r="M10" s="55">
        <v>45.0</v>
      </c>
      <c r="N10" s="45" t="str">
        <f t="shared" si="4"/>
        <v>https://admin.tsip.ai/tasks/0cf86c7d-efd2-449c-ba36-fd3f8ef9d235</v>
      </c>
      <c r="O10" s="46" t="b">
        <v>0</v>
      </c>
      <c r="P10" s="5"/>
      <c r="Q10" s="52"/>
      <c r="R10" s="5"/>
    </row>
    <row r="11" ht="15.75" customHeight="1">
      <c r="A11" s="5" t="s">
        <v>346</v>
      </c>
      <c r="B11" s="5" t="s">
        <v>342</v>
      </c>
      <c r="C11" s="55" t="s">
        <v>150</v>
      </c>
      <c r="D11" s="45" t="str">
        <f t="shared" si="3"/>
        <v>https://www.tsip.ai/force/9e7084f5-eb7b-4985-8ff5-e110682dca32</v>
      </c>
      <c r="E11" s="9" t="b">
        <v>1</v>
      </c>
      <c r="F11" s="53" t="b">
        <v>1</v>
      </c>
      <c r="G11" s="54">
        <v>46162.0</v>
      </c>
      <c r="H11" s="55">
        <v>25.0</v>
      </c>
      <c r="I11" s="56"/>
      <c r="J11" s="9"/>
      <c r="K11" s="9" t="b">
        <v>1</v>
      </c>
      <c r="L11" s="54">
        <v>46162.0</v>
      </c>
      <c r="M11" s="55">
        <v>45.0</v>
      </c>
      <c r="N11" s="45" t="str">
        <f t="shared" si="4"/>
        <v>https://admin.tsip.ai/tasks/9e7084f5-eb7b-4985-8ff5-e110682dca32</v>
      </c>
      <c r="O11" s="46" t="b">
        <v>0</v>
      </c>
      <c r="P11" s="5"/>
      <c r="Q11" s="52"/>
      <c r="R11" s="5"/>
    </row>
    <row r="12" ht="15.75" customHeight="1">
      <c r="A12" s="5" t="s">
        <v>347</v>
      </c>
      <c r="B12" s="5" t="s">
        <v>342</v>
      </c>
      <c r="C12" s="55" t="s">
        <v>150</v>
      </c>
      <c r="D12" s="45" t="str">
        <f t="shared" si="3"/>
        <v>https://www.tsip.ai/force/5772657d-c020-44b6-94e5-9d663dce40a6</v>
      </c>
      <c r="E12" s="46" t="b">
        <v>0</v>
      </c>
      <c r="F12" s="56" t="b">
        <v>0</v>
      </c>
      <c r="G12" s="51"/>
      <c r="H12" s="44"/>
      <c r="I12" s="56"/>
      <c r="J12" s="46"/>
      <c r="K12" s="46" t="b">
        <v>0</v>
      </c>
      <c r="L12" s="51"/>
      <c r="M12" s="44"/>
      <c r="N12" s="45" t="str">
        <f t="shared" si="4"/>
        <v>https://admin.tsip.ai/tasks/5772657d-c020-44b6-94e5-9d663dce40a6</v>
      </c>
      <c r="O12" s="46" t="b">
        <v>0</v>
      </c>
      <c r="P12" s="5"/>
      <c r="Q12" s="52"/>
      <c r="R12" s="5"/>
    </row>
    <row r="13" ht="15.75" customHeight="1">
      <c r="A13" s="5" t="s">
        <v>348</v>
      </c>
      <c r="B13" s="5" t="s">
        <v>342</v>
      </c>
      <c r="C13" s="55" t="s">
        <v>150</v>
      </c>
      <c r="D13" s="45" t="str">
        <f t="shared" si="3"/>
        <v>https://www.tsip.ai/force/ba300a65-ea63-4c81-b690-60c9a9a42c30</v>
      </c>
      <c r="E13" s="46" t="b">
        <v>0</v>
      </c>
      <c r="F13" s="56" t="b">
        <v>0</v>
      </c>
      <c r="G13" s="51"/>
      <c r="H13" s="44"/>
      <c r="I13" s="56"/>
      <c r="J13" s="46"/>
      <c r="K13" s="46" t="b">
        <v>0</v>
      </c>
      <c r="L13" s="51"/>
      <c r="M13" s="44"/>
      <c r="N13" s="45" t="str">
        <f t="shared" si="4"/>
        <v>https://admin.tsip.ai/tasks/ba300a65-ea63-4c81-b690-60c9a9a42c30</v>
      </c>
      <c r="O13" s="46" t="b">
        <v>0</v>
      </c>
      <c r="P13" s="5"/>
      <c r="Q13" s="52"/>
      <c r="R13" s="5"/>
    </row>
    <row r="14" ht="15.75" customHeight="1">
      <c r="A14" s="5" t="s">
        <v>349</v>
      </c>
      <c r="B14" s="5" t="s">
        <v>342</v>
      </c>
      <c r="C14" s="55" t="s">
        <v>150</v>
      </c>
      <c r="D14" s="45" t="str">
        <f t="shared" si="3"/>
        <v>https://www.tsip.ai/force/ee4eea58-d556-41cf-beea-19d9036fb126</v>
      </c>
      <c r="E14" s="9" t="b">
        <v>1</v>
      </c>
      <c r="F14" s="53" t="b">
        <v>1</v>
      </c>
      <c r="G14" s="54">
        <v>46162.0</v>
      </c>
      <c r="H14" s="55">
        <v>25.0</v>
      </c>
      <c r="I14" s="56"/>
      <c r="J14" s="9"/>
      <c r="K14" s="9" t="b">
        <v>1</v>
      </c>
      <c r="L14" s="54">
        <v>46163.0</v>
      </c>
      <c r="M14" s="55">
        <v>45.0</v>
      </c>
      <c r="N14" s="45" t="str">
        <f t="shared" si="4"/>
        <v>https://admin.tsip.ai/tasks/ee4eea58-d556-41cf-beea-19d9036fb126</v>
      </c>
      <c r="O14" s="46" t="b">
        <v>0</v>
      </c>
      <c r="P14" s="5"/>
      <c r="Q14" s="52"/>
      <c r="R14" s="5"/>
    </row>
    <row r="15" ht="15.75" customHeight="1">
      <c r="A15" s="5" t="s">
        <v>350</v>
      </c>
      <c r="B15" s="5" t="s">
        <v>351</v>
      </c>
      <c r="C15" s="55" t="s">
        <v>68</v>
      </c>
      <c r="D15" s="45" t="str">
        <f t="shared" si="3"/>
        <v>https://www.tsip.ai/force/4cd85cb8-ca9a-42b6-a531-2a9066090578</v>
      </c>
      <c r="E15" s="50" t="b">
        <v>0</v>
      </c>
      <c r="F15" s="47" t="b">
        <v>0</v>
      </c>
      <c r="G15" s="44"/>
      <c r="H15" s="44"/>
      <c r="I15" s="47" t="str">
        <f>iferror(VLOOKUP(A15,'Decomp Rubrics'!A:B,2,false),"generating")</f>
        <v>Section 1: Formula Correctness
1.1. Is cumulative units on the Unit Assumptions tab calculated as a running sum of all prior and current year new units sold, using a rolling accumulation pattern? [+2]
1.2. Is cumulative market share on the Unit Assumptions tab derived as cumulative units divided by total addressable market size for the corresponding year? [+1]
1.3. Is the total addressable market size for 2025P through 2029P on the Unit Assumptions tab grown from the prior year using the specified annual growth rates of 1.0%, 0.8%, 0.5%, 0.4%, and 0.4%? [+2]
1.4. Is units with pets on the Unit Assumptions tab calculated as 60% of total market size, and units with non-AA pets as 92% of units with pets? [+1]
1.5. Is YoY units sold growth on the Unit Assumptions tab derived as the current year new units sold divided by the prior year new units sold, minus one? [+1]
1.6. Is Data users as a percent of cumulative Profile units on the Unit Assumptions tab derived as total Data users divided by cumulative Profile units for each year? [+1]
1.7. Is the Growth row on the Revenue Assumptions tab calculated as each vintage year's cost divided by the prior vintage year's cost, minus one? [+1]
1.8. Is the per-unit recognition amount for projected cohort vintages on the Revenue Assumptions tab derived as the 2023 cohort's same-lifecycle-year amount multiplied by the ratio of the projected calendar year cost to 25? [+3]
1.9. Are the 2023 cohort's Year 8 through Year 12 base amounts on the Revenue Assumptions tab grown from the Year 7 base at 5% per lifecycle year before applying the cost ratio scaling? [+2]
1.10. Is cohort revenue on the Revenue Build tab for each projected year calculated as the cohort's unit count multiplied by the applicable per-unit recognition amount for that cohort vintage and lifecycle year? [+2]
1.11. Is Total Profile Revenue on the Revenue Build tab calculated as the sum of all cohort vintage revenue rows plus the Unaffiliated line for each year? [+2]
1.12. Is Data revenue on the Revenue Detail tab for projected years calculated as total Data users from the Unit Assumptions tab multiplied by the revenue per user assumption from Revenue Assumptions? [+2]
1.13. Is Total Revenue on the Revenue Detail tab calculated as the sum of Profile, Data, Atlas Platform, and Other revenue lines for each year? [+2]
1.14. Are the CAGR calculations on the Revenue Detail tab for the 2021-to-2024 and 2023-to-2029 periods derived using the standard compound annual growth rate formula based on end and start values and the number of years? [+2]
1.15. Is the Amt Recognized in Year 8+ per Unit for 2017 row on the Revenue Assumptions tab carried forward from the 2017 cohort's Year 7 actual amount, scaled each projected year by the applicable cost growth rate? [+2]
Section 2: Model Integration
2.1. Is the cohort revenue on the Revenue Build tab linked to the per-unit recognition amount on the Revenue Assumptions tab? [+5]
2.2. Is the Profile revenue on the Revenue Detail tab linked to the Total Profile Revenue on the Revenue Build tab? [+4]
2.3. Is the Data revenue on the Revenue Detail tab linked to the Total Users on the Unit Assumptions tab? [+4]
2.4. Is the Data revenue on the Revenue Detail tab linked to the RPU on the Revenue Assumptions tab? [+4]
2.5. Is the cohort unit count on the Revenue Build tab linked to the New Units Sold on the Unit Assumptions tab? [+4]
2.6. Is the New Units Sold on the Unit Assumptions tab linked to the historical cohort units on the Revenue Build tab? [+3]
2.7. Is the Cumulative Units on the Unit Assumptions tab linked to the cohort vintage units on the Revenue Build tab? [+3]
2.8. Is the Total Addressable Market on the Unit Assumptions tab linked to the year labels on the Detailed P&amp;L tab? [+2]
Section 3: Output Validation
3.1. Is Total Profile Revenue for 2029P on the Revenue Build tab within +/- 2% of 294,888,940? [+5]
3.2. Is Total Revenue for 2029P on the Revenue Detail tab within +/- 2% of 353,104,940? [+5]
3.3. Is Total Profile Revenue for 2024F on the Revenue Build tab within +/- 2% of 39,543,648? [+5]
3.4. Is cumulative units for 2029P on the Unit Assumptions tab within +/- 2% of 18,374,000? [+3]
3.5. Is Data revenue for 2025P on the Revenue Detail tab within +/- 2% of 8,490,000? [+4]
3.6. Is Total Profile Revenue for 2027P on the Revenue Build tab within +/- 2% of 138,927,480? [+5]
3.7. Is the cumulative market share for 2029P on the Unit Assumptions tab within +/- 0.5 pp of 39.2%? [+4]
3.8. Is Total Revenue for 2024F on the Revenue Detail tab within +/- 2% of 53,770,648? [+5]
3.9. Is the Total Profile Revenue YoY growth rate for 2025P on the Revenue Build tab within +/- 0.5 pp of 62.0%? [+4]
Section 4: Perturbation
4.1. If the new units sold (Multi-Family / Single-Family) for 2024F on the Unit Assumptions tab is changed from 1,500,000 to 3,000,000, does Total Profile Revenue for 2024F on the Revenue Build tab update to within +/- 2% of the correctly computed value reflecting doubled 2024 cohort units? [+5]
4.2. If the Share Growth assumption for 2025P on the Unit Assumptions tab is changed from 25% to 50%, does Total Profile Revenue for 2025P on the Revenue Detail tab update to within +/- 2% of the correctly computed value reflecting the higher share growth feeding through units sold to revenue? [+5]
4.3. If the market YoY growth rate for 2025P on the Unit Assumptions tab is changed from 1.0% to 5.0%, does the cumulative units figure for 2025P on the Unit Assumptions tab update to within +/- 2% of the correctly computed value reflecting the larger addressable market? [+5]
4.4. If the Units with Pets percentage on the Unit Assumptions tab is changed from 60% to 30%, does Total Profile Revenue for 2026P on the Revenue Detail tab update to within +/- 2% of the correctly computed value reflecting halved pet-owning unit assumptions flowing through units sold to revenue? [+5]
4.5. If the pets per household (non-AA) multiplier on the Unit Assumptions tab is changed from 1.59 to 3.18, does Total Profile Revenue for 2027P on the Revenue Detail tab update to within +/- 2% of the correctly computed value reflecting doubled pet density assumptions? [+5]
4.6. If the units with non-AA pets percentage on the Unit Assumptions tab is changed from 92% to 46%, does Total Revenue for 2028P on the Revenue Detail tab update to within +/- 2% of the correctly computed value reflecting halved non-AA pet ownership flowing through Profile units sold and Data users to total revenue? [+5]
4.7. If the Share Growth assumption for 2026P on the Unit Assumptions tab is changed from 25% to 50%, does Total Profile Revenue for 2029P on the Revenue Build tab update to within +/- 2% of the correctly computed value reflecting the compounded effect of higher share growth on all subsequent cohort vintages? [+5]
Section 5: Presentation
5.1. Are hardcoded assumption values displayed in blue font while formula-driven values use black font and cross-sheet references use green font across the Unit Assumptions and Revenue Build tabs? [+2]
5.2. Are section header rows on the Unit Assumptions tab (Profile, Data) formatted with a yellow-gold fill and bold text's header styling? [+2]
5.3. Are total and subtotal rows on the Revenue Build and Unit Assumptions tabs visually distinguished with bold text? [+2]
Section 6: Pitfalls
6.1. Are there any error values in the Unit Assumptions tab, the Detailed P&amp;L tab, the Expense Assumptions tab, the Revenue Assumptions tab, the Revenue Detail tab, and the Revenue Build tab (#REF!, #DIV/0!, #VALUE!, #NAME?, #N/A, #NUM!)? [-5]
6.2. Is any data or label text truncated due to insufficient column widths or row heights in the Unit Assumptions tab, the Detailed P&amp;L tab, the Expense Assumptions tab, the Revenue Assumptions tab, the Revenue Detail tab, and the Revenue Build tab? [-3]</v>
      </c>
      <c r="J15" s="46"/>
      <c r="K15" s="46" t="b">
        <v>0</v>
      </c>
      <c r="L15" s="44"/>
      <c r="M15" s="44"/>
      <c r="N15" s="45" t="str">
        <f t="shared" si="4"/>
        <v>https://admin.tsip.ai/tasks/4cd85cb8-ca9a-42b6-a531-2a9066090578</v>
      </c>
      <c r="O15" s="46" t="b">
        <v>0</v>
      </c>
      <c r="P15" s="8" t="s">
        <v>352</v>
      </c>
      <c r="Q15" s="5"/>
      <c r="R15" s="5"/>
    </row>
    <row r="16" ht="15.75" customHeight="1">
      <c r="A16" s="5" t="s">
        <v>353</v>
      </c>
      <c r="B16" s="5" t="s">
        <v>351</v>
      </c>
      <c r="C16" s="55" t="s">
        <v>68</v>
      </c>
      <c r="D16" s="45" t="str">
        <f t="shared" si="3"/>
        <v>https://www.tsip.ai/force/c27d425f-d821-4e33-aa94-c3578e6381b1</v>
      </c>
      <c r="E16" s="50" t="b">
        <v>0</v>
      </c>
      <c r="F16" s="47" t="b">
        <v>0</v>
      </c>
      <c r="G16" s="44"/>
      <c r="H16" s="44"/>
      <c r="I16" s="47" t="str">
        <f>iferror(VLOOKUP(A16,'Decomp Rubrics'!A:B,2,false),"generating")</f>
        <v>Section 1: Formula Correctness
1.1. Is each department subtotal on the Detailed P&amp;L calculated as the sum of its Non-Labor sub-row and its Labor sub-row for all periods? [+2]
1.2. Is Total Operating Expenses on the Detailed P&amp;L calculated as the sum of all ten department subtotals (Admin through Atlas Platform)? [+2]
1.3. Is Capitalized Software Development on the Detailed P&amp;L for projected years computed as a negative value based on Software Development expense times the Capitalization Rate, rounded to the nearest hundred? [+2]
1.4. Is Net Operating Expenses on the Detailed P&amp;L calculated as Total Operating Expenses plus Capitalized Software Development (where Capitalized Software Development is negative)? [+1]
1.5. Is EBITDA on the Detailed P&amp;L calculated as Gross Profit minus Net Operating Expenses? [+2]
1.6. Is EBITDA Margin on the Detailed P&amp;L calculated as EBITDA divided by Total Net Revenue? [+1]
1.7. Is Amortization on the Detailed P&amp;L for projected years computed as a negative value, starting at negative $2,500,000 in 2025P and growing at 1.3 times the prior year's value? [+2]
1.8. Is Tax Expense on the Detailed P&amp;L for projected years calculated as negative 3% of EBITDA, rounded to the nearest hundred? [+2]
1.9. Is Total Other Income / (Expenses) on the Detailed P&amp;L computed as the sum of Interest Income, Depreciation, Amortization, Interest, Tax Expense, and Other (net)? [+2]
1.10. Is Net Income on the Detailed P&amp;L calculated as EBITDA plus Total Other Income / (Expenses)? [+1]
1.11. Is Gross Profit on the Summary P&amp;L calculated as Total Net Revenue minus Total Cost of Goods Sold? [+1]
1.12. Is Other Expenses on the Summary P&amp;L for projected years calculated as the negative of the sum of Depreciation, Amortization, Interest, and Tax Expense from the Detailed P&amp;L? [+2]
1.13. Is Total Other Income / (Expenses) on the Summary P&amp;L calculated as Other Income minus Other Expenses? [+1]
1.14. Does the blended core business net margin on the Summary P&amp;L equal one minus the sum of Profile COGS and Data COGS divided by the sum of Profile Net Revenue and Data Net Revenue? [+2]
1.15. Do the YoY growth rates in the Growth Analysis section on the Summary P&amp;L suppress the formula (return blank or empty) when the prior period value is zero? [+3]
Section 2: Model Integration
2.1. Is the Capitalized Software Development on the Detailed P&amp;L tab linked to the Capitalization Rate on the Expense Assumptions tab? [+5]
2.2. Is the Staffing Costs operating expense on the Summary P&amp;L tab linked to the Staffing Costs in the non-labor expense detail on the Detailed P&amp;L tab? [+4]
2.3. Is the Admin department margin on the Summary P&amp;L tab linked to the Admin department subtotal on the Detailed P&amp;L tab? [+4]
2.4. Is the operating expense growth rate on the Expense Assumptions tab linked to the operating expense line on the Summary P&amp;L tab? [+4]
2.5. Is the period header row on the Summary P&amp;L tab linked to the period header row on the Detailed P&amp;L tab? [+3]
2.6. Is the Net Income check row on the Summary P&amp;L tab linked to the Net Income on the Detailed P&amp;L tab? [+3]
2.7. Is the COGS growth rate on the Expense Assumptions tab linked to the COGS line item on the Detailed P&amp;L tab? [+3]
Section 3: Output Validation
3.1. Is Net Income for 2029P on the Detailed P&amp;L tab within +/- 2% of 44,584,400? [+5]
3.2. Is EBITDA for 2029P on the Detailed P&amp;L tab within +/- 2% of 62,498,200? [+5]
3.3. Is Total Other Income / (Expenses) for 2028P on the Detailed P&amp;L tab within +/- 2% of -13,819,100? [+5]
3.4. Is Net Income for 2029P on the Summary P&amp;L tab within +/- 2% of 44,584,400? [+5]
3.5. Is EBITDA Margin for 2027P on the Detailed P&amp;L tab within +/- 0.5 pp of 24.3%? [+4]
3.6. Is Amortization for 2028P on the Detailed P&amp;L tab within +/- 2% of -5,489,400? [+4]
3.7. Is Total Operating Expenses for 2025P on the Detailed P&amp;L tab within +/- 2% of 42,498,572? [+3]
3.8. Is EBITDA for 2024F on the Detailed P&amp;L tab within +/- 2% of 5,175,097? [+3]
3.9. Is Net Operating Expenses for 2026P on the Summary P&amp;L tab within +/- 2% of 42,766,900? [+5]
Section 4: Perturbation
4.1. If the projected Interest Income value on the Detailed P&amp;L tab for 2025P is changed from 300000 to 600000, does the Net Income on the Summary P&amp;L tab for 2025P update to reflect this increase (within +/- 2% of the expected value)? [+5]
4.2. If the projected Amortization value on the Detailed P&amp;L tab for 2025P is changed from -2500000 to -5000000, does the Net Income on the Summary P&amp;L tab for 2029P update to reflect the compounded impact (within +/- 2% of the expected value)? [+5]
4.3. If the projected Depreciation value on the Detailed P&amp;L tab for 2025P is changed from -200000 to -1000000, does the Other Expenses line on the Summary P&amp;L tab for 2025P update to within +/- 2% of the expected value? [+5]
4.4. If the Capitalization Rate on the Expense Assumptions tab is changed from its current value of 0.5 to 0.25, does the EBITDA on the Summary P&amp;L tab for 2027P update to within +/- 2% of the expected value? [+5]
4.5. If the projected Tax Expense percentage assumption on the Detailed P&amp;L tab for 2025P is changed from -3% applied to EBITDA (resulting in the current Tax Expense value) by changing the Tax Expense hardcoded value from its current amount to double that amount, does the Net Income on the Detailed P&amp;L tab for 2025P update to within +/- 2% of the expected value? [+5]
4.6. If the historical Other Income value on the Summary P&amp;L tab for 2021A is changed from 47224.73 to 500000, does the Total Other Income / (Expenses) on the Summary P&amp;L tab for 2021A update to within +/- 2% of the expected value? [+5]
4.7. If the historical Other Expenses value on the Summary P&amp;L tab for 2022A is changed from 1219225.61 to 2400000, does the Net Income on the Summary P&amp;L tab for 2022A update to within +/- 2% of the expected value? [+5]
Section 5: Presentation
5.1. Are hardcoded values displayed in blue font, formula-driven values in black font, and cross-sheet references in green font on the Summary P&amp;L and Detailed P&amp;L tabs? [+2]
5.2. Are all non-empty currency values on the Summary P&amp;L and Detailed P&amp;L tabs formatted with thousands separators, no decimal places, and parentheses for negatives? [+2]
5.3. Are total and subtotal rows such as Gross Revenue, Net Operating Expenses, and Net Income on the Summary P&amp;L and Detailed P&amp;L tabs visually distinguished with bold text? [+2]
Section 6: Pitfalls
6.1. Are there any error values in the Summary P&amp;L tab, the Detailed P&amp;L tab, and the Expense Assumptions tab (#REF!, #DIV/0!, #VALUE!, #NAME?, #N/A, #NUM!)? [-5]
6.2. Is any data or label text truncated due to insufficient column widths or row heights in the Summary P&amp;L tab, the Detailed P&amp;L tab, and the Expense Assumptions tab? [-3]</v>
      </c>
      <c r="J16" s="46"/>
      <c r="K16" s="46" t="b">
        <v>0</v>
      </c>
      <c r="L16" s="44"/>
      <c r="M16" s="44"/>
      <c r="N16" s="45" t="str">
        <f t="shared" si="4"/>
        <v>https://admin.tsip.ai/tasks/c27d425f-d821-4e33-aa94-c3578e6381b1</v>
      </c>
      <c r="O16" s="46" t="b">
        <v>0</v>
      </c>
      <c r="P16" s="8" t="s">
        <v>352</v>
      </c>
      <c r="Q16" s="5"/>
      <c r="R16" s="5"/>
    </row>
    <row r="17" ht="15.75" customHeight="1">
      <c r="A17" s="5" t="s">
        <v>354</v>
      </c>
      <c r="B17" s="5" t="s">
        <v>351</v>
      </c>
      <c r="C17" s="55" t="s">
        <v>68</v>
      </c>
      <c r="D17" s="45" t="str">
        <f t="shared" si="3"/>
        <v>https://www.tsip.ai/force/9f73b336-d815-4df1-9696-cec256055a58</v>
      </c>
      <c r="E17" s="50" t="b">
        <v>0</v>
      </c>
      <c r="F17" s="47" t="b">
        <v>0</v>
      </c>
      <c r="G17" s="44"/>
      <c r="H17" s="44"/>
      <c r="I17" s="47" t="str">
        <f>iferror(VLOOKUP(A17,'Decomp Rubrics'!A:B,2,false),"generating")</f>
        <v>Section 1: Formula Correctness
1.1. Is Gross Revenue on the Detailed P&amp;L calculated as the sum of Profile, Data, Atlas Platform, New Markets, and Other revenue lines for each projection year? [+2]
1.2. Is Total Net Revenue on the Detailed P&amp;L calculated as the sum of Profile Net Revenue, Data Net Revenue, Atlas Platform Net Revenue, and New Markets Net Revenue for each period? [+2]
1.3. Is Profile Net Revenue on the Detailed P&amp;L derived as Profile gross revenue minus Profile Disputes and Profile Refunds for each projection year? [+2]
1.4. Is Atlas Platform Net Revenue on the Detailed P&amp;L derived as Atlas Platform gross revenue minus Atlas Platform Returns and Atlas Platform Discounts for each projection year? [+2]
1.5. Is Gross Profit on the Detailed P&amp;L calculated as Total Net Revenue minus Total COGS for each period? [+2]
1.6. Is Gross Margin on the Detailed P&amp;L calculated as Gross Profit divided by Total Net Revenue for each period? [+1]
1.7. Is FTA Supplies in the COGS section calculated as a percentage of the FTA Fulfillment line item rather than as a percentage of Atlas Platform gross revenue? [+2]
1.8. Is each projected labor department line on the Detailed P&amp;L computed as the beginning-of-year run rate times the fully loaded rate, plus additional new hire salary times the fully loaded rate times a partial-year factor of (12 minus average start month) divided by 12? [+3]
1.9. Are projected labor department amounts on the Detailed P&amp;L rounded to the nearest hundred? [+1]
1.10. Is the beginning-of-year run rate for 2026P onward on the Expense Assumptions tab calculated as the prior year's run rate grown by the ongoing salary growth rate plus the annualized new hire salaries for that department and year? [+3]
1.11. Is Marketing Costs FTA on the Detailed P&amp;L projected as a percentage of the combined Data plus Atlas Platform gross revenue using the rate from the Expense Assumptions tab, rather than using a YoY growth rate? [+2]
1.12. Is Profile Disputes in 2025P on the Detailed P&amp;L calculated as the 2024F implied dispute rate grown by 13%, then multiplied by Profile gross revenue? [+2]
1.13. Is the Total Non-Labor Expenses line on the Detailed P&amp;L computed as the aggregate of all non-labor category subtotals for each period? [+1]
1.14. Does the Additional Labor Expense By Department section on the Expense Assumptions tab aggregate new hire salaries by department for each projection year, with a total row summing across all departments? [+1]
1.15. Is the 2025P beginning-of-year run rate for each department on the Expense Assumptions tab calculated as the 2024F ending run rate multiplied by one plus the first plan year salary growth rate? [+2]
Section 2: Model Integration
2.1. Is the Disputes deduction on the Detailed P&amp;L tab linked to the Disputes rate on the Expense Assumptions tab? [+5]
2.2. Is the Profile gross revenue on the Detailed P&amp;L tab linked to the Profile revenue on the Revenue Detail tab? [+4]
2.3. Is the Disputes rate on the Expense Assumptions tab linked to the Disputes amount on the Detailed P&amp;L tab? [+4]
Section 3: Output Validation
3.1. Is Total Net Revenue for 2029P on the Detailed P&amp;L tab within +/- 2% of 80,076,830? [+5]
3.2. Is Total COGS for 2029P on the Detailed P&amp;L tab within +/- 2% of 21,539,519? [+5]
3.3. Is Total Non-Labor Expenses for 2029P on the Detailed P&amp;L tab within +/- 2% of 20,785,476? [+5]
3.4. Is Total Labor Expenses for 2029P on the Detailed P&amp;L tab within +/- 2% of 22,003,200? [+5]
3.5. Is EBITDA for 2029P on the Detailed P&amp;L tab within +/- 2% of 15,748,635? [+5]
3.6. Is Gross Margin for 2027P on the Detailed P&amp;L tab within +/- 0.5 pp of 72.6%? [+4]
3.7. Is Gross Profit for 2025P on the Detailed P&amp;L tab within +/- 2% of 36,813,024? [+4]
3.8. Is Total Net Revenue for 2025P on the Detailed P&amp;L tab within +/- 2% of 50,717,498? [+3]
3.9. Is the Total Labor Run Rate for 2027P on the Expense Assumptions tab within +/- 2% of 13,785,416? [+4]
3.10. Is Total Labor Expenses for 2025P on the Detailed P&amp;L tab within +/- 2% of 12,096,100? [+5]
Section 4: Perturbation
4.1. If the Atlas Platform gross revenue for 2025P on the Revenue Detail tab is changed from 1,600,000 to 3,200,000, does Total Net Revenue on the Detailed P&amp;L tab for 2025P update to within +/- 2% of the expected value (reflecting doubled Atlas revenue less 70% discounts and other deductions)? [+5]
4.2. If the Fully Loaded Rate on the Expense Assumptions tab is changed from 1.15 to 1.50, does Total Labor Expenses on the Detailed P&amp;L tab for 2025P update to within +/- 2% of the expected value (reflecting a 30% increase in all labor cost calculations)? [+5]
4.3. If the Average Start Month for new hires on the Expense Assumptions tab is changed from 3 to 9, does Total Labor Expenses on the Detailed P&amp;L tab for 2029P update to within +/- 2% of the expected value (reflecting a reduced partial-year factor of 0.25 instead of 0.75 for new hire costs)? [+5]
4.4. If the Atlas Platform gross revenue for 2027P on the Revenue Detail tab is changed from 3,200,000 to 6,400,000, does the Atlas Platform COGS subtotal on the Detailed P&amp;L tab for 2027P update to within +/- 2% of the expected value (reflecting doubled fulfillment, texting, merchant fees, and supplies driven by Atlas revenue)? [+5]
4.5. If the Atlas Platform gross revenue for 2029P on the Revenue Detail tab is changed from 4,800,000 to 2,400,000, does Gross Profit on the Detailed P&amp;L tab for 2029P update to within +/- 2% of the expected value (reflecting halved Atlas revenue flowing through net revenue deductions and COGS)? [+5]
4.6. If the Atlas Platform gross revenue for 2026P on the Revenue Detail tab is changed from 2,400,000 to 4,800,000, does Gross Margin percentage on the Detailed P&amp;L tab for 2026P update to within +/- 0.5 percentage points of the expected value (reflecting doubled Atlas revenue impacting both gross profit and net revenue)? [+5]
Section 5: Presentation
5.1. Are hardcoded assumption values displayed in blue font, formula-driven values in black font, and cross-sheet references in green font on both the Detailed P&amp;L and Expense Assumptions tabs? [+2]
5.2. Are all currency values on the Detailed P&amp;L formatted with thousands separators and no decimal places conventions? [+2]
5.3. Are total and subtotal rows on the Detailed P&amp;L (e.g., Gross Revenue, Total Net Revenue, Total COGS, Gross Profit, Total Non-Labor Expenses, Total Labor Expenses) visually distinguished with bold text? [+2]
Section 6: Pitfalls
6.1. Are there any error values in the Detailed P&amp;L tab and the Expense Assumptions tab (#REF!, #DIV/0!, #VALUE!, #NAME?, #N/A, #NUM!)? [-5]
6.2. Is any data or label text truncated due to insufficient column widths or row heights in the Detailed P&amp;L tab and the Expense Assumptions tab? [-3]</v>
      </c>
      <c r="J17" s="46"/>
      <c r="K17" s="46" t="b">
        <v>0</v>
      </c>
      <c r="L17" s="44"/>
      <c r="M17" s="44"/>
      <c r="N17" s="45" t="str">
        <f t="shared" si="4"/>
        <v>https://admin.tsip.ai/tasks/9f73b336-d815-4df1-9696-cec256055a58</v>
      </c>
      <c r="O17" s="46" t="b">
        <v>0</v>
      </c>
      <c r="P17" s="8" t="s">
        <v>352</v>
      </c>
      <c r="Q17" s="5"/>
      <c r="R17" s="5"/>
    </row>
    <row r="18" ht="15.75" customHeight="1">
      <c r="A18" s="5" t="s">
        <v>355</v>
      </c>
      <c r="B18" s="5" t="s">
        <v>356</v>
      </c>
      <c r="C18" s="55" t="s">
        <v>150</v>
      </c>
      <c r="D18" s="45" t="str">
        <f t="shared" si="3"/>
        <v>https://www.tsip.ai/force/9e4e5488-5a4a-4061-879d-466ca0755ccf</v>
      </c>
      <c r="E18" s="9" t="b">
        <v>1</v>
      </c>
      <c r="F18" s="47" t="b">
        <v>0</v>
      </c>
      <c r="G18" s="54">
        <v>46162.0</v>
      </c>
      <c r="H18" s="55">
        <v>5.0</v>
      </c>
      <c r="I18" s="47" t="str">
        <f>iferror(VLOOKUP(A18,'Decomp Rubrics'!A:B,2,false),"generating")</f>
        <v>Section 1: Formula Correctness
1.1. Do the new monthly forecast cells on the Summary Budget (June 2024 onward) for flow-item rows such as revenue use a SUMIFS lookup against the relocated Monthly Calcs date header to return values? [+2]
1.2. Are quarterly columns for flow items (e.g., Total Revenue, Total OpEx, Net Income) on the Summary Budget computed as the sum of the three corresponding monthly cells in that quarter? [+2]
1.3. Are quarterly columns for stock/balance items such as Ending Cash Balance and Total Employees on the Summary Budget set equal to the last month of that quarter rather than summing the three months? [+2]
1.4. Are annual columns for flow items on the Summary Budget computed as the sum of the 12 monthly cells for that year rather than referencing a single month or quarterly subtotals? [+2]
1.5. Is the Ending Cash Balance on the Summary Budget for quarterly and annual columns derived as the point-in-time value from the last month of the period, not as a sum of monthly balances? [+2]
1.6. Is the Ending Cash Balance reconciliation on the Summary Budget correctly computed as Beginning Cash plus Total Cash Change for each monthly period? [+2]
1.7. Is Beginning Cash for each monthly column on the Summary Budget equal to the prior month's Ending Cash Balance, maintaining a continuous rollforward? [+2]
1.8. Is Total Cash Change on the Summary Budget computed as the sum of Net Income, cash flow adjustment items (depreciation add-back, capex, debt service, equity financing), not as a difference of ending and beginning cash? [+2]
1.9. Is Gross Margin percentage on the Summary Budget for quarterly and annual columns derived as that period's Gross Profit divided by that period's Total Revenue, not carried from a monthly SUMIFS? [+2]
1.10. Is Total ARR on the Summary Budget for quarterly and annual columns derived as the point-in-time end-of-period balance (referencing the last month), not as a sum of monthly ARR values? [+2]
1.11. Is Consolidated Total ARR on the Summary Budget computed as the sum of the Industrial ARR subtotal and the Automotive ARR subtotal for each period? [+1]
1.12. Are the existing 2023 and Jan-May 2024 SUMIFS formulas on the Summary Budget updated so their lookup range spans the new Monthly Calcs column location rather than the old location? [+2]
1.13. Is the annual column date header for each year on the Summary Budget derived as the YEAR of that year's December date, not hardcoded? [+1]
1.14. Does each new monthly date header on the Summary Budget chain continuously via EOMONTH from the prior month's date, starting from May 2024 through December 2029? [+1]
1.15. Is the Headcount row for each department on the Summary Budget treated as a stock item in quarterly columns, referencing the last month of the quarter instead of summing the three months? [+1]
Section 2: Model Integration
2.1. Is the Total Revenue in the Monthly Calcs section on the Summary Budget tab linked to the Total Revenue on the Consolidation Sheet tab? [+5]
2.2. Is the Total Revenue in the Monthly Calcs section on the Summary Budget tab linked to the Total Revenue on the Report Data - P&amp;L tab? [+5]
2.3. Is the Monthly Calcs anchor date on the Summary Budget tab linked to the forecast start date on the Assumptions tab? [+4]
2.4. Is the headcount data on the Summary Budget tab linked to the headcount assumptions on the Assumptions tab? [+4]
2.5. Is the Depreciation and Amortization on the Summary Budget tab linked to the Depreciation and Amortization on the Cash Flow Budget tab? [+4]
2.6. Is the Ending Cash Balance on the Summary Budget tab linked to the Cash and Cash Equivalents on the BS Budget tab? [+4]
2.7. Is the Operating Expenses on the P&amp;L Budget tab linked to the Operating Expenses on the Summary Budget tab? [+4]
2.8. Is the Capital Expenditures on the Summary Budget tab linked to the Capital Expenditures on the Report Data - CFS tab? [+3]
2.9. Is the Other Expenses on the Summary Budget tab linked to the Other Expenses on the 5. Other tab? [+3]
2.10. Is the Total Employees on the Report Data - P&amp;L tab linked to the Total Employees on the Summary Budget tab? [+3]
Section 3: Output Validation
3.1. Is the 2029 annual Total Revenue on the Summary Budget tab within +/- 2% of 91,725,001? [+5]
3.2. Is the 2029 annual Ending Cash Balance on the Summary Budget tab within +/- 2% of 53,155,784? [+5]
3.3. Is the 2029 annual Net Income on the Summary Budget tab within +/- 2% of 14,893,590? [+5]
3.4. Is the 2028 annual Ending Cash Balance on the Summary Budget tab within +/- 2% of 38,549,494? [+5]
3.5. Is the 2024 annual Total Revenue on the Summary Budget tab within +/- 2% of 31,149,738? [+3]
3.6. Is the 2025 annual Gross Profit on the Summary Budget tab within +/- 2% of 24,143,838? [+4]
3.7. Is the 2027 annual Gross Margin percentage on the Summary Budget tab within +/- 0.5 pp of 67.5%? [+4]
3.8. Is the 2026 annual Total Operating Expenses on the Summary Budget tab within +/- 2% of 18,821,159? [+3]
3.9. Is the 2029 annual Total Employees (headcount) on the Summary Budget tab within +/- 2% of 148? [+5]
3.10. Is the 2028 annual Total Employees (headcount) on the Summary Budget tab within +/- 2% of 124? [+4]
Section 4: Perturbation
4.1. If the Consolidation Sheet forecast value for the Network Infrastructure revenue line in the first month showing 250,000 (corresponds to approximately October 2024) is changed from 250,000 to 500,000, does the corresponding monthly revenue value on the Summary Budget tab for that forecast month update to reflect the doubled input, within +/- 2% of the expected value? [+5]
4.2. If the Consolidation Sheet forecast value for the Industrial segment revenue line showing 400,000 (corresponding to approximately August 2024) is changed from 400,000 to 800,000, does the Total Revenue on the Summary Budget tab for the 2024 annual column update to within +/- 2% of the expected value reflecting this doubling? [+5]
4.3. If the Consolidation Sheet forecast value for the Industrial segment revenue line showing 1,636,000 (corresponding to approximately January 2025) is changed from 1,636,000 to 3,272,000, does the first monthly revenue cell in the 2025 section on the Summary Budget tab update to within +/- 2% of the expected doubled value? [+5]
4.4. If the Consolidation Sheet forecast value for the segment cost line showing 545,333 (corresponding to approximately February 2025) is changed from 545,333 to 1,090,667, does the corresponding monthly value on the Summary Budget tab for February 2025 update to within +/- 2% of the expected doubled value? [+5]
4.5. If the Consolidation Sheet forecast value for the Network Infrastructure line showing 465,000 (corresponding to approximately January 2025) is changed from 465,000 to 930,000, does the Q1 2025 quarterly total revenue on the Summary Budget tab update to within +/- 2% of the expected value reflecting this increase? [+5]
4.6. If the Consolidation Sheet forecast value for the segment revenue line showing 600,000 (corresponding to approximately November 2024) is changed from 600,000 to 1,200,000, does the Net Cash Change on the Cash Flow Budget tab for the corresponding month update to within +/- 2% of the expected value reflecting this revenue doubling? [+5]
4.7. If the Consolidation Sheet forecast value for the Network Infrastructure line showing 333,333 (corresponding to approximately December 2024) is changed from 333,333 to 666,667, does the 2024 annual total revenue on the Summary Budget tab update to within +/- 2% of the expected value reflecting this increase? [+5]
Section 5: Presentation
5.1. Are all non-empty numeric values in the newly extended columns of the Summary Budget formatted with comma separators and no decimal places, consistent with the existing 2023 and early-2024 sections? [+2]
5.2. Are total and subtotal rows in the newly extended Summary Budget columns visually distinguished with bold text and light blue fill color of the existing year sections? [+2]
5.3. Are percentage rows such as Gross Margin and revenue mix in the newly extended Summary Budget columns formatted as percentages with zero decimal places, consistent with the existing sections? [+2]
Section 6: Pitfalls
6.1. Are there any error values in the P&amp;L Budget tab, the Summary Budget tab, the BS Budget tab, the Cash Flow Budget tab, the 2. Mobile tab, the 3. Logistics &amp; Mapping tab, the 4. Robotics &amp; Automation tab, the 5. Other tab, and the Report Data - P&amp;L tab (#REF!, #DIV/0!, #VALUE!, #NAME?, #N/A, #NUM!)? [-5]
6.2. Is any data or label text truncated due to insufficient column widths or row heights in the P&amp;L Budget tab, the Summary Budget tab, the BS Budget tab, the Cash Flow Budget tab, the 2. Mobile tab, the 3. Logistics &amp; Mapping tab, the 4. Robotics &amp; Automation tab, the 5. Other tab, and the Report Data - P&amp;L tab? [-3]</v>
      </c>
      <c r="J18" s="46"/>
      <c r="K18" s="46" t="b">
        <v>0</v>
      </c>
      <c r="L18" s="44"/>
      <c r="M18" s="44"/>
      <c r="N18" s="45" t="str">
        <f t="shared" si="4"/>
        <v>https://admin.tsip.ai/tasks/9e4e5488-5a4a-4061-879d-466ca0755ccf</v>
      </c>
      <c r="O18" s="46" t="b">
        <v>0</v>
      </c>
      <c r="P18" s="5"/>
      <c r="Q18" s="5"/>
      <c r="R18" s="5"/>
    </row>
    <row r="19" ht="15.75" customHeight="1">
      <c r="A19" s="5" t="s">
        <v>357</v>
      </c>
      <c r="B19" s="5" t="s">
        <v>356</v>
      </c>
      <c r="C19" s="55" t="s">
        <v>150</v>
      </c>
      <c r="D19" s="45" t="str">
        <f t="shared" si="3"/>
        <v>https://www.tsip.ai/force/7bdb5914-3b20-4748-9e7a-314750f41e79</v>
      </c>
      <c r="E19" s="9" t="b">
        <v>1</v>
      </c>
      <c r="F19" s="47" t="b">
        <v>0</v>
      </c>
      <c r="G19" s="54">
        <v>46162.0</v>
      </c>
      <c r="H19" s="55">
        <v>5.0</v>
      </c>
      <c r="I19" s="47" t="str">
        <f>iferror(VLOOKUP(A19,'Decomp Rubrics'!A:B,2,false),"generating")</f>
        <v>Section 1: Formula Correctness
1.1. Is Total Bookings on the P&amp;L Budget Forecast section calculated as the sum of its three component Bookings line items (Industrial, Automotive, Other) within each column? [+2]
1.2. Is Total Billings on the P&amp;L Budget Forecast section calculated as the sum of its component Billings line items within each column? [+2]
1.3. Is Total Revenue on the P&amp;L Budget Forecast section derived as the sum of its component Revenue line items within each column? [+1]
1.4. Is Gross Margin on the P&amp;L Budget Forecast section derived as Total Revenue minus the sum of COGS items within the same column? [+2]
1.5. Is Gross Margin Percent on the P&amp;L Budget Forecast section calculated by dividing Gross Margin by Total Revenue for the same column? [+1]
1.6. Is EBITDA on the P&amp;L Budget Forecast section derived as Gross Margin minus Total Operating Expenses plus Other Income/Expense within each column? [+2]
1.7. Are quarterly roll-up columns for flow items like Revenue and Bookings on the P&amp;L Budget computed as the sum of the three constituent monthly columns? [+2]
1.8. Are quarterly roll-up columns for Total Backlog on the P&amp;L Budget computed by referencing only the last monthly column of that quarter, not summing all three months? [+2]
1.9. Are quarterly roll-up columns for Average FTE on the P&amp;L Budget computed as the average of the three constituent monthly values, not a sum? [+2]
1.10. Are annual roll-up columns for flow items on the P&amp;L Budget computed as the sum of the four quarterly roll-up columns for that year? [+2]
1.11. Is the annual Opex Per Average FTE on the P&amp;L Budget computed as annual Total Operating Expenses divided by the average of twelve monthly Average FTE values? [+3]
1.12. Is the quarterly Opex Per Average FTE for 2024 and 2025 on the P&amp;L Budget computed as quarterly operating expenses multiplied by 4 then divided by quarterly Average FTE? [+3]
1.13. Is Total Operating Expenses by Department on the P&amp;L Budget Forecast section calculated as the sum of its six departmental operating expense line items? [+1]
1.14. Are annual roll-up columns for Average FTE on the P&amp;L Budget computed as the average of all twelve monthly Average FTE values for that year? [+2]
Section 2: Model Integration
2.1. Is the Industrial Billings on the BS Budget tab linked to the Industrial Billings in the Monthly Calcs section on the P&amp;L Budget tab? [+5]
2.2. Is the Industrial Revenue in the Monthly Calcs section on the P&amp;L Budget tab linked to the Industrial Revenue on the Summary Budget tab? [+4]
2.3. Is the Industrial Backlog in the Monthly Calcs section on the P&amp;L Budget tab linked to the Industrial Backlog on the Report Data - P&amp;L tab? [+4]
2.4. Is the Industrial Billings in the Monthly Calcs section on the P&amp;L Budget tab linked to the Accounts Receivable on the BS Budget tab? [+4]
2.5. Is the Industrial Backlog in the Monthly Calcs section on the P&amp;L Budget tab linked to the Total Backlog on the Consolidation Sheet tab? [+4]
2.6. Is the Product Cost in the Monthly Calcs section on the P&amp;L Budget tab linked to the Product Cost on the Summary Budget tab? [+4]
2.7. Is the Sales and Marketing expense in the Monthly Calcs section on the P&amp;L Budget tab linked to the Sales and Marketing components on the Summary Budget tab? [+4]
2.8. Is the Eliminations Bookings in the Monthly Calcs section on the P&amp;L Budget tab linked to the Eliminations on the Consolidation Sheet tab? [+3]
2.9. Is the Other Bookings in the Monthly Calcs section on the P&amp;L Budget tab linked to the Bookings on the 5. Other tab? [+3]
2.10. Is the Monthly Calcs start date on the P&amp;L Budget tab linked to the start date on the Assumptions tab? [+3]
Section 3: Output Validation
3.1. Is the Total Revenue for the 2029 annual column on the P&amp;L Budget tab within +/- 2% of 96,891,498? [+5]
3.2. Is the EBITDA for the 2029 annual column on the P&amp;L Budget tab within +/- 2% of 18,820,281? [+5]
3.3. Is the Net Income for the 2028 annual column on the P&amp;L Budget tab within +/- 2% of 14,959,363? [+5]
3.4. Is the Ending Cash Balance for the 2029 annual column on the P&amp;L Budget tab within +/- 2% of 5,736,802? [+5]
3.5. Is the Total Revenue for the 2025 annual column on the P&amp;L Budget tab within +/- 2% of 55,338,474? [+3]
3.6. Is the Gross Margin Percent for the 2024 annual column on the P&amp;L Budget tab within +/- 0.5 pp of 56.5%? [+4]
3.7. Is the Total Operating Expenses for the 2028 annual column on the P&amp;L Budget tab within +/- 2% of 35,728,765? [+4]
3.8. Is the Gross Margin for the 2026 annual column on the P&amp;L Budget tab within +/- 2% of 39,694,920? [+4]
3.9. Is the Average FTE for the 2027 annual column on the P&amp;L Budget tab within +/- 2% of 157.25? [+3]
3.10. Is the Total Bookings for the 2029 annual column on the P&amp;L Budget tab within +/- 2% of 102,012,600? [+5]
Section 4: Perturbation
4.1. If the Bookings value for the Network Infrastructure segment on the Consolidation Sheet (row 46, corresponding to the month feeding into October 2024 forecasts) is changed from 250000 to 625000, does the Total Bookings line on the P&amp;L Budget tab for the 2024 Annual roll-up column update to within +/- 2% of the correctly recomputed value? [+5]
4.2. If the Billings value on the Consolidation Sheet for the month corresponding to March 2024 in row 60 is changed from 1636000 to 3272000, does the Industrial Billings line on the BS Budget tab for that same period update to within +/- 2% of the correctly recomputed value? [+5]
4.3. If the Bookings value on the Consolidation Sheet for the month feeding September 2024 in the Network Infrastructure segment (row 46) is changed from 333333.3333333333 to 666666.6666666666, does the Total Bookings line on the P&amp;L Budget for the 2025 Annual roll-up update to within +/- 2% of the correctly recomputed value? [+5]
4.4. If the Billings value on the Consolidation Sheet for the Industrial segment in the month corresponding to November 2023 (row 60, feeding into BS Budget billings) is changed from 400000 to 800000, does the Industrial Billings value on the BS Budget tab for the corresponding November 2023 period update to within +/- 2% of 800000? [+5]
4.5. If the Bookings value on the Consolidation Sheet for the Network Infrastructure segment in the month feeding January 2025 (row 46) is changed from 465000 to 930000, does the Total Bookings line on the P&amp;L Budget for the Q1 2025 quarterly roll-up update to within +/- 2% of the correctly recomputed value? [+5]
4.6. If the Bookings value on the Consolidation Sheet for the Industrial segment in the month feeding June 2024 (row 60) is changed from 600000 to 1200000, does the Total Billings line on the P&amp;L Budget for the 2024 Annual roll-up column update to within +/- 2% of the correctly recomputed value? [+5]
4.7. If the added constant for COGS-related data on the P&amp;L Budget (cell GI75, a Monthly Calcs value) is changed from 201932.91 to 403865.82, does the Gross Margin line on the P&amp;L Budget for the 2029 Annual roll-up update to within +/- 2% of the correctly recomputed value reflecting the doubled cost? [+5]
Section 5: Presentation
5.1. Are all non-empty currency values in the new Forecast section of the P&amp;L Budget formatted with dollar sign prefix, thousands separators, and no decimal places, consistent with the Actuals columns? [+2]
5.2. Are hardcoded values in the P&amp;L Budget Forecast section displayed in blue font while formula-driven values use green or black font, following the model's color-coding convention? [+2]
5.3. Are total and subtotal rows in the P&amp;L Budget Forecast section visually distinguished with bold text and a light blue fill color, matching the styling of the Actuals section? [+2]
Section 6: Pitfalls
6.1. Are there any error values in the P&amp;L Budget tab, the BS Budget tab, the 2. Mobile tab, the 3. Logistics &amp; Mapping tab, the 4. Robotics &amp; Automation tab, and the 5. Other tab (#REF!, #DIV/0!, #VALUE!, #NAME?, #N/A, #NUM!)? [-5]
6.2. Is any data or label text truncated due to insufficient column widths or row heights in the P&amp;L Budget tab, the BS Budget tab, the 2. Mobile tab, the 3. Logistics &amp; Mapping tab, the 4. Robotics &amp; Automation tab, and the 5. Other tab? [-3]</v>
      </c>
      <c r="J19" s="46"/>
      <c r="K19" s="46" t="b">
        <v>0</v>
      </c>
      <c r="L19" s="44"/>
      <c r="M19" s="44"/>
      <c r="N19" s="45" t="str">
        <f t="shared" si="4"/>
        <v>https://admin.tsip.ai/tasks/7bdb5914-3b20-4748-9e7a-314750f41e79</v>
      </c>
      <c r="O19" s="46" t="b">
        <v>0</v>
      </c>
      <c r="P19" s="5"/>
      <c r="Q19" s="5"/>
      <c r="R19" s="5"/>
    </row>
    <row r="20" ht="15.75" customHeight="1">
      <c r="A20" s="5" t="s">
        <v>358</v>
      </c>
      <c r="B20" s="5" t="s">
        <v>356</v>
      </c>
      <c r="C20" s="44" t="s">
        <v>62</v>
      </c>
      <c r="D20" s="45" t="str">
        <f t="shared" si="3"/>
        <v>https://www.tsip.ai/force/320b10a2-7b9c-443d-bc9f-47dd6469ccc2</v>
      </c>
      <c r="E20" s="9" t="b">
        <v>1</v>
      </c>
      <c r="F20" s="47" t="b">
        <v>0</v>
      </c>
      <c r="G20" s="54">
        <v>46162.0</v>
      </c>
      <c r="H20" s="55">
        <v>30.0</v>
      </c>
      <c r="I20" s="47" t="s">
        <v>359</v>
      </c>
      <c r="J20" s="46"/>
      <c r="K20" s="46" t="b">
        <v>0</v>
      </c>
      <c r="L20" s="44"/>
      <c r="M20" s="44"/>
      <c r="N20" s="45" t="str">
        <f t="shared" si="4"/>
        <v>https://admin.tsip.ai/tasks/320b10a2-7b9c-443d-bc9f-47dd6469ccc2</v>
      </c>
      <c r="O20" s="46" t="b">
        <v>0</v>
      </c>
      <c r="P20" s="5"/>
      <c r="Q20" s="5"/>
      <c r="R20" s="5"/>
    </row>
    <row r="21" ht="15.75" customHeight="1">
      <c r="A21" s="5" t="s">
        <v>360</v>
      </c>
      <c r="B21" s="5" t="s">
        <v>356</v>
      </c>
      <c r="C21" s="55" t="s">
        <v>150</v>
      </c>
      <c r="D21" s="45" t="str">
        <f t="shared" si="3"/>
        <v>https://www.tsip.ai/force/3ee14907-f96b-4884-9150-b5e6a8366bdc</v>
      </c>
      <c r="E21" s="9" t="b">
        <v>1</v>
      </c>
      <c r="F21" s="53" t="b">
        <v>1</v>
      </c>
      <c r="G21" s="54">
        <v>46162.0</v>
      </c>
      <c r="H21" s="55">
        <v>5.0</v>
      </c>
      <c r="I21" s="47" t="str">
        <f>iferror(VLOOKUP(A21,'Decomp Rubrics'!A:B,2,false),"generating")</f>
        <v>Section 1: Formula Correctness
1.1. Is the first period start date in the annual header row on the Consolidation Sheet hardcoded as January 1, 2023? [+1]
1.2. Are subsequent period start dates in the annual header derived incrementally by adding one year to the previous start date, producing January 1 for 2024 through 2029? [+2]
1.3. Is the first period end date in the annual header on the Consolidation Sheet hardcoded as December 31, 2023? [+1]
1.4. Are subsequent period end dates in the annual header derived incrementally by adding one year to the previous end date, producing December 31 for 2024 through 2029? [+2]
1.5. Is the year integer row on the Consolidation Sheet derived by extracting the year from the corresponding period end date in the header? [+1]
1.6. Does the aggregation formula for Sum-type rows on the Consolidation Sheet sum monthly values where the monthly date falls between the period start and end dates inclusively? [+3]
1.7. Does the aggregation formula for Average-type rows on the Consolidation Sheet average monthly values within the date range while excluding zero values from the average? [+3]
1.8. Does the aggregation formula for EOP-type rows on the Consolidation Sheet return the monthly value whose date exactly matches the period end date only? [+3]
1.9. Is the aggregation type for Bookings section rows on the Consolidation Sheet set to Sum? [+1]
1.10. Is the aggregation type for Backlog section rows on the Consolidation Sheet set to EOP? [+2]
1.11. Is the aggregation type for Subscribers section rows on the Consolidation Sheet set to Average? [+2]
1.12. Is the aggregation type for all Revenue subsection rows (Aurora, Comet, Hardware, Services, and All) on the Consolidation Sheet set to Sum? [+1]
1.13. Do all annual aggregation formulas on the Consolidation Sheet return zero when an error occurs, via error-wrapping logic? [+1]
1.14. Do subsequent rows within each metric section on the Consolidation Sheet inherit their aggregation type by referencing the first row of that section rather than hardcoding the type? [+2]
Section 3: Output Validation
3.1. Is the Total Cedarbrook Bookings (Sum) for FY 2029 on the Consolidation Sheet within +/- 2% of 1316924? [+5]
3.2. Is the Total Cedarbrook Backlog (EOP) for FY 2029 on the Consolidation Sheet within +/- 2% of 1893498? [+5]
3.3. Is the Total Cedarbrook Revenue All (Sum) for FY 2027 on the Consolidation Sheet within +/- 2% of 694498? [+5]
3.4. Is the Total Cedarbrook Revenue All (Sum) for FY 2029 on the Consolidation Sheet within +/- 2% of 1148498? [+5]
3.5. Is the Total Cedarbrook Billings (Sum) for FY 2026 on the Consolidation Sheet within +/- 2% of 480866? [+5]
3.6. Is the Total Cedarbrook Product COGS (Sum) for FY 2028 on the Consolidation Sheet within +/- 2% of 339683? [+5]
3.7. Is the Total Cedarbrook Subscribers (Average) for FY 2025 on the Consolidation Sheet within +/- 2% of 1096? [+4]
3.8. Is the Total Cedarbrook Bookings (Sum) for FY 2023 on the Consolidation Sheet within +/- 2% of 128133? [+3]
3.9. Is the Industrial subtotal Revenue All (Sum) for FY 2026 on the Consolidation Sheet within +/- 2% of 286614? [+4]
Section 4: Perturbation
4.1. If the period start date on the Consolidation Sheet (first year start date in the annual aggregation header, row 7) is changed from January 1, 2023 to January 1, 2024, does the Total Cedarbrook Product COGS annual Sum for 2023 on the Consolidation Sheet update to zero or near-zero (since no monthly data would fall within a range starting 2024 and ending 2023)? [+5]
Section 5: Presentation
5.1. Are all annual numeric values on the Consolidation Sheet formatted with thousands separators and no decimal places, consistent with the existing monthly source data area? [+2]
5.2. Are subtotal and total rows in the annual columns on the Consolidation Sheet visually distinguished with bold font and light gray fill? [+2]
Section 6: Pitfalls
6.1. Are there any error values in the Consolidation Sheet tab, the 2. Mobile tab, the 3. Logistics &amp; Mapping tab, the 4. Robotics &amp; Automation tab, and the 5. Other tab (#REF!, #DIV/0!, #VALUE!, #NAME?, #N/A, #NUM!)? [-5]
6.2. Is any data or label text truncated due to insufficient column widths or row heights in the Consolidation Sheet tab, the 2. Mobile tab, the 3. Logistics &amp; Mapping tab, the 4. Robotics &amp; Automation tab, and the 5. Other tab? [-3]</v>
      </c>
      <c r="J21" s="9"/>
      <c r="K21" s="9" t="b">
        <v>1</v>
      </c>
      <c r="L21" s="54">
        <v>46162.0</v>
      </c>
      <c r="M21" s="55">
        <v>15.0</v>
      </c>
      <c r="N21" s="45" t="str">
        <f t="shared" si="4"/>
        <v>https://admin.tsip.ai/tasks/3ee14907-f96b-4884-9150-b5e6a8366bdc</v>
      </c>
      <c r="O21" s="46" t="b">
        <v>0</v>
      </c>
      <c r="P21" s="5"/>
      <c r="Q21" s="5"/>
      <c r="R21" s="5"/>
    </row>
    <row r="22" ht="15.75" customHeight="1">
      <c r="A22" s="5" t="s">
        <v>361</v>
      </c>
      <c r="B22" s="5" t="s">
        <v>356</v>
      </c>
      <c r="C22" s="55" t="s">
        <v>150</v>
      </c>
      <c r="D22" s="45" t="str">
        <f t="shared" si="3"/>
        <v>https://www.tsip.ai/force/d4097001-c960-449f-883c-5ae8ef80cc38</v>
      </c>
      <c r="E22" s="9" t="b">
        <v>1</v>
      </c>
      <c r="F22" s="53" t="b">
        <v>1</v>
      </c>
      <c r="G22" s="54">
        <v>46162.0</v>
      </c>
      <c r="H22" s="55">
        <v>5.0</v>
      </c>
      <c r="I22" s="47" t="str">
        <f>iferror(VLOOKUP(A22,'Decomp Rubrics'!A:B,2,false),"generating")</f>
        <v>Section 1: Formula Correctness
1.1. Is the annual value formula on the Mobile tab for rows marked 'Sum' computed as the sum of monthly values whose dates fall within that column's January 1 to December 31 window? [+2]
1.2. Is the annual value formula on the Mobile tab for rows marked 'Average' computed as the average of non-zero monthly values whose dates fall within that column's January 1 to December 31 window? [+3]
1.3. Is the annual value formula on the Mobile tab for rows marked 'EOP' computed as the value from the single month matching exactly the December 31 date for that year? [+2]
1.4. Does every annual value formula on the Mobile tab wrap the entire conditional logic in an error-trapping function that returns zero on error? [+1]
1.5. Is the aggregation type indicator for Bookings rows on the Mobile tab set to 'Sum' for both the summary section and the Aurora DGNSS detail section? [+1]
1.6. Is the aggregation type indicator for Revenue rows on the Mobile tab set to 'Sum' for both the summary section and all detail sections? [+1]
1.7. Is the aggregation type indicator for Backlog rows in the Aurora DGNSS detail section on the Mobile tab set to 'EOP' rather than 'Sum'? [+2]
1.8. Is the aggregation type indicator for Aurora DGNSS Units rows on the Mobile tab set to 'Average' in both the summary section and the deal-cohort detail section? [+2]
1.9. Is the aggregation type indicator for ASP rows on the Mobile tab set to 'Average' in both the summary and detail sections? [+2]
1.10. Is the aggregation type indicator for Non-Aurora Units rows (Comet, Services, Ranger) on the Mobile tab set to 'Sum' rather than 'Average'? [+2]
1.11. Are the second-label-row dates in the annual header on the Mobile tab correctly set to December 31 of each year from 2023 through 2029, each derived by stepping one year forward? [+1]
1.12. Are the first-label-row dates in the annual header on the Mobile tab correctly set to January 1 of each year from 2023 through 2029, each derived by stepping one year forward? [+1]
1.13. Is the year-number row on the Mobile tab derived from the December 31 date in each annual column, yielding years 2023 through 2029? [+1]
1.14. Do subsequent rows within each metric group on the Mobile tab reference the aggregation type from the first row of that group rather than hardcoding the type string? [+1]
Section 3: Output Validation
3.1. Is the annual Bookings All total for 2029 on the 2. Mobile tab within +/- 2% of 8622720? [+5]
3.2. Is the annual Revenue All total for 2027 on the 2. Mobile tab within +/- 2% of 10174605? [+5]
3.3. Is the annual Backlog All value for 2028 on the 2. Mobile tab within +/- 2% of 10768530? [+5]
3.4. Is the annual Gross Margin All total for 2029 on the 2. Mobile tab within +/- 2% of 6487897.5? [+5]
3.5. Is the annual Billings All total for 2025 on the 2. Mobile tab within +/- 2% of 5945070? [+4]
3.6. Is the annual No. of Deals summary value for 2024 on the 2. Mobile tab within +/- 2% of 6? [+3]
3.7. Is the Aurora DGNSS detail Units average for 2026 on the 2. Mobile tab within +/- 2% of 3325? [+4]
3.8. Is the Non-Aurora Comet Units annual sum for 2025 on the 2. Mobile tab within +/- 2% of 78? [+4]
Section 4: Perturbation
4.1. If the monthly Bookings value for January 2025 on the 2. Mobile tab (the first monthly data column for that row in the summary Bookings section, row 13) is changed from its current value to 5000000, does the annual Bookings figure for 2025 in the summary section on the 2. Mobile tab update accordingly to reflect the new sum, within +/- 2% of the expected value? [+5]
4.2. If the monthly Revenue value for January 2026 on the 2. Mobile tab (summary Revenue section, row 31) is changed from its current value to 3000000, does the annual Revenue figure for 2026 in the summary section on the 2. Mobile tab update to reflect the modified sum, within +/- 2% of the expected value? [+5]
4.3. If a monthly ASP value in the Aurora DGNSS summary Average row (row 58) for March 2025 on the 2. Mobile tab is changed from 0 to 25000, does the annual ASP Average figure for 2025 on the 2. Mobile tab update to reflect the new average including non-zero values, within +/- 2% of the expected value? [+5]
4.4. If the monthly Backlog EOP value for December 2027 in the Aurora DGNSS detail section (row 333) on the 2. Mobile tab is changed from 0 to 8000000, does the annual EOP Backlog figure for 2027 on the 2. Mobile tab update to match the December end-of-period value, within +/- 2% of 8000000? [+5]
4.5. If the monthly Units value for the Aurora DGNSS detail Average row (row 165) for June 2026 on the 2. Mobile tab is changed from 0 to 500, does the annual Units Average figure for 2026 on the 2. Mobile tab update to reflect the new non-zero average, within +/- 2% of the expected value? [+5]
4.6. If the monthly Billings value for February 2028 in the Non-Aurora detail section (row 397) on the 2. Mobile tab is changed from 0 to 2000000, does the annual Billings Sum figure for 2028 on the 2. Mobile tab update to reflect the increased total, within +/- 2% of the expected value? [+5]
4.7. If the monthly No. of Deals value for April 2024 in the summary section (row 49) on the 2. Mobile tab is changed from 0 to 100, does the annual No. of Deals Sum figure for 2024 on the 2. Mobile tab update to include the new value, within +/- 2% of the expected value? [+5]
Section 5: Presentation
5.1. Are the annual data cells in the new section on the Mobile tab formatted with comma separators and parentheses for negatives tab? [+2]
5.2. Are total and subtotal rows in the new annual section on the Mobile tab visually distinguished with bold font and light gray fill color tab? [+2]
5.3. Do formula-driven annual values on the Mobile tab use green font while the hardcoded aggregation-type indicator labels use blue font tab? [+2]
Section 6: Pitfalls
6.1. Are there any error values in the 2. Mobile tab, the 3. Logistics &amp; Mapping tab, the 4. Robotics &amp; Automation tab, and the 5. Other tab (#REF!, #DIV/0!, #VALUE!, #NAME?, #N/A, #NUM!)? [-5]
6.2. Is any data or label text truncated due to insufficient column widths or row heights in the 2. Mobile tab, the 3. Logistics &amp; Mapping tab, the 4. Robotics &amp; Automation tab, and the 5. Other tab? [-3]</v>
      </c>
      <c r="J22" s="9"/>
      <c r="K22" s="9" t="b">
        <v>1</v>
      </c>
      <c r="L22" s="54">
        <v>46162.0</v>
      </c>
      <c r="M22" s="55">
        <v>15.0</v>
      </c>
      <c r="N22" s="45" t="str">
        <f t="shared" si="4"/>
        <v>https://admin.tsip.ai/tasks/d4097001-c960-449f-883c-5ae8ef80cc38</v>
      </c>
      <c r="O22" s="46" t="b">
        <v>0</v>
      </c>
      <c r="P22" s="5"/>
      <c r="Q22" s="5"/>
      <c r="R22" s="5"/>
    </row>
    <row r="23" ht="15.75" customHeight="1">
      <c r="A23" s="5" t="s">
        <v>362</v>
      </c>
      <c r="B23" s="5" t="s">
        <v>356</v>
      </c>
      <c r="C23" s="55" t="s">
        <v>150</v>
      </c>
      <c r="D23" s="45" t="str">
        <f t="shared" si="3"/>
        <v>https://www.tsip.ai/force/9f0c3d4c-7729-40f4-a945-12de83eb9c7d</v>
      </c>
      <c r="E23" s="9" t="b">
        <v>1</v>
      </c>
      <c r="F23" s="53" t="b">
        <v>1</v>
      </c>
      <c r="G23" s="54">
        <v>46162.0</v>
      </c>
      <c r="H23" s="55">
        <v>5.0</v>
      </c>
      <c r="I23" s="47" t="str">
        <f>iferror(VLOOKUP(A23,'Decomp Rubrics'!A:B,2,false),"generating")</f>
        <v>Section 1: Formula Correctness
1.1. Is the annual aggregation formula on the Logistics &amp; Mapping tab for Sum-type rows computed as the sum of monthly values falling between the year start date and year end date inclusive? [+2]
1.2. Is the annual aggregation formula on the Logistics &amp; Mapping tab for Average-type rows computed as the average of monthly values within the year's date range, excluding zeros from the average? [+3]
1.3. Is the annual aggregation formula on the Logistics &amp; Mapping tab for EOP-type rows computed as the sum of monthly values where the date exactly equals the year end date? [+2]
1.4. Does the triple-nested IF in the annual aggregation formula on the Logistics &amp; Mapping tab return the text 'error - no logic' when the row's type label matches none of Average, Sum, or EOP? [+1]
1.5. Is the annual aggregation formula on the Logistics &amp; Mapping tab wrapped in an IFERROR that returns zero if the inner formula errors? [+1]
1.6. Are the start-of-year dates on the Logistics &amp; Mapping tab for 2024 through 2029 derived by adding one year to the prior column's start date rather than being hardcoded? [+2]
1.7. Are the end-of-year dates on the Logistics &amp; Mapping tab for 2024 through 2029 derived by adding one year to the prior column's end date rather than being hardcoded? [+2]
1.8. Is the first annual column's start date on the Logistics &amp; Mapping tab hardcoded as January 1, 2023, and its end date hardcoded as December 31, 2023? [+1]
1.9. Is the year label row on the Logistics &amp; Mapping tab for each annual column derived from the year of the end-of-year date in that column? [+1]
1.10. Is the Backlog metric in the product-level cohort waterfall sections on the Logistics &amp; Mapping tab assigned the EOP aggregation type? [+2]
1.11. Is the ASP metric on the Logistics &amp; Mapping tab assigned the Average aggregation type so its annual values are computed as averages rather than sums? [+1]
1.12. Are non-anchor rows within each metric block on the Logistics &amp; Mapping tab inheriting their aggregation type by referencing the anchor row's type cell rather than being independently hardcoded? [+2]
1.13. Is the Backlog metric in the top summary section on the Logistics &amp; Mapping tab assigned the Sum aggregation type, distinct from the EOP type used in the cohort waterfall? [+2]
1.14. Does the annual aggregation formula on the Logistics &amp; Mapping tab use absolute row references for the date header row and type label rows so they remain fixed as the formula is copied across metric rows? [+2]
Section 3: Output Validation
3.1. Is the No. of Deals annual total for 2029 (column X) on the '3. Logistics &amp; Mapping' tab within +/- 2% of 30? [+5]
3.2. Is the Units annual sum for 2023 on the '3. Logistics &amp; Mapping' tab summary section within +/- 2% of 5700? [+3]
3.3. Is the Bookings annual sum for 2029 on the '3. Logistics &amp; Mapping' tab summary section within +/- 2% of 1130400? [+5]
3.4. Is the Revenue annual sum for 2023 on the '3. Logistics &amp; Mapping' tab summary section within +/- 2% of 59800? [+3]
3.5. Is the Gross Margin annual sum for 2029 on the '3. Logistics &amp; Mapping' tab summary section within +/- 2% of 734760? [+5]
3.6. Is the ASP annual average for 2023 on the '3. Logistics &amp; Mapping' tab summary section within +/- 2% of 14.04? [+4]
3.7. Is the Units annual sum for 2029 on the '3. Logistics &amp; Mapping' tab summary section within +/- 2% of 141000? [+5]
3.8. Is the Billings annual sum for 2029 on the '3. Logistics &amp; Mapping' tab summary section within +/- 2% of 1130400? [+5]
3.9. Is the Bookings annual sum for 2023 on the '3. Logistics &amp; Mapping' tab summary section within +/- 2% of 79900? [+4]
Section 4: Perturbation
4.1. If the start-of-year date for 2023 on the 3. Logistics &amp; Mapping tab (row 3, first annual column) is changed from January 1, 2023 to July 1, 2023, does the 2023 annual No. of Deals (Sum) row in the top summary section on the 3. Logistics &amp; Mapping tab update to reflect only the second half of 2023 data, within +/- 2% of the expected value? [+5]
4.3. If the aggregation type label in the type-label column on the 3. Logistics &amp; Mapping tab for the Bookings summary row is changed from Sum to Average, does the 2025 annual Bookings value on the 3. Logistics &amp; Mapping tab update to an averaged value (rather than summed) that is within +/- 2% of the expected value? [+5]
4.4. If the aggregation type label for the ASP metric anchor row on the 3. Logistics &amp; Mapping tab is changed from Average to Sum, does the 2025 annual ASP value on the 3. Logistics &amp; Mapping tab switch from an average calculation to a sum calculation, updating to within +/- 2% of the expected value? [+5]
4.5. If the aggregation type label for the Backlog product-level row on the 3. Logistics &amp; Mapping tab is changed from EOP to Sum, does the 2025 annual Backlog value on the 3. Logistics &amp; Mapping tab switch from an end-of-period lookup to a full-year sum, updating to within +/- 2% of the expected value? [+5]
4.6. If the Average type-label reference text in the type-label row on the 3. Logistics &amp; Mapping tab (used as the lookup key for AVERAGEIFS logic) is changed from Average to XYZZY, does the 2025 annual Units per Deal value on the 3. Logistics &amp; Mapping tab for the Aurora section return 0 (since no type matches), within +/- 2% of 0? [+5]
Section 5: Presentation
5.1. Are the annual aggregation columns on the Logistics &amp; Mapping tab formatted with comma separators and two decimal places for numeric values tab? [+2]
5.2. Are total and subtotal rows in the annual columns on the Logistics &amp; Mapping tab visually distinguished with bold font and light gray fill color on sibling segment tabs? [+2]
5.3. Do formula-driven cells in the new annual aggregation block on the Logistics &amp; Mapping tab use green font on the Robotics &amp; Automation and Other tabs? [+2]
Section 6: Pitfalls
6.1. Are there any error values in the 2. Mobile tab, the 3. Logistics &amp; Mapping tab, the 4. Robotics &amp; Automation tab, and the 5. Other tab (#REF!, #DIV/0!, #VALUE!, #NAME?, #N/A, #NUM!)? [-5]
6.2. Is any data or label text truncated due to insufficient column widths or row heights in the 2. Mobile tab, the 3. Logistics &amp; Mapping tab, the 4. Robotics &amp; Automation tab, and the 5. Other tab? [-3]</v>
      </c>
      <c r="J23" s="9"/>
      <c r="K23" s="9" t="b">
        <v>1</v>
      </c>
      <c r="L23" s="54">
        <v>46162.0</v>
      </c>
      <c r="M23" s="55">
        <v>10.0</v>
      </c>
      <c r="N23" s="45" t="str">
        <f t="shared" si="4"/>
        <v>https://admin.tsip.ai/tasks/9f0c3d4c-7729-40f4-a945-12de83eb9c7d</v>
      </c>
      <c r="O23" s="46" t="b">
        <v>0</v>
      </c>
      <c r="P23" s="5"/>
      <c r="Q23" s="5"/>
      <c r="R23" s="5"/>
    </row>
    <row r="24" ht="15.75" customHeight="1">
      <c r="A24" s="5" t="s">
        <v>363</v>
      </c>
      <c r="B24" s="5" t="s">
        <v>356</v>
      </c>
      <c r="C24" s="55" t="s">
        <v>150</v>
      </c>
      <c r="D24" s="45" t="str">
        <f t="shared" si="3"/>
        <v>https://www.tsip.ai/force/9451a181-4b36-4410-92ad-7ae329eb3099</v>
      </c>
      <c r="E24" s="9" t="b">
        <v>1</v>
      </c>
      <c r="F24" s="53" t="b">
        <v>1</v>
      </c>
      <c r="G24" s="54">
        <v>46162.0</v>
      </c>
      <c r="H24" s="55">
        <v>15.0</v>
      </c>
      <c r="I24" s="47" t="str">
        <f>iferror(VLOOKUP(A24,'Decomp Rubrics'!A:B,2,false),"generating")</f>
        <v>Section 1: Formula Correctness
1.1. Is the three-way conditional aggregation formula on the Robotics &amp; Automation tab correctly branching to compute an average (excluding zeros) when the row's aggregation type is Average? [+3]
1.2. Is the three-way conditional aggregation formula on the Robotics &amp; Automation tab correctly branching to compute a sum of monthly values within the year range when the row's aggregation type is Sum? [+3]
1.3. Is the EOP branch of the conditional aggregation formula on the Robotics &amp; Automation tab correctly selecting only the single month matching the year-end date rather than summing the full year? [+3]
1.4. Does the aggregation formula on the Robotics &amp; Automation tab return zero instead of an error when no monthly data matches the date criteria, using an error-trapping wrapper? [+2]
1.5. Is the Bookings metric in the Robotics &amp; Automation summary section assigned the Sum aggregation type so that annual columns sum monthly bookings values? [+1]
1.6. Is the Revenue metric in the Robotics &amp; Automation summary section assigned the Sum aggregation type so that annual columns sum monthly revenue values? [+1]
1.7. Is the Units metric for the Aurora RTK product row in the Robotics &amp; Automation summary section assigned the Average aggregation type, distinct from other product rows which use Sum? [+2]
1.8. Do subsequent product rows and the All subtotal row within each metric group on the Robotics &amp; Automation tab inherit the aggregation type from the first product row in that group via a reference formula? [+2]
1.9. Is the Average header row on the Robotics &amp; Automation tab correctly populated with start-of-year dates beginning at 2023-01-01 and stepping forward by exactly one year per column through 2029? [+1]
1.10. Is the Sum header row on the Robotics &amp; Automation tab correctly populated with end-of-year dates beginning at 2023-12-31 and stepping forward by exactly one year per column through 2029? [+1]
1.11. Is the year display row on the Robotics &amp; Automation tab derived from the Sum header row dates by extracting the four-digit year, not hardcoded? [+1]
1.12. Are the ASP waterfall deal entry rows in the Aurora RTK detail section on the Robotics &amp; Automation tab assigned the Average aggregation type so annual values represent averages excluding zeros? [+2]
1.13. Is the entire annual aggregate section on the Logistics and Mapping tab cleared of all aggregation type labels, date headers, year display values, and annual period formulas? [+2]
1.14. Does the boundary marker row at the bottom of the Robotics &amp; Automation summary section contain the placeholder value x in the aggregation type and each annual period column? [+1]
Section 3: Output Validation
3.1. Is the Bookings All row for 2029 on the 4. Robotics &amp; Automation tab within +/- 2% of 17640000? [+5]
3.2. Is the Revenue Aurora RTK row for 2027 on the 4. Robotics &amp; Automation tab within +/- 2% of 10290000? [+5]
3.3. Is the Backlog All row for 2028 on the 4. Robotics &amp; Automation tab within +/- 2% of 4410000? [+5]
3.4. Is the Units Aurora RTK summary row for 2026 on the 4. Robotics &amp; Automation tab within +/- 2% of 1225? [+4]
3.5. Is the Revenue All row for 2025 on the 4. Robotics &amp; Automation tab within +/- 2% of 4116000? [+4]
3.6. Are all annual aggregate columns (2023 through 2029) in the Bookings Aurora RTK summary row on the 3. Logistics &amp; Mapping tab cleared to empty or zero? [+5]
3.7. Is the year display row on the 3. Logistics &amp; Mapping tab cleared such that the 2023 through 2029 year labels in columns R through X are removed? [+3]
3.8. Is the Billings All row for 2029 on the 4. Robotics &amp; Automation tab within +/- 2% of 17640000? [+5]
3.9. Is the No. of Deals Aurora RTK summary row for 2025 on the 4. Robotics &amp; Automation tab within +/- 2% of 4? [+3]
3.10. Is the ASP waterfall rollup row for 2028 on the 4. Robotics &amp; Automation tab within +/- 2% of 1400? [+5]
Section 4: Perturbation
4.1. If the hardcoded end-of-year date anchor (2023-12-31) on the 4. Robotics &amp; Automation tab in the Sum header row for the first annual period is changed from 2023-12-31 to 2024-12-31, does the Year display row value for the first annual period on the 4. Robotics &amp; Automation tab update to within +/- 2% of 2024 (within +/- 0.5)? [+5]
4.2. If the hardcoded start-of-year date anchor (2023-01-01) on the 4. Robotics &amp; Automation tab in the Average header row for the first annual period is changed from 2023-01-01 to 2024-01-01, does the second annual period start date on the 4. Robotics &amp; Automation tab in the Average header row update to within +/- 2% of 2025-01-01 (represented as the serial date value within +/- 2%)? [+5]
4.3. If the hardcoded end-of-year date anchor (2023-12-31) on the 4. Robotics &amp; Automation tab in the Sum header row for the first annual period is changed from 2023-12-31 to 2024-12-31, does the Year display row value for the last annual period (7th period) on the 4. Robotics &amp; Automation tab update to within +/- 2% of 2030 (within +/- 0.5)? [+5]
4.4. If the hardcoded end-of-year date anchor (2023-12-31) on the 4. Robotics &amp; Automation tab in the Sum header row for the first annual period is changed from 2023-12-31 to 2024-12-31, does the Bookings summary Aurora RTK row annual value for the first period on the 4. Robotics &amp; Automation tab update correctly to reflect only months in the shifted 2024-01-01 to 2024-12-31 window (expected value within +/- 2% of the recalculated sum)? [+5]
4.5. If the hardcoded start-of-year date anchor (2023-01-01) on the 4. Robotics &amp; Automation tab in the Average header row for the first annual period is changed from 2023-01-01 to 2025-01-01, does the third annual period start date on the 4. Robotics &amp; Automation tab in the Average header row update to within +/- 2% of 2027-01-01 (represented as the serial date value within +/- 2%)? [+5]
4.6. If the hardcoded end-of-year date anchor (2023-12-31) on the 4. Robotics &amp; Automation tab in the Sum header row for the first annual period is changed from 2023-12-31 to 2025-12-31, does the second annual period end-of-year date on the 4. Robotics &amp; Automation tab in the Sum header row update to within +/- 2% of 2026-12-31 (represented as the serial date value within +/- 2%)? [+5]
4.7. If the hardcoded Bookings aggregation type label on the 4. Robotics &amp; Automation tab (currently set to Sum for the first Bookings product row) is changed from Sum to Average, does the Bookings Aurora RTK annual value for 2026 on the 4. Robotics &amp; Automation tab update to reflect an AVERAGEIFS calculation instead of SUMIFS (expected to be significantly lower than the sum, within +/- 2% of the monthly average for that year)? [+5]
Section 5: Presentation
5.1. Are formula-driven values in the annual aggregate section of the Robotics and Automation tab displayed in green font used across the other segment tabs? [+2]
5.2. Are subtotal and rollup rows in the Robotics and Automation tab's annual aggregate section styled with bold font and light gray fill? [+2]
5.3. Do all numeric cells in the annual aggregate columns on the Robotics and Automation tab use comma-separated number formats with two decimal places, consistent with the monthly detail columns? [+2]
Section 6: Pitfalls
6.1. Are there any error values in the 2. Mobile tab, the 3. Logistics &amp; Mapping tab, the 4. Robotics &amp; Automation tab, and the 5. Other tab (#REF!, #DIV/0!, #VALUE!, #NAME?, #N/A, #NUM!)? [-5]
6.2. Is any data or label text truncated due to insufficient column widths or row heights in the 2. Mobile tab, the 3. Logistics &amp; Mapping tab, the 4. Robotics &amp; Automation tab, and the 5. Other tab? [-3]</v>
      </c>
      <c r="J24" s="9"/>
      <c r="K24" s="9" t="b">
        <v>1</v>
      </c>
      <c r="L24" s="54">
        <v>46162.0</v>
      </c>
      <c r="M24" s="55">
        <v>30.0</v>
      </c>
      <c r="N24" s="45" t="str">
        <f t="shared" si="4"/>
        <v>https://admin.tsip.ai/tasks/9451a181-4b36-4410-92ad-7ae329eb3099</v>
      </c>
      <c r="O24" s="46" t="b">
        <v>0</v>
      </c>
      <c r="P24" s="5"/>
      <c r="Q24" s="5"/>
      <c r="R24" s="5"/>
    </row>
    <row r="25" ht="15.75" customHeight="1">
      <c r="A25" s="5" t="s">
        <v>364</v>
      </c>
      <c r="B25" s="5" t="s">
        <v>365</v>
      </c>
      <c r="C25" s="55" t="s">
        <v>150</v>
      </c>
      <c r="D25" s="45" t="str">
        <f t="shared" si="3"/>
        <v>https://www.tsip.ai/force/d3c49dda-ea40-44f5-aac4-7e128754a6dd</v>
      </c>
      <c r="E25" s="9" t="b">
        <v>1</v>
      </c>
      <c r="F25" s="53" t="b">
        <v>1</v>
      </c>
      <c r="G25" s="57">
        <v>46162.0</v>
      </c>
      <c r="H25" s="58">
        <v>15.0</v>
      </c>
      <c r="I25" s="47" t="str">
        <f>iferror(VLOOKUP(A25,'Decomp Rubrics'!A:B,2,false),"generating")</f>
        <v>Section 1: Formula Correctness
1.1. Is the Auto OEM 001 Totals Ending Backlog row on the Exist Auto Program Detail sheet computed as the sum of Ending Backlog from all four sub-programs period by period? [+2]
1.2. Is the Auto OEM 001 Totals Ending ARR row on the Exist Auto Program Detail sheet computed as the sum of Ending ARR from all four sub-programs period by period? [+2]
1.3. Is the Auto OEM 001 Totals Bookings row on the Exist Auto Program Detail sheet computed as the sum of all individual booking lines including renewal bookings across all four sub-programs? [+2]
1.4. Is the Auto OEM 001 Totals Revenue row on the Exist Auto Program Detail sheet computed as the sum of all revenue lines across all four sub-programs? [+1]
1.5. Is the Auto OEM 002 Totals Ending Backlog row on the Exist Auto Program Detail sheet computed as the sum of Ending Backlog from the Initial and Expansion sub-programs? [+1]
1.6. Is the Auto OEM 004 Totals Bookings row on the Exist Auto Program Detail sheet computed as the sum of all booking lines across the three VW sub-programs? [+2]
1.7. Is the Auto OEM 004 Totals Cash row on the Exist Auto Program Detail sheet computed as the sum of the Cash lines from the three VW sub-programs? [+2]
1.8. Is the Auto OEM 003 Totals Ending Backlog row on the Exist Auto Program Detail sheet computed as the sum of Ending Backlog from the Initial Program, Expansion Program, and Atlas Product 004 sub-programs? [+2]
1.9. Is the Total Pipeline row on the 2024-2028 Revenue Pipeline summary computed as the sum of Auto Pipeline Revenue and Total Industrial Pipeline Revenue for each year? [+2]
1.10. Is the Robotics and Automation row on the 2024-2028 Revenue Pipeline summary computed as the sum of all six robotics subsegment totals rows? [+2]
1.11. Is the Total Logistics and Mapping row on the 2024-2025 Qtrly Indus Pipeline sheet computed as the sum of Total Fleet Management, Total Surveying And Mapping, and Total Asset Tracking? [+2]
1.12. Is the Total Robotics and Automation row on the 2024-2025 Qtrly Indus Pipeline sheet computed as the sum of the six robotics sub-totals? [+2]
1.13. Is the FY 2024 annual total column on the 2024-2025 Qtrly Indus Pipeline sheet computed as the sum of Q1 through Q4 2024 for each detail and totals row? [+2]
1.14. Is the Pipeline Segment Summary grand total row on the 2024-2025 Qtrly Indus Pipeline sheet computed as the sum of the Mobile, Logistics and Mapping, Robotics and Automation, and Other vertical rows? [+2]
1.15. Is the grand total row at the bottom of the Revenue Forecast section on the 2024-2025 Qtrly Indus Pipeline sheet computed as the sum of Mobile, Logistics and Mapping, Robotics and Automation, and Other forecast rows? [+1]
Section 3: Output Validation
3.1. Is the Auto OEM 001 Totals Revenue row for 2031-2040 on the Exist Auto Program Detail sheet within +/- 2% of 432000000? [+5]
3.2. Is the Auto OEM 004 Totals Ending Backlog for 2026 on the Exist Auto Program Detail sheet within +/- 2% of 193200000? [+5]
3.3. Is the Auto OEM 003 Totals Bookings for 2025 on the Exist Auto Program Detail sheet within +/- 2% of 4200000? [+4]
3.4. Is the Auto OEM 002 (Tier1 A) Totals Ending ARR for 2028 on the Exist Auto Program Detail sheet within +/- 2% of 19200000? [+5]
3.5. Is the Total Pipeline Revenue for 2028 (Total column V) on the 2024-2028 Revenue Pipeline sheet within +/- 2% of 28565000? [+5]
3.6. Is the Total Industrial Pipeline Revenue for 2026 on the 2024-2028 Revenue Pipeline sheet within +/- 2% of 7498000? [+5]
3.7. Is the Robotics and Automation summary row for 2025 on the 2024-2028 Revenue Pipeline sheet within +/- 2% of 1498000? [+4]
3.8. Is the grand total Revenue Forecast row for FY 2024 on the 2024-2025 Qtrly Indus Pipeline sheet within +/- 2% of 3498000? [+5]
3.9. Is the Total Robotics and Automation pipeline row for Q4 2024 on the 2024-2025 Qtrly Indus Pipeline sheet within +/- 2% of 247000? [+4]
3.10. Is the Auto OEM 004 Totals Cash row for 2027 on the Exist Auto Program Detail sheet within +/- 2% of 28800000? [+3]
Section 4: Perturbation
4.1. If the Auto OEM 001 Atlas Product 001 vehicle production value for 2024 on the Exist Auto Program Detail tab is changed from 4,200,000 to 8,400,000, does the Auto OEM 001 Totals Ending ARR for 2024 update to within +/- 2% of the correctly recomputed value? [+5]
4.2. If the Auto OEM 001 Region vehicle production value for 2024 on the Exist Auto Program Detail tab is changed from 3,500,000 to 7,000,000, does the Auto OEM 001 Totals Revenue for 2024 update to within +/- 2% of the correctly recomputed value? [+5]
4.3. If the Auto OEM 004 1.1/1.2 Architecture ending backlog value for the Total column on the Exist Auto Program Detail tab is changed from 28,172,000 to 56,344,000, does the Auto OEM 004 Totals Ending Backlog Total column update to within +/- 2% of the correctly recomputed value? [+5]
4.4. If the Mobile subsegment Trimble Marine revenue value for Q3 2024 on the 2024-2025 Qtrly Indus Pipeline tab is changed from its current value to double that amount, does the Pipeline Segment Summary grand total row for FY 2024 update to within +/- 2% of the correctly recomputed value? [+5]
4.5. If the Auto OEM 003 Initial Program ending ARR value for 2025 on the Exist Auto Program Detail tab is changed from 300,000 to 900,000, does the Auto OEM 003 Totals Ending ARR for 2025 update to within +/- 2% of the correctly recomputed value? [+5]
4.6. If the Auto OEM 002 Expansion Program vehicle production value for 2027 on the Exist Auto Program Detail tab is changed from 40,000 to 120,000, does the Auto OEM 002 (Tier1 A) Totals Ending ARR for 2027 update to within +/- 2% of the correctly recomputed value? [+5]
4.7. If the Robotics and Automation subsegment Commercial RLM account revenue for Q3 2024 on the 2024-2025 Qtrly Indus Pipeline tab is changed from its current value to triple that amount, does the Total Robotics and Automation row for FY 2024 update to within +/- 2% of the correctly recomputed value? [+5]
Section 5: Presentation
5.1. Are hardcoded values displayed in blue font and formula-driven values in black font across all new totals blocks on the Exist Auto Program Detail, 2024-2028 Revenue Pipeline, and 2024-2025 Qtrly Indus Pipeline sheets? [+2]
5.2. Are the new OEM totals blocks on the Exist Auto Program Detail sheet formatted with yellow fill and bold text, matching the existing Auto OEM 006 Totals block pattern? [+2]
5.3. Are all currency values in the newly added rows formatted with a dollar sign prefix, comma separators, and no decimal places? [+2]
Section 6: Pitfalls
6.1. Are there any error values in the Exist Auto Program Detail tab, the 2024-2028 Revenue Pipeline tab, and the 2024-2025 Qtrly Indus Pipeline tab (#REF!, #DIV/0!, #VALUE!, #NAME?, #N/A, #NUM!)? [-5]
6.2. Is any data or label text truncated due to insufficient column widths or row heights in the Exist Auto Program Detail tab, the 2024-2028 Revenue Pipeline tab, and the 2024-2025 Qtrly Indus Pipeline tab? [-3]</v>
      </c>
      <c r="J25" s="9"/>
      <c r="K25" s="9" t="b">
        <v>1</v>
      </c>
      <c r="L25" s="54">
        <v>46162.0</v>
      </c>
      <c r="M25" s="55">
        <v>45.0</v>
      </c>
      <c r="N25" s="45" t="str">
        <f t="shared" si="4"/>
        <v>https://admin.tsip.ai/tasks/d3c49dda-ea40-44f5-aac4-7e128754a6dd</v>
      </c>
      <c r="O25" s="46" t="b">
        <v>0</v>
      </c>
      <c r="P25" s="5"/>
      <c r="Q25" s="5"/>
      <c r="R25" s="5"/>
    </row>
    <row r="26" ht="15.75" customHeight="1">
      <c r="A26" s="5" t="s">
        <v>366</v>
      </c>
      <c r="B26" s="5" t="s">
        <v>367</v>
      </c>
      <c r="C26" s="44" t="s">
        <v>150</v>
      </c>
      <c r="D26" s="45" t="str">
        <f t="shared" si="3"/>
        <v>https://www.tsip.ai/force/00c07d57-1124-49c2-b354-6df05adc7a7f</v>
      </c>
      <c r="E26" s="9" t="b">
        <v>1</v>
      </c>
      <c r="F26" s="47" t="b">
        <v>0</v>
      </c>
      <c r="G26" s="54">
        <v>46162.0</v>
      </c>
      <c r="H26" s="55">
        <v>50.0</v>
      </c>
      <c r="I26" s="47" t="str">
        <f>iferror(VLOOKUP(A26,'Decomp Rubrics'!A:B,2,false),"generating")</f>
        <v>Section 1: Formula Correctness
1.1. Is Total Attributed CAC on the Unit Economics tab expressed as a negative value (hardcoded amounts divided by FX_ with a negative sign) for all projected quarters? [+2]
1.2. Is Global ARR on the Unit Economics tab computed as the sum of all MRR from the MRR calculation tab, multiplied by 12, divided by 1,000,000, and divided by FX_? [+2]
1.3. Is Regional ARR on the Unit Economics tab computed using a conditional sum on the region column of the MRR calculation tab, multiplied by 12, divided by 1,000,000, and divided by FX_? [+2]
1.4. Is the FY column for Absolute ARR Growth on the Unit Economics tab calculated as the sum of the four quarterly values within that year? [+1]
1.5. Is NDR-driven ARR growth on the Unit Economics tab derived as total absolute ARR growth minus new business ARR growth? [+2]
1.6. Is Organic NDR on the Unit Economics tab computed as NDR-driven ARR growth minus account expansion for each quarter? [+1]
1.7. Is Net New ARR from Regular Operations on the Unit Economics tab calculated as total new business ARR minus enterprise deal ARR? [+1]
1.8. Is Total Sales Result on the Unit Economics tab computed as the sum of new business bookings, enterprise MRR bookings, and AM net growth bookings, with FY columns summing the four quarters? [+2]
1.9. Is CAC Payback on the Unit Economics tab calculated as the absolute value of CAC divided by the product of total sales result and gross margin percentage? [+2]
1.10. Is Absolute Cash Burn on the Unit Economics tab derived as monthly average cash burn multiplied by three and divided by one million? [+1]
1.11. Is the Quarterly Burn Multiple on the Unit Economics tab computed as negative monthly burn times three divided by the quantity of current ARR minus 14.48/FX_ times one million? [+2]
1.12. Is Runway on the Unit Economics tab calculated as bank balance in millions divided by the absolute value of monthly burn in millions, showing a dash text when monthly burn is positive? [+3]
1.13. Is Rule of 40 on the Unit Economics tab calculated as the YoY ARR growth rate plus the gross margin percentage from the P&amp;L tab for each projected quarter? [+1]
1.14. Is ARR per FTE on the Unit Economics tab derived as global ARR divided by FTE count, scaled back up by multiplying by one million? [+1]
1.15. Is NNARR per S&amp;M FTE on the Unit Economics tab computed as the sum of NDR-driven and new business ARR growth times one million divided by the sum of the two S&amp;M headcount rows? [+2]
Section 2: Model Integration
2.1. Is the EMEA ARR on the I. Unit Economics tab linked to the MRR by region on the 5. MRR calculation tab? [+5]
2.2. Is the Additional financing on the III. Cash tab linked to the Additional financing on the I. Unit Economics tab? [+5]
2.3. Is the NDR rate on the I. Unit Economics tab linked to the NDR rate on the 3.2. NDR 26-28 tab? [+4]
2.4. Is the Enterprise deal ARR on the I. Unit Economics tab linked to the Enterprise MRR bookings on the 4. Enterprise motion tab? [+4]
2.5. Is the Rule of 40 on the I. Unit Economics tab linked to the Gross margin percentage on the II. P&amp;L tab? [+4]
2.6. Is the New business bookings MRR on the I. Unit Economics tab linked to the New Business bookings on the 2. New Business tab? [+4]
2.7. Is the period code on the I. Unit Economics tab linked to the quarter-to-code mapping on the mappings tab? [+3]
2.8. Is the SQL generation on the I. Unit Economics tab linked to the SQL generation on the 1. Pipeline generation tab? [+3]
2.9. Is the number of Customers on the I. Unit Economics tab linked to the Total number of customers on the 6. Other Sales functions tab? [+3]
2.10. Is the FTE count on the I. Unit Economics tab linked to the Total FTEs on the 8. R&amp;D and G&amp;A Overheads tab? [+3]
Section 3: Output Validation
3.1. Is the Global ARR on the 'I. Unit Economics' tab for 2028 Q4 within +/- 2% of 109.62? [+5]
3.2. Is the Global ARR on the 'I. Unit Economics' tab for 2025 Q2 within +/- 2% of 36.72? [+4]
3.3. Is the FY Absolute ARR Growth on the 'I. Unit Economics' tab for 2023 FY within +/- 2% of 5.76? [+3]
3.4. Is the FY Absolute ARR Growth on the 'I. Unit Economics' tab for 2026 FY within +/- 2% of 17.49? [+4]
3.5. Is the Total Attributed CAC on the 'I. Unit Economics' tab for 2024 Q3 within +/- 2% of -2.85? [+4]
3.6. Is the NDR Rate on the 'I. Unit Economics' tab for 2025 Q1 within +/- 0.5 pp of 102.9%? [+3]
3.7. Is the Rule of 40 on the 'I. Unit Economics' tab for 2028 FY within +/- 0.5 pp of 123.0%? [+5]
3.8. Is the FY Absolute ARR Growth on the 'I. Unit Economics' tab for 2028 FY within +/- 2% of 25.51? [+5]
3.9. Does the 'III. Cash' tab row 27 for 2027 Q1 contain a formula linking to the 'I. Unit Economics' additional financing row, resulting in a value of 0? [+5]
Section 4: Perturbation
4.1. If the SQL generation count on the Pipeline generation tab for 2024 Q1 is changed from 213 to 426, does the SQL generation metric on the Unit Economics tab for 2024 Q1 update to within +/- 2% of 426 (within +/- 2%)? [+5]
4.2. If the SQL generation count on the Pipeline generation tab for 2025 Q1 is changed from approximately 290 to 580, does the SQL generation metric on the Unit Economics tab for 2025 Q1 update to within +/- 2% of 580 (within +/- 2%)? [+5]
4.3. If the SQL generation count on the Pipeline generation tab for 2026 Q1 is changed from approximately 377.85 to 755.70, does the SQL generation metric on the Unit Economics tab for 2026 Q1 update to within +/- 2% of 755.70 (within +/- 2%)? [+5]
4.4. If the SQL generation count on the Pipeline generation tab for 2024 Q2 is changed from 182 to 364, does the SQL generation metric on the Unit Economics tab for 2024 Q2 update to within +/- 2% of 364 (within +/- 2%)? [+5]
4.5. If the SQL generation count on the Pipeline generation tab for 2024 Q3 is changed from 258 to 516, does the SQL generation metric on the Unit Economics tab for 2024 Q3 update to within +/- 2% of 516 (within +/- 2%)? [+5]
4.6. If the SQL generation count on the Pipeline generation tab for 2026 Q2 is changed from approximately 383.35 to 766.70, does the SQL generation metric on the Unit Economics tab for 2026 Q2 update to within +/- 2% of 766.70 (within +/- 2%)? [+5]
Section 5: Presentation
5.1. Are all percentage values on the I. Unit Economics tab (YoY growth, QoQ growth, NDR, regional splits, Rule of 40) formatted as percentages with zero decimal places? [+2]
5.2. Are all non-empty numeric values in the ARR and growth sections of the I. Unit Economics tab formatted with comma thousands separators and one decimal place conventions? [+2]
5.3. Are summary and total rows on the I. Unit Economics tab (e.g., Global ARR, total new business, total sales result) visually distinguished with bold font's existing styling? [+2]
Section 6: Pitfalls
6.1. Are there any error values in the I. Unit Economics tab and the III. Cash tab (#REF!, #DIV/0!, #VALUE!, #NAME?, #N/A, #NUM!)? [-5]
6.2. Is any data or label text truncated due to insufficient column widths or row heights in the I. Unit Economics tab and the III. Cash tab? [-3]</v>
      </c>
      <c r="J26" s="46"/>
      <c r="K26" s="46" t="b">
        <v>0</v>
      </c>
      <c r="L26" s="44"/>
      <c r="M26" s="44"/>
      <c r="N26" s="45" t="str">
        <f t="shared" si="4"/>
        <v>https://admin.tsip.ai/tasks/00c07d57-1124-49c2-b354-6df05adc7a7f</v>
      </c>
      <c r="O26" s="46" t="b">
        <v>0</v>
      </c>
      <c r="P26" s="5" t="s">
        <v>368</v>
      </c>
      <c r="Q26" s="5"/>
      <c r="R26" s="5"/>
    </row>
    <row r="27" ht="15.75" customHeight="1">
      <c r="A27" s="5" t="s">
        <v>369</v>
      </c>
      <c r="B27" s="5" t="s">
        <v>367</v>
      </c>
      <c r="C27" s="44" t="s">
        <v>150</v>
      </c>
      <c r="D27" s="45" t="str">
        <f t="shared" si="3"/>
        <v>https://www.tsip.ai/force/3a1f76de-2e68-4036-aa3d-d325bb2ea100</v>
      </c>
      <c r="E27" s="46" t="b">
        <v>1</v>
      </c>
      <c r="F27" s="53" t="b">
        <v>1</v>
      </c>
      <c r="G27" s="48">
        <v>46160.0</v>
      </c>
      <c r="H27" s="49">
        <v>45.0</v>
      </c>
      <c r="I27" s="47" t="str">
        <f>iferror(VLOOKUP(A27,'Decomp Rubrics'!A:B,2,false),"generating")</f>
        <v>generating</v>
      </c>
      <c r="J27" s="9"/>
      <c r="K27" s="9" t="b">
        <v>1</v>
      </c>
      <c r="L27" s="54">
        <v>46163.0</v>
      </c>
      <c r="M27" s="55">
        <v>20.0</v>
      </c>
      <c r="N27" s="45" t="str">
        <f t="shared" si="4"/>
        <v>https://admin.tsip.ai/tasks/3a1f76de-2e68-4036-aa3d-d325bb2ea100</v>
      </c>
      <c r="O27" s="46" t="b">
        <v>0</v>
      </c>
      <c r="P27" s="5" t="s">
        <v>370</v>
      </c>
      <c r="Q27" s="5"/>
      <c r="R27" s="5"/>
    </row>
    <row r="28" ht="15.75" customHeight="1">
      <c r="A28" s="5" t="s">
        <v>371</v>
      </c>
      <c r="B28" s="5" t="s">
        <v>367</v>
      </c>
      <c r="C28" s="44" t="s">
        <v>68</v>
      </c>
      <c r="D28" s="45" t="str">
        <f t="shared" si="3"/>
        <v>https://www.tsip.ai/force/76dfed95-97aa-4610-be20-44beb1d5ab35</v>
      </c>
      <c r="E28" s="59" t="b">
        <v>0</v>
      </c>
      <c r="F28" s="47" t="b">
        <v>0</v>
      </c>
      <c r="G28" s="48">
        <v>46159.0</v>
      </c>
      <c r="H28" s="49">
        <v>55.0</v>
      </c>
      <c r="I28" s="47" t="str">
        <f>iferror(VLOOKUP(A28,'Decomp Rubrics'!A:B,2,false),"generating")</f>
        <v>Section 1: Formula Correctness
1.1. Is the high value customer ending stock on the Other Sales Functions sheet computed as prior period stock minus the product of prior year same-quarter stock and annual churn rate, plus new high value customers? [+3]
1.2. Is the medium value customer ending stock computed as prior period stock minus churn on prior year same-quarter stock, plus total new customers minus new high value customers for that period? [+3]
1.3. Is the low value customer ending stock computed as the prior year same-quarter stock multiplied by one minus the annual churn rate, with no new customer additions in the projected period? [+2]
1.4. Is the CS Success FTE needed per region computed as the maximum of high value customers divided by 15 and medium value customers divided by 60, each rounded up to zero decimals? [+3]
1.5. Is the AVG TOTAL BDR to AE ratio on the Other Sales Functions sheet computed as the simple average of the four regional BDR to AE ratio rows for each quarterly column? [+1]
1.6. Is the per-region productive BDR FTE computed as the region's fully ramped AE headcount divided by that region's BDR to AE ratio, rounded to zero decimals? [+1]
1.7. Is BDR FTEs needed per region on the Sales Overhead sheet computed as the region's productive BDR FTE plus the non-quota carriers total multiplied by that region's share of total productive BDR FTE? [+2]
1.8. Is BDR payroll cost per region computed as headcount on payroll times monthly base OTE times three times the cumulative salary inflation factor, times one plus the payroll tax rate, plus three times the monthly benefit amount? [+2]
1.9. Is BDR management headcount per region computed as headcount on payroll divided by the management ratio, rounded to zero decimals, defaulting to zero when the ratio produces an error? [+2]
1.10. Is total BDR payroll cost per region on the Sales Overhead sheet computed as the sum of direct BDR payroll cost and BDR management payroll cost? [+1]
1.11. Are the EMEA AEs on payroll correctly split between Budapest and London using the hardcoded BUD percentage share and one minus that share for London, respectively? [+2]
1.12. Is the APAC GM cost on the Sales Overhead sheet computed as 300,000 divided by 4 per quarter, scaled by the cumulative salary inflation factor for the corresponding year? [+1]
1.13. Is the OPEX cost per role on the Sales Overhead sheet computed as headcount on payroll multiplied by the per-FTE quarterly OPEX rate looked up from the OPEX assumptions table? [+1]
1.14. Is total cost per region and function on the Sales Overhead sheet computed as the sum of payroll cost and OPEX cost for that region and function? [+1]
1.15. Does the customer segment ratio check row on the Other Sales Functions sheet confirm that the high value, medium value, and low value ratios sum to exactly one for each column? [+1]
Section 2: Model Integration
2.1. Is the productive BDR FTE on the 6. Other Sales functions tab linked to the fully ramped AE headcount on the 2. New Business tab? [+5]
2.2. Is the AM FTEs needed on the 7. Sales Overhead calculation tab linked to the AM FTE needed on the 3.2. NDR 26-28 tab? [+4]
2.3. Is the AE FTEs needed on the 7. Sales Overhead calculation tab linked to the fully ramped AE headcount on the 2. New Business tab? [+4]
2.4. Is the CS FTEs needed on the 7. Sales Overhead calculation tab linked to the CS Success FTE headcount needed on the 6. Other Sales functions tab? [+3]
2.5. Is the Enterprise AE payroll cost on the 7. Sales Overhead calculation tab linked to the Enterprise AE headcount on the 4. Enterprise motion tab? [+3]
2.6. Is the AE payroll cost on the 7. Sales Overhead calculation tab linked to the cumulative salary inflation factor on the 2. New Business tab? [+3]
2.7. Is the SE FTEs needed on the 7. Sales Overhead calculation tab linked to the productive SE FTE on the 6. Other Sales functions tab? [+3]
2.8. Is the AM payroll cost on the 7. Sales Overhead calculation tab linked to the AM OTE on the 3.2. NDR 26-28 tab? [+3]
2.9. Is the Enterprise AE FTEs needed on the 7. Sales Overhead calculation tab linked to the Enterprise AE headcount on the 4. Enterprise motion tab? [+3]
Section 3: Output Validation
3.1. Is the TOTAL productive BDR FTE on the '6. Other Sales functions' sheet for Q4 2028 within +/- 2% of 10? [+3]
3.2. Is the TOTAL customers row on the '6. Other Sales functions' sheet for Q4 2026 within +/- 2% of 709? [+4]
3.3. Is the TOTAL productive SE FTE on the '6. Other Sales functions' sheet for Q4 2028 within +/- 2% of 7? [+3]
3.4. Is the TOTAL CS Success FTE headcount needed on the '6. Other Sales functions' sheet for Q4 2027 within +/- 2% of 38? [+4]
3.5. Is the high value customer segment ratio check row on the '6. Other Sales functions' sheet equal to 1 (within +/- 0.5 pp) for Q4 2028? [+3]
3.6. Is the total BDR payroll cost (all regions combined) on the '7. Sales Overhead calculation' sheet for FY 2027 within +/- 2% of 838,929? [+5]
3.7. Is the total AE payroll cost (all regions combined) on the '7. Sales Overhead calculation' sheet for FY 2028 within +/- 2% of 2,789,484? [+5]
3.8. Is the total headcount on payroll (all roles, all regions) on the '7. Sales Overhead calculation' sheet for Q4 2028 within +/- 2% of 95? [+5]
3.9. Is the total cost (payroll plus OPEX, all regions and functions) on the '7. Sales Overhead calculation' sheet for FY 2026 within +/- 2% of 5,769,498? [+5]
3.10. Is the total OPEX cost (all roles combined) on the '7. Sales Overhead calculation' sheet for FY 2028 within +/- 2% of 1,232,200? [+5]
Section 4: Perturbation
4.1. If the EMEA BDR to AE ratio on the Other Sales functions tab is changed from 2 to 4 for all projected quarters, does the TOTAL productive BDR FTE on the Other Sales functions tab for 2028 Q4 update to within +/- 2% of the expected reduced value? (Testing with the 2028 Q4 quarterly column.)? [+5]
4.2. If the EMEA SE to AE ratio on the Other Sales functions tab is changed from 3 to 6 for 2028 Q4, does the TOTAL productive SE FTE on the Other Sales functions tab for 2028 Q4 update to within +/- 2% of the expected reduced value reflecting halved EMEA SE headcount? [+5]
4.3. If the high value customer annual churn rate on the Other Sales functions tab is changed from 10% to 50%, does the TOTAL high value customers ending stock on the Other Sales functions tab for 2028 Q4 update to within +/- 2% of the expected significantly reduced value? [+5]
4.4. If the high value customers per CS Success FTE capacity ratio on the Other Sales functions tab is changed from 15 to 5, does the TOTAL CS Success FTE headcount needed on the Other Sales functions tab for 2028 Q4 update to within +/- 2% of the expected tripled value? [+5]
4.5. If the APAC GM annual cost on the Sales Overhead calculation tab is changed from 300000 to 600000, does the TOTAL management and central functions cost on the Sales Overhead calculation tab for 2028 Q4 update to within +/- 2% of the expected value reflecting the doubled APAC GM cost? [+5]
4.6. If the BDR quarterly OPEX per FTE on the Sales Overhead calculation tab is changed from 4250 to 8500, does the TOTAL OPEX cost for BDRs on the Sales Overhead calculation tab for FY 2028 update to within +/- 2% of the expected doubled BDR OPEX value? [+5]
4.7. If the medium value customer annual churn rate on the Other Sales functions tab is changed from 15% to 50%, does the TOTAL medium value customers ending stock on the Other Sales functions tab for 2028 Q4 update to within +/- 2% of the expected significantly reduced value? [+5]
Section 5: Presentation
5.1. Are all numeric values on the Other Sales functions and Sales Overhead calculation sheets formatted with comma thousands separators and zero decimal places? [+2]
5.2. Are all non-empty percentage values on the Other Sales functions sheet (customer segment ratios, churn rates) formatted as percentages with zero decimal places? [+2]
5.3. Are total and subtotal rows on both changed sheets visually distinguished with bold font and light gray fill color used across other model tabs? [+2]
Section 6: Pitfalls
6.1. Are there any error values in the 6. Other Sales functions tab and the 7. Sales Overhead calculation tab (#REF!, #DIV/0!, #VALUE!, #NAME?, #N/A, #NUM!)? [-5]
6.2. Is any data or label text truncated due to insufficient column widths or row heights in the 6. Other Sales functions tab and the 7. Sales Overhead calculation tab? [-3]</v>
      </c>
      <c r="J28" s="46"/>
      <c r="K28" s="46" t="b">
        <v>0</v>
      </c>
      <c r="L28" s="44"/>
      <c r="M28" s="44"/>
      <c r="N28" s="45" t="str">
        <f t="shared" si="4"/>
        <v>https://admin.tsip.ai/tasks/76dfed95-97aa-4610-be20-44beb1d5ab35</v>
      </c>
      <c r="O28" s="46" t="b">
        <v>0</v>
      </c>
      <c r="P28" s="5" t="s">
        <v>372</v>
      </c>
      <c r="Q28" s="5"/>
      <c r="R28" s="5"/>
    </row>
    <row r="29" ht="15.75" customHeight="1">
      <c r="A29" s="5" t="s">
        <v>373</v>
      </c>
      <c r="B29" s="5" t="s">
        <v>367</v>
      </c>
      <c r="C29" s="44" t="s">
        <v>68</v>
      </c>
      <c r="D29" s="45" t="str">
        <f t="shared" si="3"/>
        <v>https://www.tsip.ai/force/1fdf02fe-b76b-45f1-bf8b-a01f0742e608</v>
      </c>
      <c r="E29" s="59" t="b">
        <v>0</v>
      </c>
      <c r="F29" s="47" t="b">
        <v>0</v>
      </c>
      <c r="G29" s="48">
        <v>46159.0</v>
      </c>
      <c r="H29" s="49">
        <v>65.0</v>
      </c>
      <c r="I29" s="47" t="str">
        <f>iferror(VLOOKUP(A29,'Decomp Rubrics'!A:B,2,false),"generating")</f>
        <v>Section 1: Formula Correctness
1.1. Is the TOTAL row in the Number of Leads section on the Pipeline Generation sheet computed as the sum of EMEA, NOAM, LATAM, and APAC for every quarterly and FY period? [+1]
1.2. Is the historical Lead to Opportunity conversion rate on the Pipeline Generation sheet back-calculated as SQO count divided by SQL count for each region and period? [+2]
1.3. Is the FY total Lead to Opportunity conversion rate on the Pipeline Generation sheet computed as total FY SQOs divided by total FY SQLs, not as an average of quarterly rates? [+2]
1.4. Are projected SQO counts (2024 Q4 onwards) on the Pipeline Generation sheet derived as each region's SQL count multiplied by that region's conversion rate assumption? [+1]
1.5. Is projected SQO pipeline (2024 Q4 onwards) on the Pipeline Generation sheet derived as SQOs multiplied by average deal size for each region? [+1]
1.6. Is the marketing overhead total on the Pipeline Generation sheet computed as FY overhead percentage times FY marketing spend divided by (one minus FY overhead percentage)? [+3]
1.7. Is the quarterly overhead interpolation on the Pipeline Generation sheet computed as prior-year Q4 overhead plus k-tenths of the difference between FY overhead total and four times prior Q4, for k equals 1 through 4? [+3]
1.8. Is regional overhead allocation (2024 Q4 onwards) on the Pipeline Generation sheet computed as total overhead multiplied by that region's marketing spend divided by total marketing spend? [+2]
1.9. Is the marketing total cost row on the Pipeline Generation sheet computed as the sum of marketing spend and marketing overhead for each region and in total? [+1]
1.10. Are new business bookings (2024 Q4 onwards) on the New Business sheet computed using a one-period lag, as prior-quarter SQO pipeline value multiplied by the current-quarter win rate? [+2]
1.11. Is the TOTAL win rate row on the New Business sheet computed as total bookings divided by total pipeline for each period, not as an average of regional win rates? [+2]
1.12. Is AE headcount on the New Business sheet (2024 Q4 onwards) derived as bookings divided by the product of quota and attainment, rounded to zero decimals, with division-error protection? [+2]
1.14. Is the new customer count by region on the Other Sales Functions sheet derived as that region's bookings divided by the region's average deal size? [+1]
1.15. Is the OPEX as a percentage of revenue in the benchmarking section on the R&amp;D and G&amp;A Overheads sheet computed as each category's actual spending divided by revenue for each period? [+1]
Section 2: Model Integration
2.1. Is the SQO value on the 2. New Business tab linked to the deal pipeline required on the 1. Pipeline generation tab? [+5]
2.2. Is the average deal size on the 6. Other Sales functions tab linked to the average deal size on the 1. Pipeline generation tab? [+4]
2.3. Is the total average deal size on the 6. Other Sales functions tab linked to the total new business bookings on the 2. New Business tab? [+4]
2.4. Is the FY total date header on the 1. Pipeline generation tab linked to the quarter-to-FY mapping on the mappings tab? [+3]
2.5. Is the FY total date header on the 2. New Business tab linked to the quarter-to-FY mapping on the mappings tab? [+3]
Section 3: Output Validation
3.1. Is the TOTAL deal pipeline required for FY 2028 on the '1. Pipeline generation' sheet within +/- 2% of 29aboralizona let me re-read precisely from workbook? [+5]
3.2. Is the TOTAL number of leads for FY 2025 on the '1. Pipeline generation' sheet within +/- 2% of 33convex let me provide actual read values? [+3]
3.3. Is the TOTAL deal pipeline required for FY 2028 on the '1. Pipeline generation' sheet within +/- 2% of 29398498? [+5]
3.4. Is the TOTAL marketing cost for FY 2028 on the '1. Pipeline generation' sheet within +/- 2% of 5765498? [+5]
3.5. Is the TOTAL new business bookings for FY 2027 on the '2. New Business' sheet within +/- 2% of 18498498? [+5]
3.6. Is the TOTAL AE headcount for Q4 2028 on the '2. New Business' sheet within +/- 2% of 44? [+5]
3.7. Is the TOTAL new customer count for FY 2026 on the '6. Other Sales functions' sheet within +/- 2% of 162? [+4]
3.9. Is the lead-to-opportunity conversion rate TOTAL for FY 2025 on the '1. Pipeline generation' sheet within +/- 0.5 pp of 3.1%? [+4]
3.10. Is the TOTAL marketing overhead for Q2 2026 on the '1. Pipeline generation' sheet within +/- 2% of 274839? [+4]
3.12. Is the TOTAL marketing total cost for FY 2027 on the '1. Pipeline generation' sheet within +/- 2% of 5765183? [+5]
3.13. Is the TOTAL new business bookings for FY 2028 on the '2. New Business' sheet within +/- 2% of 19763498? [+5]
3.15. Is the TOTAL number of SQOs for FY 2026 on the '1. Pipeline generation' sheet within +/- 2% of 1027? [+4]
3.16. Is the TOTAL number of leads for FY 2025 on the '1. Pipeline generation' sheet within +/- 2% of 30025? [+3]
3.17. Is the TOTAL win rate for FY 2027 on the '2. New Business' sheet within +/- 0.5 pp of 32.5%? [+4]
3.18. Is the TOTAL new customer count for Q4 2027 on the '6. Other Sales functions' sheet within +/- 2% of 55? [+4]
Section 4: Perturbation
4.1. If the 2025 FY marketing overhead percentage on the Pipeline generation tab is changed from 43% to 86%, does the FY 2025 marketing total cost TOTAL row on the Pipeline generation tab update to within +/- 2% of the correctly recomputed value (approximately reflecting a much larger overhead allocation)? [+5]
4.2. If the 2026 FY marketing overhead percentage on the Pipeline generation tab is changed from 36% to 72%, does the FY 2026 marketing total cost TOTAL row on the Pipeline generation tab update to within +/- 2% of the correctly recomputed value? [+5]
4.3. If the 2025 Q1 R&amp;D expansion vs Q-1 rate on the R&amp;D and G&amp;A Overheads tab is changed from 10% to 30%, does the R&amp;D quarterly cost for 2025 Q1 on the R&amp;D and G&amp;A Overheads tab update to within +/- 2% of the correctly recomputed value? [+5]
4.4. If the 2025 Q2 G&amp;A expansion vs Q-1 rate on the R&amp;D and G&amp;A Overheads tab is changed from 5% to 25%, does the G&amp;A quarterly cost for 2028 Q4 on the R&amp;D and G&amp;A Overheads tab update to within +/- 2% of the correctly recomputed value (reflecting compounded growth)? [+5]
4.5. If the 2027 FY marketing overhead percentage on the Pipeline generation tab is changed from 24% to 48%, does the FY 2027 TOTAL marketing spend plus overhead (marketing total cost TOTAL) on the Pipeline generation tab update to within +/- 2% of the correctly recomputed value? [+5]
4.6. If the 2025 Q3 R&amp;D expansion vs Q-1 rate on the R&amp;D and G&amp;A Overheads tab is changed from 8% to 24%, does the R&amp;D cost for 2027 Q4 on the R&amp;D and G&amp;A Overheads tab update to within +/- 2% of the correctly recomputed value (reflecting compounded expansion)? [+5]
4.7. If the 2028 FY marketing overhead percentage on the Pipeline generation tab is changed from approximately 19.9% to 50%, does the FY 2028 TOTAL marketing total cost on the Pipeline generation tab update to within +/- 2% of the correctly recomputed value? [+5]
Section 5: Presentation
5.1. Are all non-empty numeric values on the Pipeline Generation and New Business sheets formatted with comma thousands separators and zero decimal places, and percentages formatted with zero decimal places? [+2]
5.2. Are hardcoded assumption values displayed in blue font while formula-driven values use black font across the Pipeline Generation, New Business, and R&amp;D and G&amp;A Overheads sheets? [+2]
5.3. Are TOTAL rows on the Pipeline Generation and New Business sheets visually distinguished with bold text and a light gray fill? [+2]
Section 6: Pitfalls
6.1. Are there any error values in the 1. Pipeline generation tab, the 2. New Business tab, the 3.2. NDR 26-28 tab, the 5. MRR calculation tab, the 6. Other Sales functions tab, the 7. Sales Overhead calculation tab, and the 8. R&amp;D and G&amp;A Overheads tab (#REF!, #DIV/0!, #VALUE!, #NAME?, #N/A, #NUM!)? [-5]
6.2. Is any data or label text truncated due to insufficient column widths or row heights in the 1. Pipeline generation tab, the 2. New Business tab, the 3.2. NDR 26-28 tab, the 5. MRR calculation tab, the 6. Other Sales functions tab, the 7. Sales Overhead calculation tab, and the 8. R&amp;D and G&amp;A Overheads tab? [-3]</v>
      </c>
      <c r="J29" s="46"/>
      <c r="K29" s="46" t="b">
        <v>0</v>
      </c>
      <c r="L29" s="44"/>
      <c r="M29" s="44"/>
      <c r="N29" s="45" t="str">
        <f t="shared" si="4"/>
        <v>https://admin.tsip.ai/tasks/1fdf02fe-b76b-45f1-bf8b-a01f0742e608</v>
      </c>
      <c r="O29" s="46" t="b">
        <v>0</v>
      </c>
      <c r="P29" s="5" t="s">
        <v>374</v>
      </c>
      <c r="Q29" s="5"/>
      <c r="R29" s="5"/>
    </row>
    <row r="30" ht="15.75" customHeight="1">
      <c r="A30" s="5" t="s">
        <v>375</v>
      </c>
      <c r="B30" s="5" t="s">
        <v>367</v>
      </c>
      <c r="C30" s="44" t="s">
        <v>68</v>
      </c>
      <c r="D30" s="45" t="str">
        <f t="shared" si="3"/>
        <v>https://www.tsip.ai/force/c62d5635-6c88-4fcc-ab2a-e23554cd85ed</v>
      </c>
      <c r="E30" s="59" t="b">
        <v>0</v>
      </c>
      <c r="F30" s="47" t="b">
        <v>0</v>
      </c>
      <c r="G30" s="48">
        <v>46158.0</v>
      </c>
      <c r="H30" s="49">
        <v>85.0</v>
      </c>
      <c r="I30" s="47" t="str">
        <f>iferror(VLOOKUP(A30,'Decomp Rubrics'!A:B,2,false),"generating")</f>
        <v>Section 1: Formula Correctness
1.1. Is OPEX as a percentage of Revenue on the R&amp;D and G&amp;A Overheads tab computed as the absolute value of Total OPEX divided by Invoiced Revenue for each quarterly and FY column? [+1]
1.2. Does the P&amp;L split check row on the R&amp;D and G&amp;A Overheads tab compute the sum of all five P&amp;L lines (Marketing, Sales, R&amp;D, G&amp;A core, G&amp;A to reallocate) minus Total OPEX, yielding zero? [+2]
1.3. Is the Total FTE row on the R&amp;D and G&amp;A Overheads tab computed as the sum of Marketing, Sales, R&amp;D, and G&amp;A payroll FTE for every quarterly and FY column? [+1]
1.6. Is the TOTAL planned spend row on the R&amp;D and G&amp;A Overheads tab computed as the sum of Marketing, Sales, R&amp;D, and G&amp;A planned spend for each period? [+1]
1.8. Is G&amp;A payroll FTE for 2025 through 2028 computed as ROUND of (Marketing FTE plus Sales FTE plus R&amp;D FTE) divided by the G&amp;A to others FTE ratio for that quarter? [+2]
1.9. Is the R&amp;D FTE back-solve at each year-boundary quarter (Q1) from 2025 onward correctly derived using prior FY FTE, the difference between current and prior FY planned R&amp;D spend adjusted for salary inflation, divided by negative unitary cost, then rounded? [+3]
1.10. Is the additional R&amp;D FTEs unitary cost held flat within each year and stepped up at Q1 of each new year by the annual R&amp;D salary inflation rate from the lookup table, starting from a base of 49,583.33 per quarter? [+2]
1.11. Is R&amp;D planned spend for 2025 Q1 onward computed by applying both the annual R&amp;D salary inflation rate at each Q1 and the quarterly R&amp;D expansion rate to the prior period, building off the FY 2024 benchmark-calibrated anchor? [+3]
1.12. Is the FY 2024 R&amp;D planned spend anchor on the R&amp;D and G&amp;A Overheads tab set as the negative of the R&amp;D industry benchmark percentage times FY 2024 Invoiced Revenue? [+2]
1.13. Is the FY 2024 G&amp;A planned spend anchor on the R&amp;D and G&amp;A Overheads tab set as the negative of the G&amp;A industry benchmark percentage times FY 2024 Invoiced Revenue? [+2]
1.14. Is the S&amp;M actuals-as-percentage-of-revenue computed as the absolute value of (Marketing plus Sales planned spend) divided by Invoiced Revenue, wrapped to return zero on error, for all periods except FY 2023? [+2]
1.15. Is the delta absolute versus benchmark for each function computed as planned spend minus the benchmark rate times the negated Invoiced Revenue, correctly handling the negative sign convention on revenue? [+2]
Section 2: Model Integration
2.1. Is the Sales FTE on the 8. R&amp;D and G&amp;A Overheads tab linked to the total Sales headcount on the 7. Sales Overhead calculation tab? [+3]
2.2. Is the Marketing planned spend on the 8. R&amp;D and G&amp;A Overheads tab linked to the Marketing Total Cost on the 1. Pipeline generation tab? [+3]
2.3. Is the Sales planned spend on the 8. R&amp;D and G&amp;A Overheads tab linked to the total planned Sales cost on the 7. Sales Overhead calculation tab? [+3]
Section 3: Output Validation
3.1. Is the OPEX as a percentage of Revenue for FY 2023 on the '8. R&amp;D and G&amp;A Overheads' tab within +/- 0.5 pp of 93.2%? [+3]
3.2. Is the Total FTE for Q4 2028 on the '8. R&amp;D and G&amp;A Overheads' tab within +/- 2% of 274? [+4]
3.3. Is the TOTAL planned spend for FY 2028 on the '8. R&amp;D and G&amp;A Overheads' tab within +/- 2% of -30,935,567? [+5]
3.4. Is the TOTAL planned spend for FY 2026 on the '8. R&amp;D and G&amp;A Overheads' tab within +/- 2% of -21,589,498? [+5]
3.5. Is the R&amp;D planned spend for FY 2024 on the '8. R&amp;D and G&amp;A Overheads' tab within +/- 2% of -7,218,750? [+5]
3.6. Is the Total delta absolute versus benchmark for FY 2028 on the '8. R&amp;D and G&amp;A Overheads' tab within +/- 2% of -1,665,439? [+5]
3.7. Is the S&amp;M actual percentage of revenue for FY 2027 on the '8. R&amp;D and G&amp;A Overheads' tab within +/- 0.5 pp of 30.0%? [+4]
3.8. Is the Total delta percentage versus benchmark for FY 2025 on the '8. R&amp;D and G&amp;A Overheads' tab within +/- 0.5 pp of 11.6%? [+5]
3.9. Is the G&amp;A planned spend for FY 2026 on the '8. R&amp;D and G&amp;A Overheads' tab within +/- 2% of -4,145,498? [+5]
Section 4: Perturbation
4.1. If the Invoiced Revenue value for Q1 2023 on the 8. R&amp;D and G&amp;A Overheads tab is changed from -4176498 to -8353000 (approximately doubled), does the OPEX as a percentage of Revenue for FY 2023 on the same tab update to reflect the new denominator? The FY 2023 OPEX % of Revenue should update to within +/- 0.5 pp of the expected value (approximately 72.6% given the higher revenue base while OPEX stays fixed).? [+5]
4.2. If the R&amp;D salary inflation rate for 2025 on the 8. R&amp;D and G&amp;A Overheads tab is changed from 7% to 14% (doubled), does the Additional R&amp;D FTEs unitary cost for Q1 2026 on the same tab update to within +/- 2% of the expected value? With a 14% 2025 inflation, the Q1 2025 base of 49583.33 inflates to 56524.99, then at Q1 2026 with 5% inflation it becomes 59351.24.? [+5]
4.3. If the G&amp;A to others FTE ratio for Q1 2025 on the 8. R&amp;D and G&amp;A Overheads tab is changed from 5.0 to 2.5 (halved), does the Total FTE for FY 2025 on the same tab update to within +/- 2% of the expected value? Halving the ratio roughly doubles the G&amp;A payroll FTE, significantly increasing total headcount.? [+5]
4.4. If the R&amp;D quarterly expansion rate for Q1 2025 on the 8. R&amp;D and G&amp;A Overheads tab is changed from 11% to 33% (tripled), does the R&amp;D planned spend for FY 2025 on the same tab update to within +/- 2% of the expected value? Tripling the Q1 expansion rate dramatically increases the 2025 R&amp;D spend base and all subsequent quarters compound from it.? [+5]
4.5. If the G&amp;A quarterly expansion rate for Q1 2025 on the 8. R&amp;D and G&amp;A Overheads tab is changed from 5% to 15% (tripled), does the G&amp;A planned spend for FY 2025 on the same tab update to within +/- 2% of the expected value? Tripling this expansion rate significantly increases the G&amp;A forward projection from its benchmark-calibrated FY 2024 anchor.? [+5]
4.6. If the R&amp;D industry benchmark percentage for FY 2024 on the 8. R&amp;D and G&amp;A Overheads tab is changed from its current value (approximately 28%) to 56% (doubled), does the R&amp;D planned spend for FY 2025 on the same tab update to within +/- 2% of the expected value? The FY 2024 R&amp;D anchor is computed as negative benchmark times FY revenue, so doubling the benchmark roughly doubles the anchor from which all forward R&amp;D spend is projected.? [+5]
4.7. If the G&amp;A industry benchmark percentage for FY 2024 on the 8. R&amp;D and G&amp;A Overheads tab is changed from its current value (approximately 18%) to 36% (doubled), does the Total planned spend for FY 2025 on the same tab update to within +/- 2% of the expected value? Doubling the G&amp;A benchmark doubles the FY 2024 G&amp;A anchor, which propagates through the G&amp;A expansion rates into all 2025 quarters and the FY total.? [+5]
Section 5: Presentation
5.1. Are all non-empty numeric values on the R&amp;D and G&amp;A Overheads tab formatted with thousands comma separators and zero decimal places? [+2]
5.2. Are all percentage values on the R&amp;D and G&amp;A Overheads tab (OPEX as % of revenue, benchmarks, deltas) formatted as percentages with zero decimal places? [+2]
5.3. Are total and subtotal rows on the R&amp;D and G&amp;A Overheads tab visually distinguished with bold text and a light gray fill color tabs? [+2]
Section 6: Pitfalls
6.1. Are there any error values in the 8. R&amp;D and G&amp;A Overheads tab (#REF!, #DIV/0!, #VALUE!, #NAME?, #N/A, #NUM!)? [-5]
6.2. Is any data or label text truncated due to insufficient column widths or row heights in the 8. R&amp;D and G&amp;A Overheads tab? [-3]</v>
      </c>
      <c r="J30" s="46"/>
      <c r="K30" s="46" t="b">
        <v>0</v>
      </c>
      <c r="L30" s="44"/>
      <c r="M30" s="44"/>
      <c r="N30" s="45" t="str">
        <f t="shared" si="4"/>
        <v>https://admin.tsip.ai/tasks/c62d5635-6c88-4fcc-ab2a-e23554cd85ed</v>
      </c>
      <c r="O30" s="46" t="b">
        <v>0</v>
      </c>
      <c r="P30" s="5" t="s">
        <v>376</v>
      </c>
      <c r="Q30" s="5"/>
      <c r="R30" s="5"/>
    </row>
    <row r="31" ht="15.75" customHeight="1">
      <c r="A31" s="5" t="s">
        <v>377</v>
      </c>
      <c r="B31" s="5" t="s">
        <v>378</v>
      </c>
      <c r="C31" s="44" t="s">
        <v>150</v>
      </c>
      <c r="D31" s="45" t="str">
        <f t="shared" si="3"/>
        <v>https://www.tsip.ai/force/f59aba79-8692-4b27-86f0-66ccf05728a1</v>
      </c>
      <c r="E31" s="46" t="b">
        <v>1</v>
      </c>
      <c r="F31" s="47" t="b">
        <v>0</v>
      </c>
      <c r="G31" s="48">
        <v>46160.0</v>
      </c>
      <c r="H31" s="49">
        <v>30.0</v>
      </c>
      <c r="I31" s="47" t="str">
        <f>iferror(VLOOKUP(A31,'Decomp Rubrics'!A:B,2,false),"generating")</f>
        <v>generating</v>
      </c>
      <c r="J31" s="46"/>
      <c r="K31" s="46" t="b">
        <v>0</v>
      </c>
      <c r="L31" s="44"/>
      <c r="M31" s="44"/>
      <c r="N31" s="45" t="str">
        <f t="shared" si="4"/>
        <v>https://admin.tsip.ai/tasks/f59aba79-8692-4b27-86f0-66ccf05728a1</v>
      </c>
      <c r="O31" s="46" t="b">
        <v>0</v>
      </c>
      <c r="P31" s="5" t="s">
        <v>368</v>
      </c>
      <c r="Q31" s="5"/>
      <c r="R31" s="5"/>
    </row>
    <row r="32" ht="15.75" customHeight="1">
      <c r="A32" s="4" t="s">
        <v>379</v>
      </c>
      <c r="B32" s="4" t="s">
        <v>380</v>
      </c>
      <c r="C32" s="44" t="s">
        <v>150</v>
      </c>
      <c r="D32" s="45" t="str">
        <f t="shared" si="3"/>
        <v>https://www.tsip.ai/force/7abb257c-510e-4fee-bb92-1e609e59cb27</v>
      </c>
      <c r="E32" s="46" t="b">
        <v>1</v>
      </c>
      <c r="F32" s="53" t="b">
        <v>1</v>
      </c>
      <c r="G32" s="57">
        <v>46158.0</v>
      </c>
      <c r="H32" s="58">
        <v>10.0</v>
      </c>
      <c r="I32" s="47" t="str">
        <f>iferror(VLOOKUP(A32,'Decomp Rubrics'!A:B,2,false),"generating")</f>
        <v>generating</v>
      </c>
      <c r="J32" s="9"/>
      <c r="K32" s="9" t="b">
        <v>1</v>
      </c>
      <c r="L32" s="57">
        <v>46160.0</v>
      </c>
      <c r="M32" s="58">
        <v>45.0</v>
      </c>
      <c r="N32" s="45" t="str">
        <f t="shared" si="4"/>
        <v>https://admin.tsip.ai/tasks/7abb257c-510e-4fee-bb92-1e609e59cb27</v>
      </c>
      <c r="O32" s="46" t="b">
        <v>0</v>
      </c>
      <c r="P32" s="5" t="s">
        <v>368</v>
      </c>
    </row>
    <row r="33" ht="15.75" customHeight="1">
      <c r="A33" s="4" t="s">
        <v>381</v>
      </c>
      <c r="B33" s="4" t="s">
        <v>380</v>
      </c>
      <c r="C33" s="44" t="s">
        <v>150</v>
      </c>
      <c r="D33" s="45" t="str">
        <f t="shared" si="3"/>
        <v>https://www.tsip.ai/force/5dbb7c5f-902b-4e24-8f12-bb04d829a579</v>
      </c>
      <c r="E33" s="46" t="b">
        <v>1</v>
      </c>
      <c r="F33" s="53" t="b">
        <v>1</v>
      </c>
      <c r="G33" s="57">
        <v>46158.0</v>
      </c>
      <c r="H33" s="58">
        <v>10.0</v>
      </c>
      <c r="I33" s="47" t="str">
        <f>iferror(VLOOKUP(A33,'Decomp Rubrics'!A:B,2,false),"generating")</f>
        <v>generating</v>
      </c>
      <c r="J33" s="9"/>
      <c r="K33" s="9" t="b">
        <v>1</v>
      </c>
      <c r="L33" s="57">
        <v>46160.0</v>
      </c>
      <c r="M33" s="58">
        <v>20.0</v>
      </c>
      <c r="N33" s="45" t="str">
        <f t="shared" si="4"/>
        <v>https://admin.tsip.ai/tasks/5dbb7c5f-902b-4e24-8f12-bb04d829a579</v>
      </c>
      <c r="O33" s="46" t="b">
        <v>0</v>
      </c>
      <c r="P33" s="5" t="s">
        <v>368</v>
      </c>
    </row>
    <row r="34" ht="15.75" customHeight="1">
      <c r="A34" s="4" t="s">
        <v>382</v>
      </c>
      <c r="B34" s="4" t="s">
        <v>383</v>
      </c>
      <c r="C34" s="55" t="s">
        <v>150</v>
      </c>
      <c r="D34" s="45" t="str">
        <f t="shared" si="3"/>
        <v>https://www.tsip.ai/force/f651f63b-9e89-499e-916a-dee03c5b15b7</v>
      </c>
      <c r="E34" s="9" t="b">
        <v>1</v>
      </c>
      <c r="F34" s="53" t="b">
        <v>1</v>
      </c>
      <c r="G34" s="54">
        <v>46162.0</v>
      </c>
      <c r="H34" s="55">
        <v>30.0</v>
      </c>
      <c r="I34" s="47" t="str">
        <f>iferror(VLOOKUP(A34,'Decomp Rubrics'!A:B,2,false),"generating")</f>
        <v>Section 1: Formula Correctness
1.1. Is Adjusted EBITDA on the Summary Financials tab calculated as Total Revenue minus Adjusted Operating Expenses for each period? [+2]
1.2. Is Adjusted EBITDA Margin on the Summary Financials tab calculated as Adjusted EBITDA divided by Total Revenue for each period? [+1]
1.3. Is Recurring Revenue on the Summary Financials tab computed as the sum of all recurring revenue line items, including the newly added Piermont Operations Services line? [+2]
1.4. Is Total Revenue on the Summary Financials tab computed as the sum of Recurring Revenue and all non-recurring revenue lines? [+2]
1.5. Is Core Software FY24 recurring revenue on the Pier ARR and Recurring Revenue tab derived as three quarters at the FY23 ARR rate plus one quarter at the FY24 ARR rate? [+2]
1.6. Is Operations Services FY24 recurring revenue on the Pier ARR and Recurring Revenue tab derived as three quarters at the FY23 ARR rate plus zero for Q4 since FY24 ARR is zero? [+2]
1.7. Is Core Software FY25 recurring revenue on the Pier ARR and Recurring Revenue tab derived as three quarters at the FY24 ARR rate plus one quarter at the FY25 ARR rate? [+2]
1.8. Is FY23 Core Software ARR on the Pier ARR and Recurring Revenue tab derived as equal to FY24 Core Software ARR, reflecting flat year-over-year ARR? [+1]
1.9. Is FY24 Core Software ARR on the Pier ARR and Recurring Revenue tab derived as FY24 Total ARR minus FY24 Recurring Projects ARR? [+1]
1.10. Is Total ARR on the ARR and Revenue Reconciliation tab computed as the sum of all individual ARR components for FY24A, Delta, and FY25E columns? [+2]
1.11. Is Total Recurring Revenue on the ARR and Revenue Reconciliation tab computed as the sum of all individual recurring revenue components for each column? [+2]
1.12. Is the Delta column on the ARR and Revenue Reconciliation tab calculated as FY25E minus FY24A for each ARR and recurring revenue row? [+1]
1.13. Is Existing External Clients FY24A recurring revenue on the ARR and Revenue Reconciliation tab derived as Total External Client Recurring Revenue minus the sum of JJJ, Executed and Onboarding, Current Pipeline, and Tradeweb? [+2]
1.14. Is the Recurring Contract Revenue Excluding Pier Operations Services memo line on the ARR and Revenue Reconciliation tab calculated as Total Recurring Revenue minus the Operations Services component? [+1]
1.15. Is External Client Recurring Revenue Growth on the Summary Financials tab calculated as year-over-year percentage change referencing the External Client Recurring Revenue line? [+1]
Section 2: Model Integration
2.1. Is the Piermont Recurring Revenue - Operations Services on the Summary Financials tab linked to the Operations Services Total Recurring Revenue on the Pier ARR and Recurring Revenue tab? [+4]
2.2. Is the FY24 Total ARR on the Pier ARR and Recurring Revenue tab linked to the Piermont ARR on the Summary Financials tab? [+4]
2.3. Is the Piermont Operations Services ARR on the ARR and Revenue Reconciliation tab linked to the Operations Services ARR on the Pier ARR and Recurring Revenue tab? [+3]
2.4. Is the Amplitude Investment Fund ARR on the ARR and Revenue Reconciliation tab linked to the Amplitude Investment Fund ARR on the Summary Financials tab? [+3]
2.5. Is the Existing External Clients recurring revenue on the ARR and Revenue Reconciliation tab linked to the External Client Recurring Revenue on the Summary Financials tab? [+3]
2.6. Is the FY24A Revenue on the FY24 to FY25 Revenue Bridge tab linked to the Total Revenue on the Summary Financials tab? [+3]
2.7. Is the FY24A Adjusted EBITDA on the FY24 to FY25 EBITDA Bridge tab linked to the Adjusted EBITDA on the Summary Financials tab? [+3]
Section 3: Output Validation
3.1. Is the Adjusted EBITDA for FY24A on the Summary Financials tab within +/- 2% of -14.348? [+5]
3.2. Is the Adjusted EBITDA for FY25E on the Summary Financials tab within +/- 2% of -8.865? [+5]
3.3. Is the Adjusted EBITDA Margin for FY25E on the Summary Financials tab within +/- 0.5 pp of -26.1%? [+4]
3.4. Is the Total ARR for FY24A on the ARR and Revenue Reconciliation tab within +/- 2% of 39.9? [+5]
3.5. Is the Total Recurring Revenue for FY24A on the ARR and Revenue Reconciliation tab within +/- 2% of 18.802? [+5]
3.6. Is the Piermont Operations Services FY24 total recurring revenue on the Pier ARR and Recurring Revenue tab within +/- 2% of 4.4? [+3]
3.7. Is the Piermont Core Software FY24 total recurring revenue on the Pier ARR and Recurring Revenue tab within +/- 2% of 8.25? [+3]
3.8. Is the FY24A Adjusted EBITDA starting value on the FY24 to FY25 EBITDA Bridge tab within +/- 2% of -14.348? [+5]
3.9. Is the Recurring Contract Revenue Excluding Pier Operations Services memo line for FY24A on the ARR and Revenue Reconciliation tab within +/- 2% of 14.402? [+4]
Section 4: Perturbation
4.1. If Compensation &amp; Benefits (FY24A) on the Summary Financials tab is changed from approximately 55.54 to 27.77 (halved), does the FY24A Adjusted EBITDA starting value on the FY24 to FY25 EBITDA Bridge tab update to within +/- 2% of the expected value (approximately 23.70)? [+5]
4.2. If Compensation &amp; Benefits (FY25E) on the Summary Financials tab is changed from approximately 46.89 to 23.45 (halved), does the FY25E Adjusted EBITDA on the Summary Financials tab update to within +/- 2% of the expected value (approximately 20.04)? [+5]
4.3. If the FY23 Total ARR on the Pier ARR and Recurring Revenue tab is changed from 50 to 100, does the Piermont Recurring Revenue - Operations Services (FY24A) on the Summary Financials tab update to within +/- 2% of the expected value (approximately 37.55)? [+5]
4.4. If the FY24 Recurring Projects ARR on the Pier ARR and Recurring Revenue tab is changed from approximately 2.034 to 10.0, does the Piermont Core (FY24A) ARR on the ARR and Revenue Reconciliation tab update to within +/- 2% of the expected value (approximately the FY24 Total ARR minus 10.0)? [+5]
4.5. If the Exceptional Items (FY25E) on the Summary Financials tab is changed from -4.70 to 0.00, does the FY25E Adjusted EBITDA on the Summary Financials tab update to within +/- 2% of the expected value (approximately 1.40 less negative, so around -2.00)? [+5]
4.6. If the FY24A Total Revenue starting value on the Summary Financials tab for Piermont Project Revenue is changed from approximately 8.434 to 16.868 (doubled), does the FY24A Total Revenue on the FY24 to FY25 Revenue Bridge tab update to within +/- 2% of the expected value (approximately 78.09)? [+5]
4.7. If the FY25E Recurring Projects ARR on the Pier ARR and Recurring Revenue tab is changed from approximately 2.496 to 12.496 (increased by 10), does the FY25E Piermont Core FY24 recurring revenue total on the ARR and Revenue Reconciliation tab for Piermont Core update to within +/- 2% of the expected value? [+5]
Section 5: Presentation
5.1. Are hardcoded values displayed in blue font, formula-driven values in black font, and cross-sheet references in green font across all changed tabs? [+2]
5.2. Are all non-empty numeric values on the Summary Financials tab formatted with comma separators and zero decimal places, while the ARR and Revenue Reconciliation tab uses comma separators with one decimal place? [+2]
5.3. Are total and subtotal rows on the Summary Financials tab visually distinguished with bold text? [+2]
Section 6: Pitfalls
6.1. Are there any error values in the Summary Financials tab, the ARR and Revenue Reconciliation tab, the Pier ARR and Recurring Revenue tab, the FY24 to FY25 Revenue Bridge tab, and the FY24 to FY25 EBITDA Bridge tab (#REF!, #DIV/0!, #VALUE!, #NAME?, #N/A, #NUM!)? [-5]
6.2. Is any data or label text truncated due to insufficient column widths or row heights in the Summary Financials tab, the ARR and Revenue Reconciliation tab, the Pier ARR and Recurring Revenue tab, the FY24 to FY25 Revenue Bridge tab, and the FY24 to FY25 EBITDA Bridge tab? [-3]</v>
      </c>
      <c r="J34" s="9"/>
      <c r="K34" s="9" t="b">
        <v>1</v>
      </c>
      <c r="L34" s="54">
        <v>46162.0</v>
      </c>
      <c r="M34" s="55">
        <v>30.0</v>
      </c>
      <c r="N34" s="45" t="str">
        <f t="shared" si="4"/>
        <v>https://admin.tsip.ai/tasks/f651f63b-9e89-499e-916a-dee03c5b15b7</v>
      </c>
      <c r="O34" s="46" t="b">
        <v>0</v>
      </c>
    </row>
    <row r="35" ht="15.75" customHeight="1">
      <c r="A35" s="4" t="s">
        <v>384</v>
      </c>
      <c r="B35" s="4" t="s">
        <v>383</v>
      </c>
      <c r="C35" s="55" t="s">
        <v>150</v>
      </c>
      <c r="D35" s="45" t="str">
        <f t="shared" si="3"/>
        <v>https://www.tsip.ai/force/058db80f-6ab8-496a-825f-bea91bb947aa</v>
      </c>
      <c r="E35" s="9" t="b">
        <v>1</v>
      </c>
      <c r="F35" s="53" t="b">
        <v>1</v>
      </c>
      <c r="G35" s="54">
        <v>46162.0</v>
      </c>
      <c r="H35" s="55">
        <v>30.0</v>
      </c>
      <c r="I35" s="47" t="str">
        <f>iferror(VLOOKUP(A35,'Decomp Rubrics'!A:B,2,false),"generating")</f>
        <v>Section 1: Formula Correctness
1.1. Is the Operational CapEx subtotal on the CapEx Detail tab computed as the sum of IT Software, Roadmap, IT Equipment, and Furniture &amp; Fittings? [+1]
1.2. Is the One-Time Lease CapEx subtotal on the CapEx Detail tab computed as the sum of Leasehold Improvements and Leased Office Premise? [+1]
1.3. Is Total CapEx on the CapEx Detail tab computed as the sum of Operational CapEx, One-Time Lease CapEx, and One-Time Development CapEx subtotals? [+2]
1.4. Is Remove: Capitalized Staff Costs Add-Backs on the CapEx Detail tab expressed as the negative of IT Software (Capitalized Staff Costs), ensuring it reduces EBITDA? [+2]
1.5. Is Reported EBITDA on the CapEx Detail tab computed as Adjusted EBITDA plus Remove: Exceptional Item Add-Backs plus Remove: Capitalized Staff Costs Add-Backs? [+2]
1.6. Is EBITDA Excl. Capitalized Staff Costs on the CapEx Detail tab derived as Reported EBITDA plus the positive reversal (Add-Back) of Capitalized Staff Costs? [+2]
1.7. Is EBITDA Less: Total CapEx on the CapEx Detail tab computed as EBITDA Excl. Capitalized Staff Costs minus Total CapEx, with CapEx entered as a negative value? [+2]
1.8. Is EBITDA Less: Operational CapEx on the CapEx Detail tab computed as EBITDA Excl. Capitalized Staff Costs minus Operational CapEx, with Operational CapEx as a negative value? [+2]
1.9. Is Adjusted EBITDA Less: Operational CapEx on the CapEx Detail tab derived as EBITDA Less: Operational CapEx plus the positive Add-Back of Exceptional Items? [+2]
1.10. Is Adjusted Operating Cash Flow on the Cash Flow Projections tab computed as the sum of EBITDA Excl. Capitalized Staff Costs, Exceptional Income/(Cost), and Movement in Normalized Net Working Capital? [+2]
1.11. Is Free Cash Flow on the Cash Flow Projections tab derived as Adjusted Operating Cash Flow minus Total CapEx, with Total CapEx sign-reversed to appear as a negative deduction? [+2]
1.12. Is Adjusted Operating Expenses on the Expense Projections tab computed as Total Operating Expenses plus Less: Exceptional Items plus Less: Capitalized Staff Costs? [+1]
1.13. Is the Roadmap (50% Developers) line on the CapEx Detail tab grown at 9% per year from its FY25E base value in FY26E and FY27E? [+1]
1.14. Does IT Equipment on the CapEx Detail tab carry flat from its FY24A hardcoded value across all projected years FY25E through FY27E? [+1]
Section 2: Model Integration
2.1. Is the EBITDA Excl. Capitalized Staff Costs on the Cash Flow Projections tab linked to the EBITDA Excl. Capitalized Staff Costs on the CapEx Detail tab? [+5]
2.2. Is the Adjusted EBITDA on the CapEx Detail tab linked to the Adjusted EBITDA on the Summary Financials tab? [+4]
2.3. Is the Total CapEx on the Cash Flow Projections tab linked to the Total CapEx on the CapEx Detail tab? [+4]
2.4. Is the Adjusted EBITDA Less: Operational CapEx on the Summary Financials tab linked to the Adjusted EBITDA Less: Operational CapEx on the CapEx Detail tab? [+4]
2.5. Is the Free Cash Flow on the Summary Financials tab linked to the Free Cash Flow on the Cash Flow Projections tab? [+4]
2.6. Is the Less: Exceptional Items on the Expense Projections tab linked to the Exceptional Items on the Summary Financials tab? [+3]
Section 3: Output Validation
3.1. Is Total CapEx on the CapEx Detail tab for FY27E within +/- 2% of 8.265 ($mm)? [+5]
3.2. Is Total CapEx on the CapEx Detail tab for FY25E within +/- 2% of 16.371 ($mm)? [+5]
3.3. Is Operational CapEx subtotal on the CapEx Detail tab for FY26E within +/- 2% of 7.686 ($mm)? [+3]
3.4. Is the Roadmap (50% Developers) line on the CapEx Detail tab for FY27E within +/- 2% of 1.737 ($mm), reflecting two years of 9% growth? [+3]
3.5. Is One-Time Lease CapEx subtotal on the CapEx Detail tab for FY24A within +/- 2% of 5.578 ($mm)? [+3]
3.6. Is Total CapEx on the CapEx Detail tab for FY24A within +/- 2% of 13.677 ($mm)? [+4]
3.7. Is Free Cash Flow on the Summary Financials tab for FY25E linked from Cash Flow Projections and within +/- 2% of the value shown on the Cash Flow Projections tab for FY25E? [+5]
3.8. Is Adjusted EBITDA Less: Operational CapEx on the Summary Financials tab for FY27E within +/- 2% of the corresponding value on the CapEx Detail tab for FY27E? [+5]
Section 4: Perturbation
4.1. If the Murex Upgrade (Not in P&amp;L) value for FY25E on the CapEx Detail tab is changed from $8.059mm to $0mm, does Free Cash Flow for FY25E on the Summary Financials tab update to within +/- 2% of the expected value (approximately $2.197mm)? [+5]
4.2. If the IT Software (Capitalized Staff Costs) value for FY25E on the CapEx Detail tab is changed from $5.606mm to $2.803mm, does Free Cash Flow for FY25E on the Summary Financials tab update to within +/- 2% of the expected value (approximately -$3.059mm)? [+5]
4.3. If the Movement in Normalized Net Working Capital for FY25E on the Cash Flow Projections tab is changed from -$4.482mm to $4.482mm, does Free Cash Flow for FY25E on the Summary Financials tab update to within +/- 2% of the expected value (approximately $2.826mm)? [+5]
4.4. If the IT Equipment value for FY24A on the CapEx Detail tab is changed from $1.008mm to $2.50mm, does the Adjusted EBITDA Less Operational CapEx for FY27E on the Summary Financials tab update to within +/- 2% of the expected value (approximately $3.137mm)? [+5]
4.5. If the Roadmap (50% Developers) value for FY25E on the CapEx Detail tab is changed from $1.462mm to $4.386mm, does Free Cash Flow for FY26E on the Summary Financials tab update to within +/- 2% of the expected value (approximately $1.316mm)? [+5]
4.6. If the Exceptional Income / (Cost) for FY24A on the Cash Flow Projections tab is changed from $3.738mm to $0mm, does Free Cash Flow for FY24A on the Summary Financials tab update to within +/- 2% of the expected value (approximately -$1.195mm)? [+5]
4.7. If the Furniture and Fittings value for FY24A on the CapEx Detail tab is changed from $0.236mm to $1.236mm, does Free Cash Flow for FY27E on the Summary Financials tab update to within +/- 2% of the expected value (approximately $1.629mm)? [+5]
Section 5: Presentation
5.1. Are hardcoded values displayed in blue font, formula-driven values in black font, and cross-sheet links in green font on the CapEx Detail and Cash Flow Projections tabs? [+2]
5.2. Are all non-empty numeric values on the CapEx Detail and Cash Flow Projections tabs formatted with comma separators and one decimal place? [+2]
5.3. Are subtotal and total rows on the CapEx Detail and Cash Flow Projections tabs visually distinguished with bold text on existing tabs? [+2]
Section 6: Pitfalls
6.1. Are there any error values in the CapEx Detail tab, the Cash Flow Projections tab, the Summary Financials tab, and the Expense Projections tab (#REF!, #DIV/0!, #VALUE!, #NAME?, #N/A, #NUM!)? [-5]
6.2. Is any data or label text truncated due to insufficient column widths or row heights in the CapEx Detail tab, the Cash Flow Projections tab, the Summary Financials tab, and the Expense Projections tab? [-3]</v>
      </c>
      <c r="J35" s="9"/>
      <c r="K35" s="9" t="b">
        <v>1</v>
      </c>
      <c r="L35" s="54">
        <v>46162.0</v>
      </c>
      <c r="M35" s="55">
        <v>30.0</v>
      </c>
      <c r="N35" s="45" t="str">
        <f t="shared" si="4"/>
        <v>https://admin.tsip.ai/tasks/058db80f-6ab8-496a-825f-bea91bb947aa</v>
      </c>
      <c r="O35" s="46" t="b">
        <v>0</v>
      </c>
    </row>
    <row r="36" ht="15.75" customHeight="1">
      <c r="A36" s="4" t="s">
        <v>385</v>
      </c>
      <c r="B36" s="4" t="s">
        <v>383</v>
      </c>
      <c r="C36" s="55" t="s">
        <v>150</v>
      </c>
      <c r="D36" s="45" t="str">
        <f t="shared" si="3"/>
        <v>https://www.tsip.ai/force/1e82b9bd-c543-422d-b1b3-fc8f47a844cf</v>
      </c>
      <c r="E36" s="46" t="b">
        <v>0</v>
      </c>
      <c r="F36" s="47" t="b">
        <v>0</v>
      </c>
      <c r="G36" s="44"/>
      <c r="H36" s="44"/>
      <c r="I36" s="47" t="str">
        <f>iferror(VLOOKUP(A36,'Decomp Rubrics'!A:B,2,false),"generating")</f>
        <v>Section 1: Formula Correctness
1.1. Is Total ARR on the ARR and Revenue tab computed as the sum of Piermont ARR, Amplitude Investment Fund ARR, and External Client ARR for each period? [+2]
1.2. Is Recurring Revenue on the ARR and Revenue tab computed as the sum of Piermont Recurring Revenue (Core), Piermont Recurring Revenue (Operations Services), CIF Recurring Revenue, and External Client Recurring Revenue? [+2]
1.3. Is Total Revenue on the ARR and Revenue tab computed as Recurring Revenue plus Piermont Project Revenue plus External Implementation and Project Revenue? [+2]
1.4. Is Total ARR Growth on the ARR and Revenue tab for FY25E through FY27E calculated as the year-over-year percentage change in Total ARR rather than hardcoded? [+1]
1.5. Is Recurring Revenue Growth excluding Pier Operations Services on the ARR and Revenue tab computed by removing Pier Operations Services from both the current and prior period before calculating the growth rate? [+3]
1.6. Is Total Operating Expenses on the OpEx and Adjusted EBITDA tab computed as the sum of Compensation and Benefits and Other Expenses for each period? [+1]
1.7. Is Total Operating Expense Growth on the OpEx and Adjusted EBITDA tab for FY25E through FY27E calculated as the year-over-year percentage change in Total Operating Expenses? [+1]
1.8. Is Total Exceptional Items on the Capex and Exceptionals Update tab computed as the sum of Opex on Murex, Fundraising, Refinitiv Market Data, and Scalability/Roadmap for both Budget and FY2025E columns? [+1]
1.9. Is the Delta column on the Capex and Exceptionals Update tab computed as FY2025E minus March 2025 Budget for each line item? [+1]
1.10. Does the running balance column on the FY24 to FY25 ARR Bridge correctly accumulate by adding positive deltas and subtracting negative deltas from the prior running balance at each step? [+2]
1.11. On the Summary ARR and Revenue Bridge, is the Timing Impact on Revenue Recognition derived as the negative of (FY25E Recurring Revenue minus 3/31/25 ARR)? [+2]
1.12. On the Near-Term OpEx Bridge, is the Compensation and Benefits improvement delta sign-flipped to show as a positive number reducing the cost base, incorporating the synergy adjustment? [+2]
1.13. On the Near-Term OpEx Bridge, is Total FY25E Cost Synergies in the reference table computed as the sum of Compensation and Benefits, Technology and Communication, and Employment Costs synergy values? [+1]
1.14. On each restructured bridge tab, does the running balance at holding-position rows equal the prior step's level, with both the upward and downward deltas applied together at the combined formula row? [+2]
1.15. On the Summary ARR and Revenue Bridge, is Implementation and Project Revenue computed as the sum of Piermont Project Revenue and External Implementation and Project Revenue for FY25E? [+1]
Section 2: Model Integration
2.1. Is the starting ARR on the Summary ARR and Revenue Bridge tab linked to the Total ARR on the Summary Financials tab? [+4]
2.2. Is the Piermont ARR on the ARR and Revenue tab linked to the Piermont ARR on the Summary Financials tab? [+3]
2.3. Is the Piermont Recurring Revenue (Core) on the Revenue and Adjusted EBITDA tab linked to the Piermont Recurring Revenue (Core) on the Summary Financials tab? [+3]
2.4. Is the Compensation &amp; Benefits on the OpEx and Adjusted EBITDA tab linked to the Compensation &amp; Benefits on the Summary Financials tab? [+3]
2.5. Is the Technology &amp; Communication Increase on the Near-Term OpEx Bridge tab linked to the Technology &amp; Communication on the Expense Projections tab? [+3]
2.6. Is the FY24A Total Operating Expenses on the Near-Term OpEx Bridge tab linked to the Total Operating Expenses on the Summary Financials tab? [+3]
2.7. Is the Piermont ARR Reduction on the Summary ARR and Revenue Bridge tab linked to the Piermont ARR on the Summary Financials tab? [+3]
2.8. Is the Implementation and Project Revenue on the Summary ARR and Revenue Bridge tab linked to the Piermont Project Revenue on the Summary Financials tab? [+3]
2.9. Is the starting Total ARR on the FY24 to FY25 ARR Bridge tab linked to the Total ARR on the Summary Financials tab? [+3]
2.10. Is the starting Adjusted EBITDA on the FY24 to FY25 EBITDA Bridge tab linked to the Adjusted EBITDA on the Summary Financials tab? [+3]
Section 3: Output Validation
3.1. Is Total ARR for FY27E on the ARR and Revenue tab within +/- 2% of 68.299? [+5]
3.2. Is Total Revenue Growth excluding Pier Operations Services for FY26E on the ARR and Revenue tab within +/- 0.5 pp of 14.90%? [+4]
3.3. Is Adjusted EBITDA Margin for FY27E on the OpEx and Adjusted EBITDA tab within +/- 0.5 pp of 30.4%? [+5]
3.4. Is FY25E Total Revenue on the Summary ARR and Revenue Bridge tab (final endpoint running balance) within +/- 2% of 48.988? [+5]
3.5. Is Total Exceptional Items Delta on the Capex &amp; Exceptionals Update tab within +/- 2% of 1.70? [+3]
3.6. Is Total Operating Expenses for FY26E on the OpEx and Adjusted EBITDA tab within +/- 2% of 39.765? [+4]
3.7. Is Recurring Revenue Growth excluding Pier Operations Services for FY25E on the ARR and Revenue tab within +/- 0.5 pp of 9.84%? [+4]
3.8. Is the FY25E Adjusted EBITDA endpoint running balance on the FY24 to FY25 EBITDA Bridge tab within +/- 2% of 8.384? [+5]
3.9. Is Adjusted EBITDA for FY27E on the Revenue and Adjusted EBITDA tab within +/- 2% of 20.777? [+5]
3.10. Is FY25E Adjusted Operating Expenses (final endpoint running balance) on the Near-Term OpEx Bridge tab within +/- 2% of 35.928? [+5]
Section 4: Perturbation
4.1. If the Technology &amp; Communication expense for FY25E on the Expense Projections tab is changed from approximately 21.517 to 43.034 (doubled), does the FY25E Adjusted Operating Expenses endpoint on the Near-Term OpEx Bridge tab update to within +/- 2% of approximately 93.83? [+5]
4.2. If the Employment Costs for FY24A on the Expense Projections tab is changed from approximately 48.012 to 24.006 (halved), does the Other Operating Expenses Change step delta on the Near-Term OpEx Bridge tab update to within +/- 2% of the recalculated value reflecting the reduced FY24A base? [+5]
4.3. If the Piermont Recurring Revenue (Core) for FY24A on the Summary Financials tab is changed from its current value to double that amount, does the Recurring Revenue total for FY24A on the Revenue and Adjusted EBITDA tab update to within +/- 2% of the recalculated sum reflecting the doubled Piermont Core revenue? [+5]
4.4. If the FY24A Compensation &amp; Benefits on the Summary Financials tab is changed from its current value to 1.5 times that amount, does the FY24A Total Operating Expenses on the OpEx and Adjusted EBITDA tab update to within +/- 2% of the recalculated sum? [+5]
4.5. If the FY24A Total ARR on the Summary Financials tab is changed from its current value to double that amount, does the starting running balance on the Summary ARR and Revenue Bridge tab update to within +/- 2% of the doubled value? [+5]
4.6. If the FY24A Adjusted EBITDA on the Summary Financials tab is changed from its current value to half that amount, does the FY25E endpoint on the FY24 to FY25 EBITDA Bridge tab update to within +/- 2% of the recalculated endpoint reflecting the halved starting value? [+5]
4.7. If the FY24A Total Revenue on the Summary Financials tab is changed from its current value to 1.5 times that amount, does the FY25E endpoint on the FY24 to FY25 Revenue Bridge tab update to within +/- 2% of the recalculated endpoint reflecting the increased starting value? [+5]
Section 5: Presentation
5.1. Are all numeric currency values on the new tabs (ARR and Revenue tab) formatted with comma separators, one decimal place, and parentheses for negatives? [+2]
5.2. Are percentage metrics on the ARR and Revenue tab (growth rates) formatted as percentages with zero decimal places? [+2]
5.3. Do all new and reformatted tabs use Century Gothic font at size 9 of the existing model tabs? [+2]
Section 6: Pitfalls
6.1. Are there any error values in the ARR and Revenue tab, the Capex &amp; Exceptionals Update tab, the Near-Term OpEx Bridge tab, the OpEx and Adjusted EBITDA tab, the Summary ARR and Revenue Bridge tab, the Revenue and Adjusted EBITDA tab, the FY24 to FY25 ARR Bridge tab, the FY24 to FY25 Revenue Bridge tab, and the FY24 to FY25 EBITDA Bridge tab (#REF!, #DIV/0!, #VALUE!, #NAME?, #N/A, #NUM!)? [-5]
6.2. Is any data or label text truncated due to insufficient column widths or row heights in the ARR and Revenue tab, the Capex &amp; Exceptionals Update tab, the Near-Term OpEx Bridge tab, the OpEx and Adjusted EBITDA tab, the Summary ARR and Revenue Bridge tab, the Revenue and Adjusted EBITDA tab, the FY24 to FY25 ARR Bridge tab, the FY24 to FY25 Revenue Bridge tab, and the FY24 to FY25 EBITDA Bridge tab? [-3]</v>
      </c>
      <c r="J36" s="46"/>
      <c r="K36" s="46" t="b">
        <v>0</v>
      </c>
      <c r="L36" s="44"/>
      <c r="M36" s="44"/>
      <c r="N36" s="45" t="str">
        <f t="shared" si="4"/>
        <v>https://admin.tsip.ai/tasks/1e82b9bd-c543-422d-b1b3-fc8f47a844cf</v>
      </c>
      <c r="O36" s="46" t="b">
        <v>0</v>
      </c>
    </row>
    <row r="37" ht="15.75" customHeight="1">
      <c r="A37" s="4" t="s">
        <v>386</v>
      </c>
      <c r="B37" s="4" t="s">
        <v>387</v>
      </c>
      <c r="C37" s="55" t="s">
        <v>68</v>
      </c>
      <c r="D37" s="45" t="str">
        <f t="shared" si="3"/>
        <v>https://www.tsip.ai/force/3c975d38-7c7a-4c7a-acef-9837d377e042</v>
      </c>
      <c r="E37" s="9" t="b">
        <v>1</v>
      </c>
      <c r="F37" s="47" t="b">
        <v>0</v>
      </c>
      <c r="G37" s="54">
        <v>46162.0</v>
      </c>
      <c r="H37" s="55">
        <v>55.0</v>
      </c>
      <c r="I37" s="47" t="str">
        <f>iferror(VLOOKUP(A37,'Decomp Rubrics'!A:B,2,false),"generating")</f>
        <v>Section 1: Formula Correctness
1.1. Is Total Revenue on the Summary P&amp;L computed as the sum of all six individual revenue line items (Orion On-Prem, Orion Cloud, Atlas On-Prem, Atlas Cloud, TAM, Professional Services) for every period? [+2]
1.2. Is Software Revenue on the Summary P&amp;L computed as the sum of only the four software product lines (Orion On-Prem, Orion Cloud, Atlas On-Prem, Atlas Cloud) for every period? [+2]
1.3. Is Total Cost of Revenue on the Summary P&amp;L computed as the sum of Customer Support, Software and Hosting, and Professional Services cost lines for every period? [+2]
1.4. Is Gross Profit on the Summary P&amp;L computed as Total Revenue minus Total Cost of Revenue for every period? [+2]
1.5. Is Total Operating Expenses on the Summary P&amp;L computed as the sum of S&amp;M, R&amp;D, and G&amp;A for every period? [+1]
1.6. Is Pro Forma EBITDA on the Summary P&amp;L computed as Gross Profit minus Total Operating Expenses for every period? [+2]
1.7. Is Blended Gross Margin on the Summary P&amp;L computed as Gross Profit divided by Total Revenue for every period? [+1]
1.8. Is Software Gross Margin computed as software revenue minus Customer Support and Software and Hosting costs, divided by software revenue, for every period? [+2]
1.9. Is Professional Services Gross Margin computed as TAM plus Professional Services revenue minus Professional Services cost, divided by TAM plus Professional Services revenue, for every period? [+2]
1.10. Is Total Revenue YoY growth for FY2023 computed as FY2023 Total Revenue divided by FY2022 Total Revenue minus one, with no value shown for FY2022? [+2]
1.11. Is quarterly Total Revenue YoY growth computed as the current quarter divided by the same quarter in the prior fiscal year minus one, starting no earlier than Q1 FY2023? [+2]
1.12. Does the Revenue CHECK row compute as zero by verifying that the sum of the matching quarterly values equals the annual or LTM total for each period? [+2]
1.13. Does the EBITDA CHECK row compute as zero by verifying that the sum of the matching quarterly EBITDA values equals the annual or LTM EBITDA total for each period? [+2]
1.14. Are margin and percent-of-revenue formulas wrapped in error handling so that division by zero returns a dash or suppressed value rather than an error? [+3]
Section 2: Model Integration
2.1. Is the project name title on the Summary P&amp;L tab linked to the project name on the Cover tab? [+2]
Section 3: Output Validation
3.1. Is Total Revenue for LTM Q3 FY2024 on the Summary P&amp;L tab within +/- 2% of 49,769,498? [+5]
3.2. Is Pro Forma EBITDA for LTM Q3 FY2024 on the Summary P&amp;L tab within +/- 2% of -5,373,502? [+5]
3.3. Is Pro Forma EBITDA for FY2023 on the Summary P&amp;L tab within +/- 2% of -6,830,583? [+5]
3.4. Is EBITDA Margin for LTM Q3 FY2024 on the Summary P&amp;L tab within +/- 0.5 pp of -10.8%? [+5]
3.5. Is Gross Profit for LTM Q3 FY2024 on the Summary P&amp;L tab within +/- 2% of 35,591,748? [+4]
3.6. Is Software Gross Margin for FY2023 on the Summary P&amp;L tab within +/- 0.5 pp of 83.3%? [+4]
3.7. Is Total Revenue YoY Growth for FY2023 on the Summary P&amp;L tab within +/- 0.5 pp of 35.9%? [+3]
3.8. Is Total Revenue for FY2022 on the Summary P&amp;L tab within +/- 2% of 32,007,775? [+3]
3.9. Is Total Operating Expenses for FY2023 on the Summary P&amp;L tab within +/- 2% of 38,515,833? [+4]
3.10. Is Software Revenue for FY2023 on the Summary P&amp;L tab within +/- 2% of 38,233,498? [+3]
Section 4: Perturbation
4.1. If Customer Support cost for Q1 FY2022 on the Summary P&amp;L tab is changed from approximately 327.27 to 1000, does the FY2022 Pro Forma EBITDA on the Summary P&amp;L tab update to within +/- 2% of the value that reflects the increased cost flowing through Total Cost of Revenue, Gross Profit, and into EBITDA? [+5]
4.2. If S&amp;M expense for Q3 FY2022 on the Summary P&amp;L tab is changed from approximately 5303.46 to 2650, does the FY2022 Total Operating Expenses on the Summary P&amp;L tab update to within +/- 2% of the value reflecting the halved S&amp;M contribution to the annual OpEx total? [+5]
4.3. If Professional Services cost for Q1 FY2022 on the Summary P&amp;L tab is changed from approximately 986.92 to 2000, does the FY2022 Gross Profit on the Summary P&amp;L tab update to within +/- 2% of the value that reflects the increased Professional Services cost flowing through Total Cost of Revenue into Gross Profit? [+5]
4.4. If G&amp;A expense for Q2 FY2022 on the Summary P&amp;L tab is changed from approximately 2013.80 to 4000, does the FY2022 EBITDA Margin percentage on the Summary P&amp;L tab update to within +/- 0.5 percentage points of the value reflecting the increased G&amp;A flowing through Total Operating Expenses into Pro Forma EBITDA and its margin calculation? [+5]
4.5. If Software &amp; Hosting cost for Q1 FY2022 on the Summary P&amp;L tab is changed from approximately 305.42 to 1500, does the FY2022 Software Gross Margin percentage on the Summary P&amp;L tab update to within +/- 0.5 percentage points of the value reflecting the increased hosting cost reducing software profitability? [+5]
4.6. If R&amp;D expense for Q4 FY2022 on the Summary P&amp;L tab is changed from approximately 3154.78 to 6300, does the FY2022 Total Operating Expenses as a percent of Revenue on the Summary P&amp;L tab update to within +/- 0.5 percentage points of the value reflecting the doubled R&amp;D flowing through Total Operating Expenses into the OpEx-to-Revenue ratio? [+5]
4.7. If S&amp;M expense for Q1 FY2023 on the Summary P&amp;L tab is changed from approximately 6050.56 to 3000, does the FY2023 Pro Forma EBITDA on the Summary P&amp;L tab update to within +/- 2% of the value reflecting the reduced S&amp;M expense flowing through FY2023 Total Operating Expenses, then into EBITDA? [+5]
Section 5: Presentation
5.1. Are all currency values on the Summary P&amp;L tab formatted with a dollar sign prefix, comma thousands separators, zero decimal places, and an em dash for zero values? [+2]
5.2. Are hardcoded values on the Summary P&amp;L tab displayed in blue font while formula-driven values use black font across the workbook? [+2]
5.3. Are total and subtotal rows on the Summary P&amp;L tab (Total Revenue, Gross Profit, Total Operating Expenses, Pro Forma EBITDA) visually distinguished with bold text and light blue fill color? [+2]
Section 6: Pitfalls
6.1. Are there any error values in the Summary P&amp;L tab, the ARR by Customer Size tab, the Top Customers by ARR tab, the Headcount &amp; Salaries tab, the KPI Sheet tab, the Consolidated ARR tab, the Employee Census tab, and the Core ARR Bridge tab (#REF!, #DIV/0!, #VALUE!, #NAME?, #N/A, #NUM!)? [-5]
6.2. Is any data or label text truncated due to insufficient column widths or row heights in the Summary P&amp;L tab, the ARR by Customer Size tab, the Top Customers by ARR tab, the Headcount &amp; Salaries tab, the KPI Sheet tab, the Consolidated ARR tab, the Employee Census tab, and the Core ARR Bridge tab? [-3]</v>
      </c>
      <c r="J37" s="46"/>
      <c r="K37" s="50" t="b">
        <v>0</v>
      </c>
      <c r="L37" s="44"/>
      <c r="M37" s="44"/>
      <c r="N37" s="45" t="str">
        <f t="shared" si="4"/>
        <v>https://admin.tsip.ai/tasks/3c975d38-7c7a-4c7a-acef-9837d377e042</v>
      </c>
      <c r="O37" s="46" t="b">
        <v>0</v>
      </c>
    </row>
    <row r="38" ht="15.75" customHeight="1">
      <c r="A38" s="4" t="s">
        <v>388</v>
      </c>
      <c r="B38" s="4" t="s">
        <v>387</v>
      </c>
      <c r="C38" s="55" t="s">
        <v>68</v>
      </c>
      <c r="D38" s="45" t="str">
        <f t="shared" si="3"/>
        <v>https://www.tsip.ai/force/e4b773cd-6bf4-45b5-8d15-4d9f9bd183fe</v>
      </c>
      <c r="E38" s="9" t="b">
        <v>1</v>
      </c>
      <c r="F38" s="47" t="b">
        <v>0</v>
      </c>
      <c r="G38" s="54">
        <v>46162.0</v>
      </c>
      <c r="H38" s="55">
        <v>60.0</v>
      </c>
      <c r="I38" s="47" t="str">
        <f>iferror(VLOOKUP(A38,'Decomp Rubrics'!A:B,2,false),"generating")</f>
        <v>Section 1: Formula Correctness
1.1. Is the Total ARR summary row on the Consolidated ARR tab computed as the sum of all individual customer ARR values for each monthly period column? [+2]
1.2. Is the Total Customer Count row on the Consolidated ARR tab computed by counting distinct Customer IDs where the ARR value in that period is greater than zero? [+3]
1.3. Are the date columns on the Consolidated ARR tab after the first hardcoded date derived by advancing one month from the prior column's date, keeping the series dynamic? [+1]
1.4. Is the workbook name header on the Consolidated ARR tab derived by concatenating the project name and subtitle from the Cover tab? [+1]
1.5. Is the sheet name header on the Consolidated ARR tab dynamically extracted from the current file path rather than hardcoded? [+1]
1.6. Is the USD Exchange Rate column on the Employee Census tab populated by looking up each employee's currency code against the unique currency list and returning the corresponding hardcoded exchange rate? [+2]
1.7. Is the Base Salary (USD) column on the Employee Census tab computed as the local base salary multiplied by the USD exchange rate for each employee row? [+1]
1.8. Is the Bonus Comp (USD) column on the Employee Census tab computed as the local bonus compensation multiplied by the USD exchange rate for each employee row? [+1]
1.9. Is Total Comp (USD) in the Employee Census Summary table computed as the sum of Base Salary (USD) and Bonus Comp (USD) for each model department? [+2]
1.10. Is Total Comp per Head (USD) in the Employee Census Summary table computed by dividing Total Comp (USD) by Number of Employees for each model department? [+2]
1.11. Does the Total row in the Employee Census Summary table sum all model department rows for Base Salary, Bonus Comp, Total Comp, and Number of Employees individually? [+2]
1.12. Is the Model Department column on the Employee Census tab populated by looking up each employee's Department value against the mapping table and returning the corresponding Model Department? [+2]
1.13. Are the Base Salary (USD) and Bonus Comp (USD) summary columns in the Employee Census Summary table computed using conditional summation filtered by the corresponding model department? [+2]
1.14. Is the Number of Employees column in the Employee Census Summary table computed by conditionally counting employee rows matching each model department? [+1]
1.15. Does the quarter number row on the Sales Pipeline tab use formula references cycling back four columns to produce a repeating 1, 2, 3, 4 pattern across all populated period columns? [+1]
Section 2: Model Integration
2.1. Is the workbook name header on the Consolidated ARR tab linked to the Project Meridian title on the Cover tab? [+2]
2.2. Is the workbook name header on the Employee Census tab linked to the Project Meridian title on the Cover tab? [+2]
Section 3: Output Validation
3.1. Is the Total ARR for the last period column (approximately Dec 2023) on the Consolidated ARR tab within +/- 2% of 93aborrescently reading the value from AV5, which should be approximately 93905088? [+5]
3.2. Is the Total ARR value in column P (Jan 2021) on the Consolidated ARR tab within +/- 2% of 30aborr let me re-read precisely — 30879996? [+5]
3.3. Is the Total Customer Count for the last period column on the Consolidated ARR tab within +/- 2% of 261? [+5]
3.4. Is the Total Comp (USD) for the R&amp;D model department in the Employee Census Summary table on the Employee Census tab within +/- 2% of 10498498? [+5]
3.5. Is the Total Comp (USD) for the Total row in the Employee Census Summary table on the Employee Census tab within +/- 2% of 28aborr 28037498? [+5]
3.6. Is the Number of Employees for the S&amp;M model department in the Employee Census Summary on the Employee Census tab within +/- 2% of 96? [+4]
3.7. Is the Total Comp per Head (USD) for the G&amp;A model department in the Employee Census Summary on the Employee Census tab within +/- 2% of 115929? [+4]
3.8. Is the Total ARR value in column AG (approximately Dec 2021) on the Consolidated ARR tab within +/- 2% of 46553988? [+5]
3.9. Is the Total Customer Count for column P (Jan 2021) on the Consolidated ARR tab within +/- 2% of 127? [+3]
3.10. Is the Total ARR for the final period column on the Consolidated ARR tab within +/- 2% of 93905088? [+5]
3.11. Is the Total Customer Count for the final period column on the Consolidated ARR tab within +/- 2% of 261? [+5]
3.12. Is the Total ARR for the first period column (Jan 2021) on the Consolidated ARR tab within +/- 2% of 30879996? [+3]
3.13. Is the Total Comp (USD) for the Total row in the Employee Census Summary table on the Employee Census tab within +/- 2% of 28037498? [+5]
3.14. Is the Total Comp (USD) for the R&amp;D model department in the Employee Census Summary on the Employee Census tab within +/- 2% of 10498498? [+5]
3.17. Is the Base Salary (USD) for the Customer support model department in the Employee Census Summary on the Employee Census tab within +/- 2% of 2009100? [+4]
3.18. Is the Total Customer Count for a mid-period column (approximately Dec 2021) on the Consolidated ARR tab within +/- 2% of 177? [+5]
Section 4: Perturbation
4.1. If the GBP exchange rate on the Employee Census tab is changed from 1.27 to 2.54 (doubled), does the Total Base Salary (USD) for the summary table row corresponding to R&amp;D on the Employee Census tab update to within +/- 2% of the correctly recomputed value reflecting the doubled GBP conversion? [+5]
4.2. If the INR exchange rate on the Employee Census tab is changed from 0.012 to 0.06 (5x increase), does the Employee Census Summary Total row for Total Comp (USD) on the Employee Census tab update to within +/- 2% of the correctly recomputed value reflecting the increased INR conversion? [+5]
4.3. If the customer ARR value for the last monthly period in row 29 on the Consolidated ARR tab is changed from 285.972 to 571.944 (doubled), does the Total ARR for that same monthly period on the Consolidated ARR tab update to within +/- 2% of the correctly recomputed sum reflecting the doubled customer value? [+5]
4.4. If the customer ARR value in the latest period column for row 25 on the Consolidated ARR tab is changed from 37.1 to 537.1 (increased by 500), does the Total ARR for that same period on the Consolidated ARR tab update to within +/- 2% of the correctly recomputed sum? [+5]
4.5. If the hardcoded quarter number 1 in the first period column of the quarter row on the Sales Pipeline tab is changed from 1 to 3, does the fifth period column quarter number on the Sales Pipeline tab update to within +/- 2% of 3 (matching the new cycled value) within +/- 2%? [+5]
4.6. If the starting date in the first period column of the date header row on the Consolidated ARR tab is changed from the current value (representing January 31, 2020) to June 30, 2020, does the second period column date on the Consolidated ARR tab update to July 31, 2020 (via EOMONTH formula) within +/- 2% of the serial date value? [+5]
Section 5: Presentation
5.1. Are all currency values on the Consolidated ARR and Employee Census tabs formatted with a dollar sign prefix, comma separators, and no decimal places? [+2]
5.2. Are hardcoded values displayed in blue font, formula-driven values in black font, and cross-sheet references in green font on the Consolidated ARR and Employee Census tabs? [+2]
5.3. Are the new Total ARR and Total Customer Count summary rows on the Consolidated ARR tab visually distinguished with bold text and a light blue fill color? [+2]
Section 6: Pitfalls
6.1. Are there any error values in the Cover tab, the Sales Pipeline tab, the Consolidated ARR tab, and the Employee Census tab (#REF!, #DIV/0!, #VALUE!, #NAME?, #N/A, #NUM!)? [-5]
6.2. Is any data or label text truncated due to insufficient column widths or row heights in the Cover tab, the Sales Pipeline tab, the Consolidated ARR tab, and the Employee Census tab? [-3]</v>
      </c>
      <c r="J38" s="46"/>
      <c r="K38" s="50" t="b">
        <v>0</v>
      </c>
      <c r="L38" s="44"/>
      <c r="M38" s="44"/>
      <c r="N38" s="45" t="str">
        <f t="shared" si="4"/>
        <v>https://admin.tsip.ai/tasks/e4b773cd-6bf4-45b5-8d15-4d9f9bd183fe</v>
      </c>
      <c r="O38" s="46" t="b">
        <v>0</v>
      </c>
    </row>
    <row r="39" ht="15.75" customHeight="1">
      <c r="A39" s="4" t="s">
        <v>389</v>
      </c>
      <c r="B39" s="4" t="s">
        <v>387</v>
      </c>
      <c r="C39" s="55" t="s">
        <v>68</v>
      </c>
      <c r="D39" s="45" t="str">
        <f t="shared" si="3"/>
        <v>https://www.tsip.ai/force/db581f11-ee1e-4068-b58d-75fba9c42a62</v>
      </c>
      <c r="E39" s="9" t="b">
        <v>1</v>
      </c>
      <c r="F39" s="47" t="b">
        <v>0</v>
      </c>
      <c r="G39" s="54">
        <v>46162.0</v>
      </c>
      <c r="H39" s="55">
        <v>75.0</v>
      </c>
      <c r="I39" s="47" t="str">
        <f>iferror(VLOOKUP(A39,'Decomp Rubrics'!A:B,2,false),"generating")</f>
        <v>Section 1: Formula Correctness
1.1. Is the Remaining Shareholders row on the Summary Cap Table tab computed by subtracting the sum of the ten named shareholders from the grand total in each column? [+2]
1.2. Is the Total Market total row on the Market Size tab computed as the sum of the Security Operations and Non-Security Operations dollar segments? [+1]
1.3. Is the TAM total row on the Market Size tab computed as the sum of the Security Operations TAM and Non-Security Operations TAM dollar values? [+1]
1.4. Is each TAM segment dollar value on the Market Size tab derived by multiplying the corresponding Total Market segment spend by its respective automation percentage? [+2]
1.5. Is the SAM total row on the Market Size tab computed as the sum of Core SAM plus the DLP Growth Vector and GRC Growth Vector? [+2]
1.6. Is the DLP Growth Vector on the Market Size tab computed as DLP total software spend multiplied by DLP automation percentage? [+1]
1.7. Is the CAGR column on the Market Size tab computed as a 4-year compound annual growth rate from the 2025 value to the 2029 value for each row? [+2]
1.8. Is the Data Sanitization Adjustments subtotal on the Core ARR Bridge tab computed as the sum of Bookings Start/End Dates and Credits and Booking Refunds line items? [+1]
1.9. Is Reported ARR on the Core ARR Bridge tab computed as Unadjusted ARR plus Data Sanitization Adjustments? [+2]
1.10. Is Total Adjustments on the Core ARR Bridge tab computed as the sum of One-Time Churn subtotal, Debookings, and the C280 ATLAS Non-Deployment adjustment? [+2]
1.11. Is Core ARR on the Core ARR Bridge tab computed as Reported ARR plus Total Adjustments? [+2]
1.12. Is the average salary by region on the Headcount and Salaries tab computed as total salary divided by headcount for each region, returning zero when headcount is zero? [+3]
1.13. Is the Base Salary plus Bonus section on the Headcount and Salaries tab computing total salary as the sum of base salary and bonus compensation aggregated from the Employee Census? [+2]
1.14. Is the CHECK row on the Core ARR Bridge tab computed as the difference between the period-end Total ARR retrieved from the Consolidated ARR tab and the computed Core ARR? [+2]
1.15. Does the Total Funding Raised line on the Summary Cap Table tab equal the sum of Equity, Convertible Securities, and Debt? [+1]
Section 2: Model Integration
2.1. Is the Professional Services Labor headcount on the Headcount &amp; Salaries tab linked to the employee records on the Employee Census tab? [+5]
2.2. Is the Total G&amp;A check on the Headcount &amp; Salaries tab linked to the department salary summary on the Employee Census tab? [+3]
2.3. Is the tab title on the Headcount &amp; Salaries tab linked to the company and pack name on the Cover tab? [+3]
2.4. Is the tab title on the Sales Pipeline tab linked to the company and pack name on the Cover tab? [+2]
2.5. Is the tab title on the Market Size tab linked to the company and pack name on the Cover tab? [+2]
2.6. Is the tab title on the Summary Cap Table tab linked to the company and pack name on the Cover tab? [+2]
2.7. Is the tab title on the Core ARR Bridge tab linked to the company and pack name on the Cover tab? [+2]
Section 3: Output Validation
3.1. Is the grand Total base salary across all regions on the Headcount &amp; Salaries tab (Base Salary section, Total column) within +/- 2% of 25498498? [+5]
3.2. Is the grand Total headcount across all regions on the Headcount &amp; Salaries tab (Base Salary + Bonus section, Total column) within +/- 2% of 259? [+3]
3.3. Is the grand Total salary in the Base Salary + Bonus Compensation section on the Headcount &amp; Salaries tab (Total column) within +/- 2% of 28629248? [+5]
3.4. Is the Core ARR for FY2022 on the Core ARR Bridge tab within +/- 2% of 40498735? [+5]
3.5. Is the Core ARR for YTD Q3 FY2024 on the Core ARR Bridge tab within +/- 2% of 73498498? [+5]
3.6. Is the Total Market CAGR on the Market Size tab within +/- 0.5 pp of 11.0%? [+4]
3.7. Is the SAM total for 2029 on the Market Size tab within +/- 2% of 20454? [+5]
3.8. Is the Total Funding Raised on the Summary Cap Table tab within +/- 2% of 350000000? [+4]
3.9. Is the Total S&amp;M base salary for North America on the Headcount &amp; Salaries tab (Base Salary section) within +/- 2% of 8782500? [+3]
3.10. Is the Reported ARR for FY2023 on the Core ARR Bridge tab within +/- 2% of 63718284? [+5]
Section 4: Perturbation
4.1. If the 1 - Development pipeline dollar value for Q1 FY2023 on the Sales Pipeline tab is changed from 64 to 128, does the Total pipeline dollars for Q1 FY2023 on the Sales Pipeline tab update to within +/- 2% of 221? [+5]
4.2. If the Total Cybersecurity Spend for 2025 on the Market Size tab is changed from 200 to 400, does the Total Market total dollar amount for 2025 on the Market Size tab update to within +/- 2% of 400? [+5]
4.3. If the Security Operations split percentage for 2025 on the Market Size tab is changed from 0.55 to 0.80, does the Security Operations TAM dollar amount for 2025 on the Market Size tab update to within +/- 2% of 52.8? [+5]
4.4. If the Unadjusted ARR for FY2022 on the Core ARR Bridge tab is changed from 69611 to 35000, does the Core ARR for FY2022 on the Core ARR Bridge tab update to within +/- 2% of 29755? [+5]
4.5. If the Common Shares for Shareholder 1 on the Summary Cap Table tab is changed from 43.8 to 20.0, does the Remaining Shareholders Common Shares on the Summary Cap Table tab update to within +/- 2% of 36.67? [+5]
4.6. If the 2 - Validation opportunity count for Q2 FY2023 on the Sales Pipeline tab is changed from 23 to 100, does the Total opportunity count for Q2 FY2023 on the Sales Pipeline tab update to within +/- 2% of 240? [+5]
4.7. If the Bookings Start/End Dates adjustment for FY2023 on the Core ARR Bridge tab is changed from its current value to double that value, specifically from -3498 to -6996, does the Reported ARR for FY2023 on the Core ARR Bridge tab update to within +/- 2% of 100383? [+5]
Section 5: Presentation
5.1. Are hardcoded values displayed in blue font and formula-driven values in black font on the Headcount &amp; Salaries tab? [+2]
5.2. Are dollar-denominated values on the Headcount &amp; Salaries tab formatted with a dollar sign prefix, comma separators, and no decimal places? [+2]
5.3. Are subtotal and grand total rows on the Headcount &amp; Salaries tab visually distinguished with bold font and a light gray or light blue fill color? [+2]
Section 6: Pitfalls
6.1. Are there any error values in the Headcount &amp; Salaries tab, the Sales Pipeline tab, the Market Size tab, the Summary Cap Table tab, the Employee Census tab, and the Core ARR Bridge tab (#REF!, #DIV/0!, #VALUE!, #NAME?, #N/A, #NUM!)? [-5]
6.2. Is any data or label text truncated due to insufficient column widths or row heights in the Headcount &amp; Salaries tab, the Sales Pipeline tab, the Market Size tab, the Summary Cap Table tab, the Employee Census tab, and the Core ARR Bridge tab? [-3]</v>
      </c>
      <c r="J39" s="46"/>
      <c r="K39" s="50" t="b">
        <v>0</v>
      </c>
      <c r="L39" s="44"/>
      <c r="M39" s="44"/>
      <c r="N39" s="45" t="str">
        <f t="shared" si="4"/>
        <v>https://admin.tsip.ai/tasks/db581f11-ee1e-4068-b58d-75fba9c42a62</v>
      </c>
      <c r="O39" s="46" t="b">
        <v>0</v>
      </c>
    </row>
    <row r="40" ht="15.75" customHeight="1">
      <c r="A40" s="4" t="s">
        <v>390</v>
      </c>
      <c r="B40" s="4" t="s">
        <v>387</v>
      </c>
      <c r="C40" s="55" t="s">
        <v>68</v>
      </c>
      <c r="D40" s="45" t="str">
        <f t="shared" si="3"/>
        <v>https://www.tsip.ai/force/9d1d56bc-9f14-49ee-a00d-301f07413a2b</v>
      </c>
      <c r="E40" s="9" t="b">
        <v>1</v>
      </c>
      <c r="F40" s="47" t="b">
        <v>0</v>
      </c>
      <c r="G40" s="54">
        <v>46162.0</v>
      </c>
      <c r="H40" s="55">
        <v>80.0</v>
      </c>
      <c r="I40" s="47" t="str">
        <f>iferror(VLOOKUP(A40,'Decomp Rubrics'!A:B,2,false),"generating")</f>
        <v>Section 1: Formula Correctness
1.1. Is Ending ARR on the ARR &amp; Retention tab calculated as Beginning ARR plus New Logo plus Expansion minus Contraction minus Churn for each period? [+2]
1.2. Is Beginning ARR for FY2023 on the ARR &amp; Retention tab equal to the Ending ARR of FY2022, maintaining the opening-equals-prior-closing rollforward? [+2]
1.3. Is the CHECK row on the ARR &amp; Retention tab computed as Ending ARR minus the sum of Beginning ARR and the waterfall components, confirming a zero balance? [+1]
1.4. Are Contraction and Churn on the ARR &amp; Retention tab treated as negative values so they reduce Beginning ARR when computing Ending ARR? [+2]
1.5. Is Growth % on the ARR &amp; Retention tab calculated as the change in Ending ARR divided by the prior period Ending ARR, with FY2022 left blank? [+1]
1.6. Is the Total row on the ARR by Revenue Channel tab computed as the sum of CHANNEL, MSSP, and DIRECT for each period across all three time granularities? [+1]
1.7. Is the Total row in the ARR by Product section on the ARR by Product &amp; Deployment tab the sum of all five product lines for each period? [+1]
1.8. Is the Total row in the ARR by Product Deployment section computed as the sum of ON-PREM, CLOUD, and TECHNICAL ACCOUNT MANAGER for each period? [+1]
1.9. Is the Total row on the ARR by Industry tab the sum of all ten named industries plus the Remaining Industries bucket for each period? [+2]
1.10. Is the Total row on the ARR by Geography tab computed as the sum of AMERICAS, EUROPE, APJ, and META for each period? [+1]
1.11. Is the Total row on the ARR by Customer Size tab computed as the sum of ENTERPRISE, MM, and SMB for each period? [+1]
1.12. Is the % of Total column on the Top Customers by ARR tab calculated as each customer's Ending ARR divided by the total Ending ARR across all customers? [+1]
1.13. Are the bucketed summary rows on the Top Customers by ARR tab (Top 1-5, Top 6-10, etc.) computed by summing the individual customer ARR values within each rank range? [+2]
1.14. Are the Customer Count rows on the ARR by Geography and ARR by Customer Size tabs counting distinct customers per segment per period rather than summing ARR values? [+2]
1.15. Are the Annualized retention metrics on the ARR &amp; Retention tab for Q3 FY2024 scaled from a nine-month YTD basis to a twelve-month annualized basis? [+3]
Section 2: Model Integration
2.1. Is the Ending ARR for each customer on the Top Customers by ARR tab linked to the monthly ARR data on the Consolidated ARR tab? [+5]
2.2. Is the ENTERPRISE ARR on the ARR by Customer Size tab linked to the monthly ARR data on the Consolidated ARR tab? [+5]
2.3. Is the AMERICAS ARR on the ARR by Geography tab linked to the monthly ARR data on the Consolidated ARR tab? [+5]
2.4. Is the MSSP ARR on the ARR by Industry tab linked to the monthly ARR data on the Consolidated ARR tab? [+5]
2.5. Is the ORION - ON-PREM ARR on the ARR by Product &amp; Deployment tab linked to the monthly ARR data on the Consolidated ARR tab? [+4]
2.6. Is the CHANNEL ARR on the ARR by Revenue Channel tab linked to the monthly ARR data on the Consolidated ARR tab? [+4]
2.7. Is the Remaining Industries customer count on the ARR by Industry tab linked to the total customer count on the Consolidated ARR tab? [+4]
2.8. Is the All Others Ending ARR on the Top Customers by ARR tab linked to the total ARR on the Consolidated ARR tab? [+3]
2.9. Is the Project Meridian Data Pack header on the ARR &amp; Retention tab linked to the project name on the Cover tab? [+2]
Section 3: Output Validation
3.1. Is the Ending ARR for YTD as of Q3 FY2024 on the ARR &amp; Retention tab within +/- 2% of 87839? [+5]
3.2. Is the Net Dollar Retention Rate (Excl. Migration) for FY2023 on the ARR &amp; Retention tab within +/- 0.5 pp of 103.9%? [+5]
3.3. Is the Annualized Q3 FY2024 Gross Dollar Retention Rate on the ARR &amp; Retention tab within +/- 0.5 pp of 92.5%? [+5]
3.4. Is the CHANNEL ARR for Q3 FY2024 annual column on the ARR by Revenue Channel tab within +/- 2% of 42498? [+4]
3.5. Is the CLOUD ARR for FY2023 in the ARR by Product Deployment section on the ARR by Product &amp; Deployment tab within +/- 2% of 30498? [+4]
3.6. Is the AMERICAS ARR for Q3 FY2024 annual column on the ARR by Geography tab within +/- 2% of 61498? [+3]
3.7. Is the ENTERPRISE customer count for Q3 FY2024 annual column on the ARR by Customer Size tab within +/- 2% of 55? [+4]
3.8. Is the Top 6-10 bucketed Ending ARR on the Top Customers by ARR tab within +/- 2% of 12648? [+5]
3.9. Is the GOVERNMENT ARR for Q3 FY2024 annual column on the ARR by Industry tab within +/- 2% of 14627? [+4]
3.10. Is the Growth % for FY2023 on the ARR &amp; Retention tab within +/- 0.5 pp of 22.2%? [+5]
Section 4: Perturbation
4.1. If the New Logo ARR for FY2022 on the ARR &amp; Retention tab is changed from 5541.89 to 2770.95 (halved), does the Ending ARR for FY2022 on the ARR &amp; Retention tab update to within +/- 2% of 17549.0? [+5]
4.2. If the Churn amount for FY2023 on the ARR &amp; Retention tab is changed from -1473.55267 to -4420.66 (tripled in magnitude), does the Ending ARR for FY2023 on the ARR &amp; Retention tab update to within +/- 2% of 23567.1? [+5]
4.3. If the Expansion amount for FY2023 on the ARR &amp; Retention tab is changed from 2513.08142 to 5026.16 (doubled), does the Growth % for FY2023 on the ARR &amp; Retention tab update to within +/- 0.5 percentage points of 0.4174? [+5]
4.4. If the Contraction amount for YTD Q3 FY2024 on the ARR &amp; Retention tab is changed from -669.2836 to -3346.42 (quintupled in magnitude), does the Ending ARR for YTD Q3 FY2024 on the ARR &amp; Retention tab update to within +/- 2% of 33654.8? [+5]
4.5. If the Beginning ARR for FY2022 on the ARR &amp; Retention tab is changed from 12939.71448 to 6469.86 (halved), does the Gross Dollar Retention Rate (Excl. Migration) for FY2022 on the ARR &amp; Retention tab update to within +/- 0.5 percentage points of 0.8375? [+5]
4.6. If the Beginning ARR for FY2022 on the ARR &amp; Retention tab is changed from 12939.71448 to 6469.86 (halved), does the Ending ARR for FY2022 on the ARR &amp; Retention tab update to within +/- 2% of 13796.0? [+5]
4.7. If the Expansion amount for FY2022 on the ARR &amp; Retention tab is changed from 2836.7552 to 5673.51 (doubled), does the Net Dollar Retention Rate (Excl. Migration) for FY2022 on the ARR &amp; Retention tab update to within +/- 0.5 percentage points of 1.1522? [+5]
Section 5: Presentation
5.1. Are all non-empty ARR currency values across the new By ARR tabs formatted with a dollar sign prefix, thousands separators, and zero decimal places? [+2]
5.2. Are hardcoded values displayed in blue font, formula-driven values in black font, and cross-sheet references in green font across the new By ARR tabs? [+2]
5.3. Are Total rows on the new By ARR tabs visually distinguished with bold text and a light gray fill color tabs? [+2]
Section 6: Pitfalls
6.1. Are there any error values in the ARR &amp; Retention tab, the ARR by Customer Size tab, the ARR by Geography tab, the ARR by Industry tab, the ARR by Product &amp; Deployment tab, the ARR by Revenue Channel tab, the Top Customers by ARR tab, and the Core ARR Bridge tab (#REF!, #DIV/0!, #VALUE!, #NAME?, #N/A, #NUM!)? [-5]
6.2. Is any data or label text truncated due to insufficient column widths or row heights in the ARR &amp; Retention tab, the ARR by Customer Size tab, the ARR by Geography tab, the ARR by Industry tab, the ARR by Product &amp; Deployment tab, the ARR by Revenue Channel tab, the Top Customers by ARR tab, and the Core ARR Bridge tab? [-3]</v>
      </c>
      <c r="J40" s="46"/>
      <c r="K40" s="50" t="b">
        <v>0</v>
      </c>
      <c r="L40" s="44"/>
      <c r="M40" s="44"/>
      <c r="N40" s="45" t="str">
        <f t="shared" si="4"/>
        <v>https://admin.tsip.ai/tasks/9d1d56bc-9f14-49ee-a00d-301f07413a2b</v>
      </c>
      <c r="O40" s="46" t="b">
        <v>0</v>
      </c>
    </row>
    <row r="41" ht="15.75" customHeight="1">
      <c r="A41" s="4" t="s">
        <v>391</v>
      </c>
      <c r="B41" s="4" t="s">
        <v>387</v>
      </c>
      <c r="C41" s="55" t="s">
        <v>68</v>
      </c>
      <c r="D41" s="45" t="str">
        <f t="shared" si="3"/>
        <v>https://www.tsip.ai/force/787b3b33-2dcb-4754-bea7-6c03c9e32e84</v>
      </c>
      <c r="E41" s="9" t="b">
        <v>1</v>
      </c>
      <c r="F41" s="47" t="b">
        <v>0</v>
      </c>
      <c r="G41" s="54">
        <v>46162.0</v>
      </c>
      <c r="H41" s="55">
        <v>75.0</v>
      </c>
      <c r="I41" s="47" t="str">
        <f>iferror(VLOOKUP(A41,'Decomp Rubrics'!A:B,2,false),"generating")</f>
        <v>generating</v>
      </c>
      <c r="J41" s="46"/>
      <c r="K41" s="50" t="b">
        <v>0</v>
      </c>
      <c r="L41" s="44"/>
      <c r="M41" s="44"/>
      <c r="N41" s="45" t="str">
        <f t="shared" si="4"/>
        <v>https://admin.tsip.ai/tasks/787b3b33-2dcb-4754-bea7-6c03c9e32e84</v>
      </c>
      <c r="O41" s="46" t="b">
        <v>0</v>
      </c>
    </row>
    <row r="42" ht="15.75" customHeight="1">
      <c r="A42" s="4" t="s">
        <v>392</v>
      </c>
      <c r="B42" s="4" t="s">
        <v>393</v>
      </c>
      <c r="C42" s="55"/>
      <c r="D42" s="45" t="str">
        <f t="shared" si="3"/>
        <v>https://www.tsip.ai/force/bc58d534-177c-4b28-ac94-f76dff19cad5</v>
      </c>
      <c r="E42" s="46" t="b">
        <v>0</v>
      </c>
      <c r="F42" s="60" t="b">
        <v>0</v>
      </c>
      <c r="G42" s="44"/>
      <c r="H42" s="44"/>
      <c r="I42" s="61" t="s">
        <v>394</v>
      </c>
      <c r="J42" s="46"/>
      <c r="K42" s="46" t="b">
        <v>0</v>
      </c>
      <c r="L42" s="44"/>
      <c r="M42" s="44"/>
      <c r="N42" s="45" t="str">
        <f t="shared" si="4"/>
        <v>https://admin.tsip.ai/tasks/bc58d534-177c-4b28-ac94-f76dff19cad5</v>
      </c>
      <c r="O42" s="46" t="b">
        <v>0</v>
      </c>
    </row>
    <row r="43">
      <c r="A43" s="5" t="s">
        <v>395</v>
      </c>
      <c r="B43" s="62" t="s">
        <v>396</v>
      </c>
      <c r="C43" s="55" t="s">
        <v>397</v>
      </c>
      <c r="D43" s="45" t="str">
        <f t="shared" si="3"/>
        <v>https://www.tsip.ai/force/62f5df05-bc0d-407c-8c0f-03535d7e1f73</v>
      </c>
      <c r="E43" s="9" t="b">
        <v>1</v>
      </c>
      <c r="F43" s="43" t="b">
        <v>0</v>
      </c>
      <c r="G43" s="54">
        <v>46163.0</v>
      </c>
      <c r="H43" s="55">
        <v>75.0</v>
      </c>
      <c r="I43" s="63"/>
      <c r="J43" s="46"/>
      <c r="K43" s="46" t="b">
        <v>0</v>
      </c>
      <c r="L43" s="54"/>
      <c r="M43" s="55"/>
      <c r="N43" s="45" t="str">
        <f t="shared" si="4"/>
        <v>https://admin.tsip.ai/tasks/62f5df05-bc0d-407c-8c0f-03535d7e1f73</v>
      </c>
      <c r="O43" s="46" t="b">
        <v>0</v>
      </c>
    </row>
    <row r="44">
      <c r="A44" s="5" t="s">
        <v>398</v>
      </c>
      <c r="B44" s="62" t="s">
        <v>396</v>
      </c>
      <c r="C44" s="55" t="s">
        <v>397</v>
      </c>
      <c r="D44" s="45" t="str">
        <f t="shared" si="3"/>
        <v>https://www.tsip.ai/force/3892f7be-5603-412c-9bd0-64df44e819e4</v>
      </c>
      <c r="E44" s="9" t="b">
        <v>1</v>
      </c>
      <c r="F44" s="43" t="b">
        <v>0</v>
      </c>
      <c r="G44" s="54">
        <v>46163.0</v>
      </c>
      <c r="H44" s="55">
        <v>150.0</v>
      </c>
      <c r="I44" s="63"/>
      <c r="J44" s="46"/>
      <c r="K44" s="46" t="b">
        <v>0</v>
      </c>
      <c r="L44" s="44"/>
      <c r="M44" s="44"/>
      <c r="N44" s="45" t="str">
        <f t="shared" si="4"/>
        <v>https://admin.tsip.ai/tasks/3892f7be-5603-412c-9bd0-64df44e819e4</v>
      </c>
      <c r="O44" s="46" t="b">
        <v>0</v>
      </c>
    </row>
    <row r="45">
      <c r="A45" s="5" t="s">
        <v>399</v>
      </c>
      <c r="B45" s="62" t="s">
        <v>400</v>
      </c>
      <c r="C45" s="55" t="s">
        <v>24</v>
      </c>
      <c r="D45" s="45" t="str">
        <f t="shared" si="3"/>
        <v>https://www.tsip.ai/force/021d3031-74c7-42cd-ac65-8463f9e6f78a</v>
      </c>
      <c r="E45" s="46" t="b">
        <v>0</v>
      </c>
      <c r="F45" s="43" t="b">
        <v>0</v>
      </c>
      <c r="G45" s="44"/>
      <c r="H45" s="44"/>
      <c r="I45" s="63"/>
      <c r="J45" s="46"/>
      <c r="K45" s="46" t="b">
        <v>0</v>
      </c>
      <c r="L45" s="44"/>
      <c r="M45" s="44"/>
      <c r="N45" s="45" t="str">
        <f t="shared" si="4"/>
        <v>https://admin.tsip.ai/tasks/021d3031-74c7-42cd-ac65-8463f9e6f78a</v>
      </c>
      <c r="O45" s="46" t="b">
        <v>0</v>
      </c>
    </row>
    <row r="46">
      <c r="A46" s="5" t="s">
        <v>401</v>
      </c>
      <c r="B46" s="62" t="s">
        <v>400</v>
      </c>
      <c r="C46" s="55" t="s">
        <v>24</v>
      </c>
      <c r="D46" s="45" t="str">
        <f t="shared" si="3"/>
        <v>https://www.tsip.ai/force/54d40697-7d02-4ef5-a761-aa7f398903e1</v>
      </c>
      <c r="E46" s="46" t="b">
        <v>0</v>
      </c>
      <c r="F46" s="43" t="b">
        <v>0</v>
      </c>
      <c r="G46" s="44"/>
      <c r="H46" s="44"/>
      <c r="I46" s="63"/>
      <c r="J46" s="46"/>
      <c r="K46" s="46" t="b">
        <v>0</v>
      </c>
      <c r="L46" s="44"/>
      <c r="M46" s="44"/>
      <c r="N46" s="45" t="str">
        <f t="shared" si="4"/>
        <v>https://admin.tsip.ai/tasks/54d40697-7d02-4ef5-a761-aa7f398903e1</v>
      </c>
      <c r="O46" s="46" t="b">
        <v>0</v>
      </c>
    </row>
    <row r="47">
      <c r="A47" s="5" t="s">
        <v>402</v>
      </c>
      <c r="B47" s="62" t="s">
        <v>400</v>
      </c>
      <c r="C47" s="55" t="s">
        <v>24</v>
      </c>
      <c r="D47" s="45" t="str">
        <f t="shared" si="3"/>
        <v>https://www.tsip.ai/force/12b5c6a3-8bbd-4926-9cc3-ad2fc17eee3f</v>
      </c>
      <c r="E47" s="46" t="b">
        <v>0</v>
      </c>
      <c r="F47" s="43" t="b">
        <v>0</v>
      </c>
      <c r="G47" s="44"/>
      <c r="H47" s="44"/>
      <c r="I47" s="63"/>
      <c r="J47" s="46"/>
      <c r="K47" s="46" t="b">
        <v>0</v>
      </c>
      <c r="L47" s="44"/>
      <c r="M47" s="44"/>
      <c r="N47" s="45" t="str">
        <f t="shared" si="4"/>
        <v>https://admin.tsip.ai/tasks/12b5c6a3-8bbd-4926-9cc3-ad2fc17eee3f</v>
      </c>
      <c r="O47" s="46" t="b">
        <v>0</v>
      </c>
    </row>
    <row r="48">
      <c r="A48" s="5" t="s">
        <v>403</v>
      </c>
      <c r="B48" s="62" t="s">
        <v>400</v>
      </c>
      <c r="C48" s="55" t="s">
        <v>24</v>
      </c>
      <c r="D48" s="45" t="str">
        <f t="shared" si="3"/>
        <v>https://www.tsip.ai/force/21fd1223-2447-465e-82f0-c0d92723067e</v>
      </c>
      <c r="E48" s="46" t="b">
        <v>0</v>
      </c>
      <c r="F48" s="43" t="b">
        <v>0</v>
      </c>
      <c r="G48" s="44"/>
      <c r="H48" s="44"/>
      <c r="I48" s="63"/>
      <c r="J48" s="46"/>
      <c r="K48" s="46" t="b">
        <v>0</v>
      </c>
      <c r="L48" s="44"/>
      <c r="M48" s="44"/>
      <c r="N48" s="45" t="str">
        <f t="shared" si="4"/>
        <v>https://admin.tsip.ai/tasks/21fd1223-2447-465e-82f0-c0d92723067e</v>
      </c>
      <c r="O48" s="46" t="b">
        <v>0</v>
      </c>
    </row>
    <row r="49">
      <c r="A49" s="5" t="s">
        <v>404</v>
      </c>
      <c r="B49" s="62" t="s">
        <v>400</v>
      </c>
      <c r="C49" s="55" t="s">
        <v>24</v>
      </c>
      <c r="D49" s="45" t="str">
        <f t="shared" si="3"/>
        <v>https://www.tsip.ai/force/9ee27666-30ac-4778-8612-55a05eb49697</v>
      </c>
      <c r="E49" s="46" t="b">
        <v>0</v>
      </c>
      <c r="F49" s="43" t="b">
        <v>0</v>
      </c>
      <c r="G49" s="44"/>
      <c r="H49" s="44"/>
      <c r="I49" s="63"/>
      <c r="J49" s="46"/>
      <c r="K49" s="46" t="b">
        <v>0</v>
      </c>
      <c r="L49" s="44"/>
      <c r="M49" s="44"/>
      <c r="N49" s="45" t="str">
        <f t="shared" si="4"/>
        <v>https://admin.tsip.ai/tasks/9ee27666-30ac-4778-8612-55a05eb49697</v>
      </c>
      <c r="O49" s="46" t="b">
        <v>0</v>
      </c>
    </row>
    <row r="50">
      <c r="A50" s="5" t="s">
        <v>405</v>
      </c>
      <c r="B50" s="62" t="s">
        <v>400</v>
      </c>
      <c r="C50" s="55" t="s">
        <v>24</v>
      </c>
      <c r="D50" s="45" t="str">
        <f t="shared" si="3"/>
        <v>https://www.tsip.ai/force/48c9c0ef-970e-467b-b9a9-4b179c35cc51</v>
      </c>
      <c r="E50" s="46" t="b">
        <v>0</v>
      </c>
      <c r="F50" s="43" t="b">
        <v>0</v>
      </c>
      <c r="G50" s="44"/>
      <c r="H50" s="44"/>
      <c r="I50" s="63"/>
      <c r="J50" s="46"/>
      <c r="K50" s="46" t="b">
        <v>0</v>
      </c>
      <c r="L50" s="44"/>
      <c r="M50" s="44"/>
      <c r="N50" s="45" t="str">
        <f t="shared" si="4"/>
        <v>https://admin.tsip.ai/tasks/48c9c0ef-970e-467b-b9a9-4b179c35cc51</v>
      </c>
      <c r="O50" s="46" t="b">
        <v>0</v>
      </c>
    </row>
    <row r="51">
      <c r="A51" s="5" t="s">
        <v>406</v>
      </c>
      <c r="B51" s="62" t="s">
        <v>407</v>
      </c>
      <c r="C51" s="55" t="s">
        <v>408</v>
      </c>
      <c r="D51" s="45" t="str">
        <f t="shared" si="3"/>
        <v>https://www.tsip.ai/force/948abfa6-3bfa-4b04-b21b-7f15be5da299</v>
      </c>
      <c r="E51" s="46" t="b">
        <v>0</v>
      </c>
      <c r="F51" s="43" t="b">
        <v>0</v>
      </c>
      <c r="G51" s="44"/>
      <c r="H51" s="44"/>
      <c r="I51" s="63"/>
      <c r="J51" s="46"/>
      <c r="K51" s="46" t="b">
        <v>0</v>
      </c>
      <c r="L51" s="44"/>
      <c r="M51" s="44"/>
      <c r="N51" s="45" t="str">
        <f t="shared" si="4"/>
        <v>https://admin.tsip.ai/tasks/948abfa6-3bfa-4b04-b21b-7f15be5da299</v>
      </c>
      <c r="O51" s="46" t="b">
        <v>0</v>
      </c>
    </row>
    <row r="52">
      <c r="A52" s="5" t="s">
        <v>409</v>
      </c>
      <c r="B52" s="62" t="s">
        <v>407</v>
      </c>
      <c r="C52" s="55" t="s">
        <v>39</v>
      </c>
      <c r="D52" s="45" t="str">
        <f t="shared" si="3"/>
        <v>https://www.tsip.ai/force/85481314-362c-47eb-a508-c5d03c0d40a6</v>
      </c>
      <c r="E52" s="46" t="b">
        <v>0</v>
      </c>
      <c r="F52" s="43" t="b">
        <v>0</v>
      </c>
      <c r="G52" s="44"/>
      <c r="H52" s="44"/>
      <c r="I52" s="63"/>
      <c r="J52" s="46"/>
      <c r="K52" s="46" t="b">
        <v>0</v>
      </c>
      <c r="L52" s="44"/>
      <c r="M52" s="44"/>
      <c r="N52" s="45" t="str">
        <f t="shared" si="4"/>
        <v>https://admin.tsip.ai/tasks/85481314-362c-47eb-a508-c5d03c0d40a6</v>
      </c>
      <c r="O52" s="46" t="b">
        <v>0</v>
      </c>
    </row>
    <row r="53">
      <c r="A53" s="5" t="s">
        <v>410</v>
      </c>
      <c r="B53" s="62" t="s">
        <v>407</v>
      </c>
      <c r="C53" s="55" t="s">
        <v>39</v>
      </c>
      <c r="D53" s="45" t="str">
        <f t="shared" si="3"/>
        <v>https://www.tsip.ai/force/70d35a38-30e8-4e5b-ab62-b44db5f53de4</v>
      </c>
      <c r="E53" s="46" t="b">
        <v>0</v>
      </c>
      <c r="F53" s="43" t="b">
        <v>0</v>
      </c>
      <c r="G53" s="44"/>
      <c r="H53" s="44"/>
      <c r="I53" s="63"/>
      <c r="J53" s="46"/>
      <c r="K53" s="46" t="b">
        <v>0</v>
      </c>
      <c r="L53" s="44"/>
      <c r="M53" s="44"/>
      <c r="N53" s="45" t="str">
        <f t="shared" si="4"/>
        <v>https://admin.tsip.ai/tasks/70d35a38-30e8-4e5b-ab62-b44db5f53de4</v>
      </c>
      <c r="O53" s="46" t="b">
        <v>0</v>
      </c>
    </row>
    <row r="54">
      <c r="A54" s="5" t="s">
        <v>411</v>
      </c>
      <c r="B54" s="62" t="s">
        <v>407</v>
      </c>
      <c r="C54" s="55" t="s">
        <v>39</v>
      </c>
      <c r="D54" s="45" t="str">
        <f t="shared" si="3"/>
        <v>https://www.tsip.ai/force/cf7f18b3-52f7-4b73-b58d-70bc4cc46bc8</v>
      </c>
      <c r="E54" s="46" t="b">
        <v>0</v>
      </c>
      <c r="F54" s="43" t="b">
        <v>0</v>
      </c>
      <c r="G54" s="44"/>
      <c r="H54" s="44"/>
      <c r="I54" s="63"/>
      <c r="J54" s="46"/>
      <c r="K54" s="46" t="b">
        <v>0</v>
      </c>
      <c r="L54" s="44"/>
      <c r="M54" s="44"/>
      <c r="N54" s="45" t="str">
        <f t="shared" si="4"/>
        <v>https://admin.tsip.ai/tasks/cf7f18b3-52f7-4b73-b58d-70bc4cc46bc8</v>
      </c>
      <c r="O54" s="46" t="b">
        <v>0</v>
      </c>
    </row>
    <row r="55">
      <c r="A55" s="5" t="s">
        <v>412</v>
      </c>
      <c r="B55" s="62" t="s">
        <v>407</v>
      </c>
      <c r="C55" s="55" t="s">
        <v>39</v>
      </c>
      <c r="D55" s="45" t="str">
        <f t="shared" si="3"/>
        <v>https://www.tsip.ai/force/59ec513f-fdea-41d0-b3c8-912f8dbfcdbb</v>
      </c>
      <c r="E55" s="46" t="b">
        <v>0</v>
      </c>
      <c r="F55" s="43" t="b">
        <v>0</v>
      </c>
      <c r="G55" s="44"/>
      <c r="H55" s="44"/>
      <c r="I55" s="63"/>
      <c r="J55" s="46"/>
      <c r="K55" s="46" t="b">
        <v>0</v>
      </c>
      <c r="L55" s="44"/>
      <c r="M55" s="44"/>
      <c r="N55" s="45" t="str">
        <f t="shared" si="4"/>
        <v>https://admin.tsip.ai/tasks/59ec513f-fdea-41d0-b3c8-912f8dbfcdbb</v>
      </c>
      <c r="O55" s="46" t="b">
        <v>0</v>
      </c>
    </row>
    <row r="56">
      <c r="A56" s="5" t="s">
        <v>413</v>
      </c>
      <c r="B56" s="62" t="s">
        <v>407</v>
      </c>
      <c r="C56" s="55" t="s">
        <v>39</v>
      </c>
      <c r="D56" s="45" t="str">
        <f t="shared" si="3"/>
        <v>https://www.tsip.ai/force/2ba8df9c-0b6c-41a8-834a-516f8f5184f3</v>
      </c>
      <c r="E56" s="46" t="b">
        <v>0</v>
      </c>
      <c r="F56" s="43" t="b">
        <v>0</v>
      </c>
      <c r="G56" s="44"/>
      <c r="H56" s="44"/>
      <c r="I56" s="63"/>
      <c r="J56" s="46"/>
      <c r="K56" s="46" t="b">
        <v>0</v>
      </c>
      <c r="L56" s="44"/>
      <c r="M56" s="44"/>
      <c r="N56" s="45" t="str">
        <f t="shared" si="4"/>
        <v>https://admin.tsip.ai/tasks/2ba8df9c-0b6c-41a8-834a-516f8f5184f3</v>
      </c>
      <c r="O56" s="46" t="b">
        <v>0</v>
      </c>
    </row>
    <row r="57">
      <c r="A57" s="5" t="s">
        <v>414</v>
      </c>
      <c r="B57" s="62" t="s">
        <v>407</v>
      </c>
      <c r="C57" s="55" t="s">
        <v>39</v>
      </c>
      <c r="D57" s="45" t="str">
        <f t="shared" si="3"/>
        <v>https://www.tsip.ai/force/0c9a24e6-af44-4a46-9113-33af8fa6c72b</v>
      </c>
      <c r="E57" s="46" t="b">
        <v>0</v>
      </c>
      <c r="F57" s="43" t="b">
        <v>0</v>
      </c>
      <c r="G57" s="44"/>
      <c r="H57" s="44"/>
      <c r="I57" s="63"/>
      <c r="J57" s="46"/>
      <c r="K57" s="46" t="b">
        <v>0</v>
      </c>
      <c r="L57" s="44"/>
      <c r="M57" s="44"/>
      <c r="N57" s="45" t="str">
        <f t="shared" si="4"/>
        <v>https://admin.tsip.ai/tasks/0c9a24e6-af44-4a46-9113-33af8fa6c72b</v>
      </c>
      <c r="O57" s="46" t="b">
        <v>0</v>
      </c>
    </row>
    <row r="58">
      <c r="A58" s="5" t="s">
        <v>415</v>
      </c>
      <c r="B58" s="62" t="s">
        <v>416</v>
      </c>
      <c r="C58" s="55"/>
      <c r="D58" s="45" t="str">
        <f t="shared" si="3"/>
        <v>https://www.tsip.ai/force/f51bfd0c-484c-453f-be3e-8b8e00fbb47e</v>
      </c>
      <c r="E58" s="46" t="b">
        <v>0</v>
      </c>
      <c r="F58" s="43" t="b">
        <v>0</v>
      </c>
      <c r="G58" s="44"/>
      <c r="H58" s="44"/>
      <c r="I58" s="63"/>
      <c r="J58" s="46"/>
      <c r="K58" s="46" t="b">
        <v>0</v>
      </c>
      <c r="L58" s="44"/>
      <c r="M58" s="44"/>
      <c r="N58" s="45" t="str">
        <f t="shared" si="4"/>
        <v>https://admin.tsip.ai/tasks/f51bfd0c-484c-453f-be3e-8b8e00fbb47e</v>
      </c>
      <c r="O58" s="46" t="b">
        <v>0</v>
      </c>
    </row>
    <row r="59">
      <c r="A59" s="5" t="s">
        <v>417</v>
      </c>
      <c r="B59" s="62" t="s">
        <v>416</v>
      </c>
      <c r="C59" s="55"/>
      <c r="D59" s="45" t="str">
        <f t="shared" si="3"/>
        <v>https://www.tsip.ai/force/e2062397-7cdd-4f3d-857d-39080d5abf5d</v>
      </c>
      <c r="E59" s="46" t="b">
        <v>0</v>
      </c>
      <c r="F59" s="43" t="b">
        <v>0</v>
      </c>
      <c r="G59" s="44"/>
      <c r="H59" s="44"/>
      <c r="I59" s="63"/>
      <c r="J59" s="46"/>
      <c r="K59" s="46" t="b">
        <v>0</v>
      </c>
      <c r="L59" s="44"/>
      <c r="M59" s="44"/>
      <c r="N59" s="45" t="str">
        <f t="shared" si="4"/>
        <v>https://admin.tsip.ai/tasks/e2062397-7cdd-4f3d-857d-39080d5abf5d</v>
      </c>
      <c r="O59" s="46" t="b">
        <v>0</v>
      </c>
    </row>
    <row r="60">
      <c r="A60" s="5" t="s">
        <v>418</v>
      </c>
      <c r="B60" s="62" t="s">
        <v>416</v>
      </c>
      <c r="C60" s="55"/>
      <c r="D60" s="45" t="str">
        <f t="shared" si="3"/>
        <v>https://www.tsip.ai/force/6a675b89-0d9b-4e8f-bcee-36d3a9f5a87f</v>
      </c>
      <c r="E60" s="46" t="b">
        <v>0</v>
      </c>
      <c r="F60" s="43" t="b">
        <v>0</v>
      </c>
      <c r="G60" s="44"/>
      <c r="H60" s="44"/>
      <c r="I60" s="63"/>
      <c r="J60" s="46"/>
      <c r="K60" s="46" t="b">
        <v>0</v>
      </c>
      <c r="L60" s="44"/>
      <c r="M60" s="44"/>
      <c r="N60" s="45" t="str">
        <f t="shared" si="4"/>
        <v>https://admin.tsip.ai/tasks/6a675b89-0d9b-4e8f-bcee-36d3a9f5a87f</v>
      </c>
      <c r="O60" s="46" t="b">
        <v>0</v>
      </c>
    </row>
    <row r="61">
      <c r="A61" s="5" t="s">
        <v>419</v>
      </c>
      <c r="B61" s="62" t="s">
        <v>420</v>
      </c>
      <c r="C61" s="55" t="s">
        <v>68</v>
      </c>
      <c r="D61" s="45" t="str">
        <f t="shared" si="3"/>
        <v>https://www.tsip.ai/force/ed81a189-0f5a-41bf-9d7d-179081c77860</v>
      </c>
      <c r="E61" s="64" t="b">
        <v>1</v>
      </c>
      <c r="F61" s="53" t="b">
        <v>1</v>
      </c>
      <c r="G61" s="54">
        <v>46163.0</v>
      </c>
      <c r="H61" s="44"/>
      <c r="I61" s="63"/>
      <c r="J61" s="9"/>
      <c r="K61" s="64" t="b">
        <v>1</v>
      </c>
      <c r="L61" s="54">
        <v>46163.0</v>
      </c>
      <c r="M61" s="44"/>
      <c r="N61" s="45" t="str">
        <f t="shared" si="4"/>
        <v>https://admin.tsip.ai/tasks/ed81a189-0f5a-41bf-9d7d-179081c77860</v>
      </c>
      <c r="O61" s="46" t="b">
        <v>0</v>
      </c>
    </row>
    <row r="62">
      <c r="A62" s="5" t="s">
        <v>421</v>
      </c>
      <c r="B62" s="62" t="s">
        <v>420</v>
      </c>
      <c r="C62" s="55" t="s">
        <v>68</v>
      </c>
      <c r="D62" s="45" t="str">
        <f t="shared" si="3"/>
        <v>https://www.tsip.ai/force/66695074-38f0-45d9-a5b5-4156f5e6fba6</v>
      </c>
      <c r="E62" s="50" t="b">
        <v>0</v>
      </c>
      <c r="F62" s="43" t="b">
        <v>0</v>
      </c>
      <c r="G62" s="44"/>
      <c r="H62" s="44"/>
      <c r="I62" s="63"/>
      <c r="J62" s="46"/>
      <c r="K62" s="46" t="b">
        <v>0</v>
      </c>
      <c r="L62" s="44"/>
      <c r="M62" s="44"/>
      <c r="N62" s="45" t="str">
        <f t="shared" si="4"/>
        <v>https://admin.tsip.ai/tasks/66695074-38f0-45d9-a5b5-4156f5e6fba6</v>
      </c>
      <c r="O62" s="46" t="b">
        <v>0</v>
      </c>
    </row>
    <row r="63">
      <c r="A63" s="5" t="s">
        <v>422</v>
      </c>
      <c r="B63" s="62" t="s">
        <v>420</v>
      </c>
      <c r="C63" s="55" t="s">
        <v>68</v>
      </c>
      <c r="D63" s="45" t="str">
        <f t="shared" si="3"/>
        <v>https://www.tsip.ai/force/e3cd29a3-1451-4863-a0d2-045f2ea25bf9</v>
      </c>
      <c r="E63" s="64" t="b">
        <v>1</v>
      </c>
      <c r="F63" s="4" t="b">
        <v>0</v>
      </c>
      <c r="G63" s="54">
        <v>46163.0</v>
      </c>
      <c r="H63" s="44"/>
      <c r="I63" s="63"/>
      <c r="J63" s="46"/>
      <c r="K63" s="46" t="b">
        <v>0</v>
      </c>
      <c r="L63" s="44"/>
      <c r="M63" s="44"/>
      <c r="N63" s="45" t="str">
        <f t="shared" si="4"/>
        <v>https://admin.tsip.ai/tasks/e3cd29a3-1451-4863-a0d2-045f2ea25bf9</v>
      </c>
      <c r="O63" s="46" t="b">
        <v>0</v>
      </c>
    </row>
    <row r="64">
      <c r="A64" s="5" t="s">
        <v>423</v>
      </c>
      <c r="B64" s="62" t="s">
        <v>420</v>
      </c>
      <c r="C64" s="55" t="s">
        <v>68</v>
      </c>
      <c r="D64" s="45" t="str">
        <f t="shared" si="3"/>
        <v>https://www.tsip.ai/force/51804921-31de-4e6a-af82-75337d392724</v>
      </c>
      <c r="E64" s="64" t="b">
        <v>1</v>
      </c>
      <c r="F64" s="4" t="b">
        <v>1</v>
      </c>
      <c r="G64" s="54">
        <v>46163.0</v>
      </c>
      <c r="H64" s="44"/>
      <c r="I64" s="63"/>
      <c r="J64" s="46"/>
      <c r="K64" s="64" t="b">
        <v>1</v>
      </c>
      <c r="L64" s="54">
        <v>46163.0</v>
      </c>
      <c r="M64" s="44"/>
      <c r="N64" s="45" t="str">
        <f t="shared" si="4"/>
        <v>https://admin.tsip.ai/tasks/51804921-31de-4e6a-af82-75337d392724</v>
      </c>
      <c r="O64" s="46" t="b">
        <v>0</v>
      </c>
    </row>
    <row r="65">
      <c r="A65" s="5" t="s">
        <v>424</v>
      </c>
      <c r="B65" s="62" t="s">
        <v>420</v>
      </c>
      <c r="C65" s="55" t="s">
        <v>68</v>
      </c>
      <c r="D65" s="45" t="str">
        <f t="shared" si="3"/>
        <v>https://www.tsip.ai/force/75827fb5-e756-4067-9054-7f55d4a8f5a3</v>
      </c>
      <c r="E65" s="64" t="b">
        <v>1</v>
      </c>
      <c r="F65" s="4" t="b">
        <v>1</v>
      </c>
      <c r="G65" s="54">
        <v>46163.0</v>
      </c>
      <c r="H65" s="44"/>
      <c r="I65" s="63"/>
      <c r="J65" s="46"/>
      <c r="K65" s="64" t="b">
        <v>1</v>
      </c>
      <c r="L65" s="54">
        <v>46163.0</v>
      </c>
      <c r="M65" s="44"/>
      <c r="N65" s="45" t="str">
        <f t="shared" si="4"/>
        <v>https://admin.tsip.ai/tasks/75827fb5-e756-4067-9054-7f55d4a8f5a3</v>
      </c>
      <c r="O65" s="46" t="b">
        <v>0</v>
      </c>
    </row>
    <row r="66">
      <c r="A66" s="5" t="s">
        <v>425</v>
      </c>
      <c r="B66" s="62" t="s">
        <v>420</v>
      </c>
      <c r="C66" s="55" t="s">
        <v>68</v>
      </c>
      <c r="D66" s="45" t="str">
        <f t="shared" si="3"/>
        <v>https://www.tsip.ai/force/8c67bbfc-ce4d-44f4-8fee-60435dfb8c74</v>
      </c>
      <c r="E66" s="64" t="b">
        <v>1</v>
      </c>
      <c r="F66" s="53" t="b">
        <v>1</v>
      </c>
      <c r="G66" s="54">
        <v>46163.0</v>
      </c>
      <c r="H66" s="44"/>
      <c r="I66" s="63"/>
      <c r="J66" s="9"/>
      <c r="K66" s="64" t="b">
        <v>1</v>
      </c>
      <c r="L66" s="54">
        <v>46163.0</v>
      </c>
      <c r="M66" s="44"/>
      <c r="N66" s="45" t="str">
        <f t="shared" si="4"/>
        <v>https://admin.tsip.ai/tasks/8c67bbfc-ce4d-44f4-8fee-60435dfb8c74</v>
      </c>
      <c r="O66" s="46" t="b">
        <v>0</v>
      </c>
    </row>
    <row r="67">
      <c r="A67" s="5" t="s">
        <v>426</v>
      </c>
      <c r="B67" s="62" t="s">
        <v>420</v>
      </c>
      <c r="C67" s="55" t="s">
        <v>68</v>
      </c>
      <c r="D67" s="45" t="str">
        <f t="shared" si="3"/>
        <v>https://www.tsip.ai/force/59ebaefe-cf29-4d02-adc5-a391434afe09</v>
      </c>
      <c r="E67" s="50" t="b">
        <v>0</v>
      </c>
      <c r="F67" s="43" t="b">
        <v>0</v>
      </c>
      <c r="G67" s="44"/>
      <c r="H67" s="44"/>
      <c r="I67" s="63"/>
      <c r="J67" s="46"/>
      <c r="K67" s="46" t="b">
        <v>0</v>
      </c>
      <c r="L67" s="44"/>
      <c r="M67" s="44"/>
      <c r="N67" s="45" t="str">
        <f t="shared" si="4"/>
        <v>https://admin.tsip.ai/tasks/59ebaefe-cf29-4d02-adc5-a391434afe09</v>
      </c>
      <c r="O67" s="46" t="b">
        <v>0</v>
      </c>
    </row>
    <row r="68">
      <c r="A68" s="5" t="s">
        <v>427</v>
      </c>
      <c r="B68" s="62" t="s">
        <v>428</v>
      </c>
      <c r="C68" s="55" t="s">
        <v>33</v>
      </c>
      <c r="D68" s="45" t="str">
        <f t="shared" si="3"/>
        <v>https://www.tsip.ai/force/56f93ae4-4899-4d39-826b-428d2b768f69</v>
      </c>
      <c r="E68" s="46" t="b">
        <v>0</v>
      </c>
      <c r="F68" s="43" t="b">
        <v>0</v>
      </c>
      <c r="G68" s="44"/>
      <c r="H68" s="44"/>
      <c r="I68" s="63"/>
      <c r="J68" s="46"/>
      <c r="K68" s="46" t="b">
        <v>0</v>
      </c>
      <c r="L68" s="44"/>
      <c r="M68" s="44"/>
      <c r="N68" s="45" t="str">
        <f t="shared" si="4"/>
        <v>https://admin.tsip.ai/tasks/56f93ae4-4899-4d39-826b-428d2b768f69</v>
      </c>
      <c r="O68" s="46" t="b">
        <v>0</v>
      </c>
    </row>
    <row r="69">
      <c r="A69" s="5" t="s">
        <v>429</v>
      </c>
      <c r="B69" s="62" t="s">
        <v>428</v>
      </c>
      <c r="C69" s="55" t="s">
        <v>33</v>
      </c>
      <c r="D69" s="45" t="str">
        <f t="shared" si="3"/>
        <v>https://www.tsip.ai/force/2614da92-805e-4e76-9ee1-4a3035517fda</v>
      </c>
      <c r="E69" s="46" t="b">
        <v>0</v>
      </c>
      <c r="F69" s="43" t="b">
        <v>0</v>
      </c>
      <c r="G69" s="44"/>
      <c r="H69" s="44"/>
      <c r="I69" s="63"/>
      <c r="J69" s="46"/>
      <c r="K69" s="46" t="b">
        <v>0</v>
      </c>
      <c r="L69" s="44"/>
      <c r="M69" s="44"/>
      <c r="N69" s="45" t="str">
        <f t="shared" si="4"/>
        <v>https://admin.tsip.ai/tasks/2614da92-805e-4e76-9ee1-4a3035517fda</v>
      </c>
      <c r="O69" s="46" t="b">
        <v>0</v>
      </c>
    </row>
    <row r="70">
      <c r="A70" s="5" t="s">
        <v>430</v>
      </c>
      <c r="B70" s="62" t="s">
        <v>428</v>
      </c>
      <c r="C70" s="55" t="s">
        <v>33</v>
      </c>
      <c r="D70" s="45" t="str">
        <f t="shared" si="3"/>
        <v>https://www.tsip.ai/force/6b16f83d-1217-4cd9-a390-5e1825ab6f5f</v>
      </c>
      <c r="E70" s="46" t="b">
        <v>0</v>
      </c>
      <c r="F70" s="43" t="b">
        <v>0</v>
      </c>
      <c r="G70" s="44"/>
      <c r="H70" s="44"/>
      <c r="I70" s="63"/>
      <c r="J70" s="46"/>
      <c r="K70" s="46" t="b">
        <v>0</v>
      </c>
      <c r="L70" s="44"/>
      <c r="M70" s="44"/>
      <c r="N70" s="45" t="str">
        <f t="shared" si="4"/>
        <v>https://admin.tsip.ai/tasks/6b16f83d-1217-4cd9-a390-5e1825ab6f5f</v>
      </c>
      <c r="O70" s="46" t="b">
        <v>0</v>
      </c>
    </row>
    <row r="71">
      <c r="A71" s="5" t="s">
        <v>431</v>
      </c>
      <c r="B71" s="62" t="s">
        <v>432</v>
      </c>
      <c r="C71" s="44"/>
      <c r="D71" s="45" t="str">
        <f t="shared" si="3"/>
        <v>https://www.tsip.ai/force/787f1712-a616-4c21-918d-0d0dcd87a48c</v>
      </c>
      <c r="E71" s="46" t="b">
        <v>0</v>
      </c>
      <c r="F71" s="43" t="b">
        <v>0</v>
      </c>
      <c r="G71" s="44"/>
      <c r="H71" s="44"/>
      <c r="I71" s="63"/>
      <c r="J71" s="46"/>
      <c r="K71" s="46" t="b">
        <v>0</v>
      </c>
      <c r="L71" s="44"/>
      <c r="M71" s="44"/>
      <c r="N71" s="45" t="str">
        <f t="shared" si="4"/>
        <v>https://admin.tsip.ai/tasks/787f1712-a616-4c21-918d-0d0dcd87a48c</v>
      </c>
      <c r="O71" s="46" t="b">
        <v>0</v>
      </c>
    </row>
    <row r="72">
      <c r="A72" s="5" t="s">
        <v>433</v>
      </c>
      <c r="B72" s="62" t="s">
        <v>432</v>
      </c>
      <c r="C72" s="44"/>
      <c r="D72" s="45" t="str">
        <f t="shared" si="3"/>
        <v>https://www.tsip.ai/force/e5a7ae49-cb3a-4e30-94e6-01e7300be6cc</v>
      </c>
      <c r="E72" s="46" t="b">
        <v>0</v>
      </c>
      <c r="F72" s="43" t="b">
        <v>0</v>
      </c>
      <c r="G72" s="44"/>
      <c r="H72" s="44"/>
      <c r="I72" s="63"/>
      <c r="J72" s="46"/>
      <c r="K72" s="46" t="b">
        <v>0</v>
      </c>
      <c r="L72" s="44"/>
      <c r="M72" s="44"/>
      <c r="N72" s="45" t="str">
        <f t="shared" si="4"/>
        <v>https://admin.tsip.ai/tasks/e5a7ae49-cb3a-4e30-94e6-01e7300be6cc</v>
      </c>
      <c r="O72" s="46" t="b">
        <v>0</v>
      </c>
    </row>
    <row r="73">
      <c r="A73" s="5" t="s">
        <v>434</v>
      </c>
      <c r="B73" s="62" t="s">
        <v>435</v>
      </c>
      <c r="C73" s="44"/>
      <c r="D73" s="45" t="str">
        <f t="shared" si="3"/>
        <v>https://www.tsip.ai/force/c9bd6e32-12d9-4ed7-9147-bf786d6e1561</v>
      </c>
      <c r="E73" s="46" t="b">
        <v>0</v>
      </c>
      <c r="F73" s="43" t="b">
        <v>0</v>
      </c>
      <c r="G73" s="44"/>
      <c r="H73" s="44"/>
      <c r="I73" s="63"/>
      <c r="J73" s="46"/>
      <c r="K73" s="46" t="b">
        <v>0</v>
      </c>
      <c r="L73" s="44"/>
      <c r="M73" s="44"/>
      <c r="N73" s="45" t="str">
        <f t="shared" si="4"/>
        <v>https://admin.tsip.ai/tasks/c9bd6e32-12d9-4ed7-9147-bf786d6e1561</v>
      </c>
      <c r="O73" s="46" t="b">
        <v>0</v>
      </c>
    </row>
    <row r="74">
      <c r="A74" s="5" t="s">
        <v>436</v>
      </c>
      <c r="B74" s="62" t="s">
        <v>437</v>
      </c>
      <c r="C74" s="55" t="s">
        <v>256</v>
      </c>
      <c r="D74" s="45" t="str">
        <f t="shared" si="3"/>
        <v>https://www.tsip.ai/force/8e773143-34b5-480b-b69a-d5bacfd84d23</v>
      </c>
      <c r="E74" s="46" t="b">
        <v>0</v>
      </c>
      <c r="F74" s="43" t="b">
        <v>0</v>
      </c>
      <c r="G74" s="44"/>
      <c r="H74" s="44"/>
      <c r="I74" s="63"/>
      <c r="J74" s="46"/>
      <c r="K74" s="46" t="b">
        <v>0</v>
      </c>
      <c r="L74" s="44"/>
      <c r="M74" s="44"/>
      <c r="N74" s="45" t="str">
        <f t="shared" si="4"/>
        <v>https://admin.tsip.ai/tasks/8e773143-34b5-480b-b69a-d5bacfd84d23</v>
      </c>
      <c r="O74" s="46" t="b">
        <v>0</v>
      </c>
    </row>
    <row r="75">
      <c r="A75" s="5" t="s">
        <v>438</v>
      </c>
      <c r="B75" s="62" t="s">
        <v>439</v>
      </c>
      <c r="C75" s="55" t="s">
        <v>21</v>
      </c>
      <c r="D75" s="45" t="str">
        <f t="shared" si="3"/>
        <v>https://www.tsip.ai/force/014ef035-0ce6-4fbf-b3fb-13053a9d1b8e</v>
      </c>
      <c r="E75" s="9" t="b">
        <v>1</v>
      </c>
      <c r="F75" s="43" t="b">
        <v>0</v>
      </c>
      <c r="G75" s="54">
        <v>46163.0</v>
      </c>
      <c r="H75" s="44"/>
      <c r="I75" s="63"/>
      <c r="J75" s="46"/>
      <c r="K75" s="46" t="b">
        <v>0</v>
      </c>
      <c r="L75" s="44"/>
      <c r="M75" s="44"/>
      <c r="N75" s="45" t="str">
        <f t="shared" si="4"/>
        <v>https://admin.tsip.ai/tasks/014ef035-0ce6-4fbf-b3fb-13053a9d1b8e</v>
      </c>
      <c r="O75" s="46" t="b">
        <v>0</v>
      </c>
    </row>
    <row r="76">
      <c r="A76" s="5" t="s">
        <v>440</v>
      </c>
      <c r="B76" s="62" t="s">
        <v>439</v>
      </c>
      <c r="C76" s="55" t="s">
        <v>21</v>
      </c>
      <c r="D76" s="45" t="str">
        <f t="shared" si="3"/>
        <v>https://www.tsip.ai/force/451dbded-bb72-4206-b583-25aa5aa81b3e</v>
      </c>
      <c r="E76" s="46" t="b">
        <v>0</v>
      </c>
      <c r="F76" s="43" t="b">
        <v>0</v>
      </c>
      <c r="G76" s="44"/>
      <c r="H76" s="44"/>
      <c r="I76" s="63"/>
      <c r="J76" s="46"/>
      <c r="K76" s="46" t="b">
        <v>0</v>
      </c>
      <c r="L76" s="44"/>
      <c r="M76" s="44"/>
      <c r="N76" s="45" t="str">
        <f t="shared" si="4"/>
        <v>https://admin.tsip.ai/tasks/451dbded-bb72-4206-b583-25aa5aa81b3e</v>
      </c>
      <c r="O76" s="46" t="b">
        <v>0</v>
      </c>
    </row>
    <row r="77">
      <c r="A77" s="5" t="s">
        <v>441</v>
      </c>
      <c r="B77" s="62" t="s">
        <v>439</v>
      </c>
      <c r="C77" s="55" t="s">
        <v>21</v>
      </c>
      <c r="D77" s="45" t="str">
        <f t="shared" si="3"/>
        <v>https://www.tsip.ai/force/97eb99f2-6a40-4d74-8637-f80a08cd11d0</v>
      </c>
      <c r="E77" s="46" t="b">
        <v>0</v>
      </c>
      <c r="F77" s="43" t="b">
        <v>0</v>
      </c>
      <c r="G77" s="44"/>
      <c r="H77" s="44"/>
      <c r="I77" s="63"/>
      <c r="J77" s="46"/>
      <c r="K77" s="46" t="b">
        <v>0</v>
      </c>
      <c r="L77" s="44"/>
      <c r="M77" s="44"/>
      <c r="N77" s="45" t="str">
        <f t="shared" si="4"/>
        <v>https://admin.tsip.ai/tasks/97eb99f2-6a40-4d74-8637-f80a08cd11d0</v>
      </c>
      <c r="O77" s="46" t="b">
        <v>0</v>
      </c>
    </row>
    <row r="78">
      <c r="A78" s="5" t="s">
        <v>442</v>
      </c>
      <c r="B78" s="62" t="s">
        <v>439</v>
      </c>
      <c r="C78" s="55"/>
      <c r="D78" s="45" t="str">
        <f t="shared" si="3"/>
        <v>https://www.tsip.ai/force/25625860-dd89-404a-9fe9-09dd2c3571a7</v>
      </c>
      <c r="E78" s="46" t="b">
        <v>0</v>
      </c>
      <c r="F78" s="43" t="b">
        <v>0</v>
      </c>
      <c r="G78" s="44"/>
      <c r="H78" s="44"/>
      <c r="I78" s="63"/>
      <c r="J78" s="46"/>
      <c r="K78" s="46" t="b">
        <v>0</v>
      </c>
      <c r="L78" s="44"/>
      <c r="M78" s="44"/>
      <c r="N78" s="45" t="str">
        <f t="shared" si="4"/>
        <v>https://admin.tsip.ai/tasks/25625860-dd89-404a-9fe9-09dd2c3571a7</v>
      </c>
      <c r="O78" s="46" t="b">
        <v>0</v>
      </c>
    </row>
    <row r="79">
      <c r="A79" s="5" t="s">
        <v>443</v>
      </c>
      <c r="B79" s="62" t="s">
        <v>444</v>
      </c>
      <c r="C79" s="55"/>
      <c r="D79" s="45" t="str">
        <f t="shared" si="3"/>
        <v>https://www.tsip.ai/force/ffa105de-e411-4be7-a641-cdd608c9f3bb</v>
      </c>
      <c r="E79" s="46" t="b">
        <v>0</v>
      </c>
      <c r="F79" s="43" t="b">
        <v>0</v>
      </c>
      <c r="G79" s="44"/>
      <c r="H79" s="44"/>
      <c r="I79" s="63"/>
      <c r="J79" s="46"/>
      <c r="K79" s="46" t="b">
        <v>0</v>
      </c>
      <c r="L79" s="44"/>
      <c r="M79" s="44"/>
      <c r="N79" s="45" t="str">
        <f t="shared" si="4"/>
        <v>https://admin.tsip.ai/tasks/ffa105de-e411-4be7-a641-cdd608c9f3bb</v>
      </c>
      <c r="O79" s="46" t="b">
        <v>0</v>
      </c>
    </row>
    <row r="80">
      <c r="A80" s="5" t="s">
        <v>445</v>
      </c>
      <c r="B80" s="62" t="s">
        <v>444</v>
      </c>
      <c r="C80" s="44"/>
      <c r="D80" s="45" t="str">
        <f t="shared" si="3"/>
        <v>https://www.tsip.ai/force/ad178f9e-2e26-4d3c-a957-8e1e09124523</v>
      </c>
      <c r="E80" s="46" t="b">
        <v>0</v>
      </c>
      <c r="F80" s="43" t="b">
        <v>0</v>
      </c>
      <c r="G80" s="44"/>
      <c r="H80" s="44"/>
      <c r="I80" s="63"/>
      <c r="J80" s="46"/>
      <c r="K80" s="46" t="b">
        <v>0</v>
      </c>
      <c r="L80" s="44"/>
      <c r="M80" s="44"/>
      <c r="N80" s="45" t="str">
        <f t="shared" si="4"/>
        <v>https://admin.tsip.ai/tasks/ad178f9e-2e26-4d3c-a957-8e1e09124523</v>
      </c>
      <c r="O80" s="46" t="b">
        <v>0</v>
      </c>
    </row>
    <row r="81">
      <c r="A81" s="5" t="s">
        <v>446</v>
      </c>
      <c r="B81" s="62" t="s">
        <v>444</v>
      </c>
      <c r="C81" s="44"/>
      <c r="D81" s="45" t="str">
        <f t="shared" si="3"/>
        <v>https://www.tsip.ai/force/4d229168-65a3-4714-a117-86d13f98da14</v>
      </c>
      <c r="E81" s="46" t="b">
        <v>0</v>
      </c>
      <c r="F81" s="43" t="b">
        <v>0</v>
      </c>
      <c r="G81" s="44"/>
      <c r="H81" s="44"/>
      <c r="I81" s="63"/>
      <c r="J81" s="46"/>
      <c r="K81" s="46" t="b">
        <v>0</v>
      </c>
      <c r="L81" s="44"/>
      <c r="M81" s="44"/>
      <c r="N81" s="45" t="str">
        <f t="shared" si="4"/>
        <v>https://admin.tsip.ai/tasks/4d229168-65a3-4714-a117-86d13f98da14</v>
      </c>
      <c r="O81" s="46" t="b">
        <v>0</v>
      </c>
    </row>
    <row r="82">
      <c r="A82" s="5" t="s">
        <v>447</v>
      </c>
      <c r="B82" s="62" t="s">
        <v>444</v>
      </c>
      <c r="C82" s="44"/>
      <c r="D82" s="45" t="str">
        <f t="shared" si="3"/>
        <v>https://www.tsip.ai/force/4fe411d3-aaa1-418d-b624-9fba2df62c00</v>
      </c>
      <c r="E82" s="46" t="b">
        <v>0</v>
      </c>
      <c r="F82" s="43" t="b">
        <v>0</v>
      </c>
      <c r="G82" s="44"/>
      <c r="H82" s="44"/>
      <c r="I82" s="63"/>
      <c r="J82" s="46"/>
      <c r="K82" s="46" t="b">
        <v>0</v>
      </c>
      <c r="L82" s="44"/>
      <c r="M82" s="44"/>
      <c r="N82" s="45" t="str">
        <f t="shared" si="4"/>
        <v>https://admin.tsip.ai/tasks/4fe411d3-aaa1-418d-b624-9fba2df62c00</v>
      </c>
      <c r="O82" s="46" t="b">
        <v>0</v>
      </c>
    </row>
    <row r="83">
      <c r="A83" s="5" t="s">
        <v>448</v>
      </c>
      <c r="B83" s="62" t="s">
        <v>449</v>
      </c>
      <c r="C83" s="55" t="s">
        <v>408</v>
      </c>
      <c r="D83" s="45" t="str">
        <f t="shared" si="3"/>
        <v>https://www.tsip.ai/force/b213e36b-923e-4af9-9c20-3437b5de7b80</v>
      </c>
      <c r="E83" s="46" t="b">
        <v>0</v>
      </c>
      <c r="F83" s="43" t="b">
        <v>0</v>
      </c>
      <c r="G83" s="44"/>
      <c r="H83" s="44"/>
      <c r="I83" s="63"/>
      <c r="J83" s="46"/>
      <c r="K83" s="46" t="b">
        <v>0</v>
      </c>
      <c r="L83" s="44"/>
      <c r="M83" s="44"/>
      <c r="N83" s="45" t="str">
        <f t="shared" si="4"/>
        <v>https://admin.tsip.ai/tasks/b213e36b-923e-4af9-9c20-3437b5de7b80</v>
      </c>
      <c r="O83" s="46" t="b">
        <v>0</v>
      </c>
    </row>
    <row r="84">
      <c r="A84" s="5" t="s">
        <v>450</v>
      </c>
      <c r="B84" s="62" t="s">
        <v>449</v>
      </c>
      <c r="C84" s="55" t="s">
        <v>408</v>
      </c>
      <c r="D84" s="45" t="str">
        <f t="shared" si="3"/>
        <v>https://www.tsip.ai/force/fbe709e7-c23d-41e8-ae9e-ed161320aeb4</v>
      </c>
      <c r="E84" s="46" t="b">
        <v>0</v>
      </c>
      <c r="F84" s="43" t="b">
        <v>0</v>
      </c>
      <c r="G84" s="44"/>
      <c r="H84" s="44"/>
      <c r="I84" s="63"/>
      <c r="J84" s="46"/>
      <c r="K84" s="46" t="b">
        <v>0</v>
      </c>
      <c r="L84" s="44"/>
      <c r="M84" s="44"/>
      <c r="N84" s="45" t="str">
        <f t="shared" si="4"/>
        <v>https://admin.tsip.ai/tasks/fbe709e7-c23d-41e8-ae9e-ed161320aeb4</v>
      </c>
      <c r="O84" s="46" t="b">
        <v>0</v>
      </c>
    </row>
    <row r="85">
      <c r="A85" s="5" t="s">
        <v>451</v>
      </c>
      <c r="B85" s="62" t="s">
        <v>449</v>
      </c>
      <c r="C85" s="55" t="s">
        <v>408</v>
      </c>
      <c r="D85" s="45" t="str">
        <f t="shared" si="3"/>
        <v>https://www.tsip.ai/force/9c5ae5b0-187d-4ef5-b01e-2ce99e10c74f</v>
      </c>
      <c r="E85" s="46" t="b">
        <v>0</v>
      </c>
      <c r="F85" s="43" t="b">
        <v>0</v>
      </c>
      <c r="G85" s="44"/>
      <c r="H85" s="44"/>
      <c r="I85" s="63"/>
      <c r="J85" s="46"/>
      <c r="K85" s="46" t="b">
        <v>0</v>
      </c>
      <c r="L85" s="44"/>
      <c r="M85" s="44"/>
      <c r="N85" s="45" t="str">
        <f t="shared" si="4"/>
        <v>https://admin.tsip.ai/tasks/9c5ae5b0-187d-4ef5-b01e-2ce99e10c74f</v>
      </c>
      <c r="O85" s="46" t="b">
        <v>0</v>
      </c>
    </row>
    <row r="86">
      <c r="A86" s="5" t="s">
        <v>452</v>
      </c>
      <c r="B86" s="62" t="s">
        <v>453</v>
      </c>
      <c r="C86" s="44"/>
      <c r="D86" s="45" t="str">
        <f t="shared" si="3"/>
        <v>https://www.tsip.ai/force/4cfc3388-2bf8-43e0-9cdb-6192c20b72eb</v>
      </c>
      <c r="E86" s="46" t="b">
        <v>0</v>
      </c>
      <c r="F86" s="43" t="b">
        <v>0</v>
      </c>
      <c r="G86" s="44"/>
      <c r="H86" s="44"/>
      <c r="I86" s="63"/>
      <c r="J86" s="46"/>
      <c r="K86" s="46" t="b">
        <v>0</v>
      </c>
      <c r="L86" s="44"/>
      <c r="M86" s="44"/>
      <c r="N86" s="45" t="str">
        <f t="shared" si="4"/>
        <v>https://admin.tsip.ai/tasks/4cfc3388-2bf8-43e0-9cdb-6192c20b72eb</v>
      </c>
      <c r="O86" s="46" t="b">
        <v>0</v>
      </c>
    </row>
    <row r="87">
      <c r="A87" s="5" t="s">
        <v>454</v>
      </c>
      <c r="B87" s="62" t="s">
        <v>455</v>
      </c>
      <c r="C87" s="55"/>
      <c r="D87" s="45" t="str">
        <f t="shared" si="3"/>
        <v>https://www.tsip.ai/force/b9eba4b2-0b4f-4634-bd64-10ca8bb58fa4</v>
      </c>
      <c r="E87" s="46" t="b">
        <v>0</v>
      </c>
      <c r="F87" s="43" t="b">
        <v>0</v>
      </c>
      <c r="G87" s="44"/>
      <c r="H87" s="44"/>
      <c r="I87" s="63"/>
      <c r="J87" s="46"/>
      <c r="K87" s="46" t="b">
        <v>0</v>
      </c>
      <c r="L87" s="44"/>
      <c r="M87" s="44"/>
      <c r="N87" s="45" t="str">
        <f t="shared" si="4"/>
        <v>https://admin.tsip.ai/tasks/b9eba4b2-0b4f-4634-bd64-10ca8bb58fa4</v>
      </c>
      <c r="O87" s="46" t="b">
        <v>0</v>
      </c>
    </row>
    <row r="88">
      <c r="A88" s="5" t="s">
        <v>456</v>
      </c>
      <c r="B88" s="62" t="s">
        <v>455</v>
      </c>
      <c r="C88" s="55"/>
      <c r="D88" s="45" t="str">
        <f t="shared" si="3"/>
        <v>https://www.tsip.ai/force/4b587016-a9f5-4410-9616-fbd6a20ba933</v>
      </c>
      <c r="E88" s="46" t="b">
        <v>0</v>
      </c>
      <c r="F88" s="43" t="b">
        <v>0</v>
      </c>
      <c r="G88" s="44"/>
      <c r="H88" s="44"/>
      <c r="I88" s="63"/>
      <c r="J88" s="46"/>
      <c r="K88" s="46" t="b">
        <v>0</v>
      </c>
      <c r="L88" s="44"/>
      <c r="M88" s="44"/>
      <c r="N88" s="45" t="str">
        <f t="shared" si="4"/>
        <v>https://admin.tsip.ai/tasks/4b587016-a9f5-4410-9616-fbd6a20ba933</v>
      </c>
      <c r="O88" s="46" t="b">
        <v>0</v>
      </c>
    </row>
    <row r="89">
      <c r="A89" s="5" t="s">
        <v>457</v>
      </c>
      <c r="B89" s="62" t="s">
        <v>458</v>
      </c>
      <c r="C89" s="44"/>
      <c r="D89" s="45" t="str">
        <f t="shared" si="3"/>
        <v>https://www.tsip.ai/force/7aebfb9b-69cd-4555-a762-26b0369f6dd8</v>
      </c>
      <c r="E89" s="46" t="b">
        <v>0</v>
      </c>
      <c r="F89" s="43" t="b">
        <v>0</v>
      </c>
      <c r="G89" s="44"/>
      <c r="H89" s="44"/>
      <c r="I89" s="63"/>
      <c r="J89" s="46"/>
      <c r="K89" s="46" t="b">
        <v>0</v>
      </c>
      <c r="L89" s="44"/>
      <c r="M89" s="44"/>
      <c r="N89" s="45" t="str">
        <f t="shared" si="4"/>
        <v>https://admin.tsip.ai/tasks/7aebfb9b-69cd-4555-a762-26b0369f6dd8</v>
      </c>
      <c r="O89" s="46" t="b">
        <v>0</v>
      </c>
    </row>
    <row r="90">
      <c r="A90" s="5" t="s">
        <v>459</v>
      </c>
      <c r="B90" s="62" t="s">
        <v>460</v>
      </c>
      <c r="C90" s="44"/>
      <c r="D90" s="45" t="str">
        <f t="shared" si="3"/>
        <v>https://www.tsip.ai/force/0481baf2-9e4e-4e0b-ad21-a85fd3606f73</v>
      </c>
      <c r="E90" s="46" t="b">
        <v>0</v>
      </c>
      <c r="F90" s="43" t="b">
        <v>0</v>
      </c>
      <c r="G90" s="44"/>
      <c r="H90" s="44"/>
      <c r="I90" s="63"/>
      <c r="J90" s="46"/>
      <c r="K90" s="46" t="b">
        <v>0</v>
      </c>
      <c r="L90" s="44"/>
      <c r="M90" s="44"/>
      <c r="N90" s="45" t="str">
        <f t="shared" si="4"/>
        <v>https://admin.tsip.ai/tasks/0481baf2-9e4e-4e0b-ad21-a85fd3606f73</v>
      </c>
      <c r="O90" s="46" t="b">
        <v>0</v>
      </c>
    </row>
    <row r="91">
      <c r="A91" s="5" t="s">
        <v>461</v>
      </c>
      <c r="B91" s="62" t="s">
        <v>460</v>
      </c>
      <c r="C91" s="44"/>
      <c r="D91" s="45" t="str">
        <f t="shared" si="3"/>
        <v>https://www.tsip.ai/force/05787ed1-d3c7-482a-9f39-6c29e906bdcb</v>
      </c>
      <c r="E91" s="46" t="b">
        <v>0</v>
      </c>
      <c r="F91" s="43" t="b">
        <v>0</v>
      </c>
      <c r="G91" s="44"/>
      <c r="H91" s="44"/>
      <c r="I91" s="63"/>
      <c r="J91" s="46"/>
      <c r="K91" s="46" t="b">
        <v>0</v>
      </c>
      <c r="L91" s="44"/>
      <c r="M91" s="44"/>
      <c r="N91" s="45" t="str">
        <f t="shared" si="4"/>
        <v>https://admin.tsip.ai/tasks/05787ed1-d3c7-482a-9f39-6c29e906bdcb</v>
      </c>
      <c r="O91" s="46" t="b">
        <v>0</v>
      </c>
    </row>
    <row r="92">
      <c r="A92" s="5" t="s">
        <v>462</v>
      </c>
      <c r="B92" s="62" t="s">
        <v>463</v>
      </c>
      <c r="C92" s="44"/>
      <c r="D92" s="45" t="str">
        <f t="shared" si="3"/>
        <v>https://www.tsip.ai/force/e5accdf0-2c60-4c78-9a8c-18c9f832da21</v>
      </c>
      <c r="E92" s="46" t="b">
        <v>0</v>
      </c>
      <c r="F92" s="43" t="b">
        <v>0</v>
      </c>
      <c r="G92" s="44"/>
      <c r="H92" s="44"/>
      <c r="I92" s="63"/>
      <c r="J92" s="46"/>
      <c r="K92" s="46" t="b">
        <v>0</v>
      </c>
      <c r="L92" s="44"/>
      <c r="M92" s="44"/>
      <c r="N92" s="45" t="str">
        <f t="shared" si="4"/>
        <v>https://admin.tsip.ai/tasks/e5accdf0-2c60-4c78-9a8c-18c9f832da21</v>
      </c>
      <c r="O92" s="46" t="b">
        <v>0</v>
      </c>
    </row>
    <row r="93">
      <c r="A93" s="5" t="s">
        <v>464</v>
      </c>
      <c r="B93" s="62" t="s">
        <v>463</v>
      </c>
      <c r="C93" s="44"/>
      <c r="D93" s="45" t="str">
        <f t="shared" si="3"/>
        <v>https://www.tsip.ai/force/c1ebffc2-228b-4b2c-be8c-275dae694188
</v>
      </c>
      <c r="E93" s="46" t="b">
        <v>0</v>
      </c>
      <c r="F93" s="43" t="b">
        <v>0</v>
      </c>
      <c r="G93" s="44"/>
      <c r="H93" s="44"/>
      <c r="I93" s="63"/>
      <c r="J93" s="46"/>
      <c r="K93" s="46" t="b">
        <v>0</v>
      </c>
      <c r="L93" s="44"/>
      <c r="M93" s="44"/>
      <c r="N93" s="45" t="str">
        <f t="shared" si="4"/>
        <v>https://admin.tsip.ai/tasks/c1ebffc2-228b-4b2c-be8c-275dae694188
</v>
      </c>
      <c r="O93" s="46" t="b">
        <v>0</v>
      </c>
    </row>
    <row r="94">
      <c r="A94" s="5" t="s">
        <v>465</v>
      </c>
      <c r="B94" s="62" t="s">
        <v>466</v>
      </c>
      <c r="C94" s="44"/>
      <c r="D94" s="45" t="str">
        <f t="shared" si="3"/>
        <v>https://www.tsip.ai/force/d06c192b-63d7-46a3-bd55-0460f13302b7</v>
      </c>
      <c r="E94" s="46" t="b">
        <v>0</v>
      </c>
      <c r="F94" s="43" t="b">
        <v>0</v>
      </c>
      <c r="G94" s="44"/>
      <c r="H94" s="44"/>
      <c r="I94" s="63"/>
      <c r="J94" s="46"/>
      <c r="K94" s="46" t="b">
        <v>0</v>
      </c>
      <c r="L94" s="44"/>
      <c r="M94" s="44"/>
      <c r="N94" s="45" t="str">
        <f t="shared" si="4"/>
        <v>https://admin.tsip.ai/tasks/d06c192b-63d7-46a3-bd55-0460f13302b7</v>
      </c>
      <c r="O94" s="46" t="b">
        <v>0</v>
      </c>
    </row>
    <row r="95">
      <c r="A95" s="5" t="s">
        <v>467</v>
      </c>
      <c r="B95" s="62" t="s">
        <v>466</v>
      </c>
      <c r="C95" s="44"/>
      <c r="D95" s="45" t="str">
        <f t="shared" si="3"/>
        <v>https://www.tsip.ai/force/2cc2b5a0-d055-488e-8310-52fbb81c710c</v>
      </c>
      <c r="E95" s="46" t="b">
        <v>0</v>
      </c>
      <c r="F95" s="43" t="b">
        <v>0</v>
      </c>
      <c r="G95" s="44"/>
      <c r="H95" s="44"/>
      <c r="I95" s="63"/>
      <c r="J95" s="46"/>
      <c r="K95" s="46" t="b">
        <v>0</v>
      </c>
      <c r="L95" s="44"/>
      <c r="M95" s="44"/>
      <c r="N95" s="45" t="str">
        <f t="shared" si="4"/>
        <v>https://admin.tsip.ai/tasks/2cc2b5a0-d055-488e-8310-52fbb81c710c</v>
      </c>
      <c r="O95" s="46" t="b">
        <v>0</v>
      </c>
    </row>
    <row r="96">
      <c r="A96" s="5" t="s">
        <v>468</v>
      </c>
      <c r="B96" s="62" t="s">
        <v>469</v>
      </c>
      <c r="C96" s="55" t="s">
        <v>62</v>
      </c>
      <c r="D96" s="45" t="str">
        <f t="shared" si="3"/>
        <v>https://www.tsip.ai/force/9f2ae270-3a3f-4a2b-834a-3e8168c6fccb</v>
      </c>
      <c r="E96" s="46" t="b">
        <v>0</v>
      </c>
      <c r="F96" s="43" t="b">
        <v>0</v>
      </c>
      <c r="G96" s="44"/>
      <c r="H96" s="44"/>
      <c r="I96" s="63"/>
      <c r="J96" s="46"/>
      <c r="K96" s="46" t="b">
        <v>0</v>
      </c>
      <c r="L96" s="44"/>
      <c r="M96" s="44"/>
      <c r="N96" s="45" t="str">
        <f t="shared" si="4"/>
        <v>https://admin.tsip.ai/tasks/9f2ae270-3a3f-4a2b-834a-3e8168c6fccb</v>
      </c>
      <c r="O96" s="46" t="b">
        <v>0</v>
      </c>
    </row>
    <row r="97">
      <c r="A97" s="5" t="s">
        <v>470</v>
      </c>
      <c r="B97" s="62" t="s">
        <v>469</v>
      </c>
      <c r="C97" s="55" t="s">
        <v>62</v>
      </c>
      <c r="D97" s="45" t="str">
        <f t="shared" si="3"/>
        <v>https://www.tsip.ai/force/7a4d86ef-1abc-42d0-8726-877e7a06b1bf</v>
      </c>
      <c r="E97" s="46" t="b">
        <v>0</v>
      </c>
      <c r="F97" s="43" t="b">
        <v>0</v>
      </c>
      <c r="G97" s="44"/>
      <c r="H97" s="44"/>
      <c r="I97" s="63"/>
      <c r="J97" s="46"/>
      <c r="K97" s="46" t="b">
        <v>0</v>
      </c>
      <c r="L97" s="44"/>
      <c r="M97" s="44"/>
      <c r="N97" s="45" t="str">
        <f t="shared" si="4"/>
        <v>https://admin.tsip.ai/tasks/7a4d86ef-1abc-42d0-8726-877e7a06b1bf</v>
      </c>
      <c r="O97" s="46" t="b">
        <v>0</v>
      </c>
    </row>
    <row r="98">
      <c r="A98" s="5" t="s">
        <v>471</v>
      </c>
      <c r="B98" s="62" t="s">
        <v>469</v>
      </c>
      <c r="C98" s="55" t="s">
        <v>62</v>
      </c>
      <c r="D98" s="45" t="str">
        <f t="shared" si="3"/>
        <v>https://www.tsip.ai/force/0202810a-5a62-4920-8d26-7253b5147ead</v>
      </c>
      <c r="E98" s="46" t="b">
        <v>0</v>
      </c>
      <c r="F98" s="43" t="b">
        <v>0</v>
      </c>
      <c r="G98" s="44"/>
      <c r="H98" s="44"/>
      <c r="I98" s="63"/>
      <c r="J98" s="46"/>
      <c r="K98" s="46" t="b">
        <v>0</v>
      </c>
      <c r="L98" s="44"/>
      <c r="M98" s="44"/>
      <c r="N98" s="45" t="str">
        <f t="shared" si="4"/>
        <v>https://admin.tsip.ai/tasks/0202810a-5a62-4920-8d26-7253b5147ead</v>
      </c>
      <c r="O98" s="46" t="b">
        <v>0</v>
      </c>
    </row>
    <row r="99">
      <c r="A99" s="5" t="s">
        <v>472</v>
      </c>
      <c r="B99" s="62" t="s">
        <v>469</v>
      </c>
      <c r="C99" s="55" t="s">
        <v>62</v>
      </c>
      <c r="D99" s="45" t="str">
        <f t="shared" si="3"/>
        <v>https://www.tsip.ai/force/b41df2fb-159e-4dbc-bc4e-b51d4199f0d9</v>
      </c>
      <c r="E99" s="46" t="b">
        <v>0</v>
      </c>
      <c r="F99" s="43" t="b">
        <v>0</v>
      </c>
      <c r="G99" s="44"/>
      <c r="H99" s="44"/>
      <c r="I99" s="63"/>
      <c r="J99" s="46"/>
      <c r="K99" s="46" t="b">
        <v>0</v>
      </c>
      <c r="L99" s="44"/>
      <c r="M99" s="44"/>
      <c r="N99" s="45" t="str">
        <f t="shared" si="4"/>
        <v>https://admin.tsip.ai/tasks/b41df2fb-159e-4dbc-bc4e-b51d4199f0d9</v>
      </c>
      <c r="O99" s="46" t="b">
        <v>0</v>
      </c>
    </row>
    <row r="100">
      <c r="A100" s="5" t="s">
        <v>473</v>
      </c>
      <c r="B100" s="62" t="s">
        <v>469</v>
      </c>
      <c r="C100" s="55" t="s">
        <v>62</v>
      </c>
      <c r="D100" s="45" t="str">
        <f t="shared" si="3"/>
        <v>https://www.tsip.ai/force/025f945c-f629-410a-981e-9f92d10c3ad5</v>
      </c>
      <c r="E100" s="46" t="b">
        <v>0</v>
      </c>
      <c r="F100" s="43" t="b">
        <v>0</v>
      </c>
      <c r="G100" s="44"/>
      <c r="H100" s="44"/>
      <c r="I100" s="63"/>
      <c r="J100" s="46"/>
      <c r="K100" s="46" t="b">
        <v>0</v>
      </c>
      <c r="L100" s="44"/>
      <c r="M100" s="44"/>
      <c r="N100" s="45" t="str">
        <f t="shared" si="4"/>
        <v>https://admin.tsip.ai/tasks/025f945c-f629-410a-981e-9f92d10c3ad5</v>
      </c>
      <c r="O100" s="46" t="b">
        <v>0</v>
      </c>
    </row>
    <row r="101">
      <c r="A101" s="5" t="s">
        <v>474</v>
      </c>
      <c r="B101" s="62" t="s">
        <v>469</v>
      </c>
      <c r="C101" s="55" t="s">
        <v>62</v>
      </c>
      <c r="D101" s="45" t="str">
        <f t="shared" si="3"/>
        <v>https://www.tsip.ai/force/7c3d919a-6159-4a7a-8fa8-bb31012b1894</v>
      </c>
      <c r="E101" s="46" t="b">
        <v>0</v>
      </c>
      <c r="F101" s="43" t="b">
        <v>0</v>
      </c>
      <c r="G101" s="44"/>
      <c r="H101" s="44"/>
      <c r="I101" s="63"/>
      <c r="J101" s="46"/>
      <c r="K101" s="46" t="b">
        <v>0</v>
      </c>
      <c r="L101" s="44"/>
      <c r="M101" s="44"/>
      <c r="N101" s="45" t="str">
        <f t="shared" si="4"/>
        <v>https://admin.tsip.ai/tasks/7c3d919a-6159-4a7a-8fa8-bb31012b1894</v>
      </c>
      <c r="O101" s="46" t="b">
        <v>0</v>
      </c>
    </row>
    <row r="102">
      <c r="A102" s="5" t="s">
        <v>475</v>
      </c>
      <c r="B102" s="62" t="s">
        <v>469</v>
      </c>
      <c r="C102" s="55" t="s">
        <v>62</v>
      </c>
      <c r="D102" s="45" t="str">
        <f t="shared" si="3"/>
        <v>https://www.tsip.ai/force/7f0f0a7d-96de-4895-95c5-d5fdfa447b6e</v>
      </c>
      <c r="E102" s="46" t="b">
        <v>0</v>
      </c>
      <c r="F102" s="43" t="b">
        <v>0</v>
      </c>
      <c r="G102" s="44"/>
      <c r="H102" s="44"/>
      <c r="I102" s="63"/>
      <c r="J102" s="46"/>
      <c r="K102" s="46" t="b">
        <v>0</v>
      </c>
      <c r="L102" s="44"/>
      <c r="M102" s="44"/>
      <c r="N102" s="45" t="str">
        <f t="shared" si="4"/>
        <v>https://admin.tsip.ai/tasks/7f0f0a7d-96de-4895-95c5-d5fdfa447b6e</v>
      </c>
      <c r="O102" s="46" t="b">
        <v>0</v>
      </c>
    </row>
    <row r="103">
      <c r="A103" s="5" t="s">
        <v>476</v>
      </c>
      <c r="B103" s="62" t="s">
        <v>477</v>
      </c>
      <c r="C103" s="44"/>
      <c r="D103" s="45" t="str">
        <f t="shared" si="3"/>
        <v>https://www.tsip.ai/force/907ad224-3d04-4a70-a6c5-bba9d6c1f174</v>
      </c>
      <c r="E103" s="46" t="b">
        <v>0</v>
      </c>
      <c r="F103" s="43" t="b">
        <v>0</v>
      </c>
      <c r="G103" s="44"/>
      <c r="H103" s="44"/>
      <c r="I103" s="63"/>
      <c r="J103" s="46"/>
      <c r="K103" s="46" t="b">
        <v>0</v>
      </c>
      <c r="L103" s="44"/>
      <c r="M103" s="44"/>
      <c r="N103" s="45" t="str">
        <f t="shared" si="4"/>
        <v>https://admin.tsip.ai/tasks/907ad224-3d04-4a70-a6c5-bba9d6c1f174</v>
      </c>
      <c r="O103" s="46" t="b">
        <v>0</v>
      </c>
    </row>
    <row r="104">
      <c r="A104" s="5" t="s">
        <v>478</v>
      </c>
      <c r="B104" s="62" t="s">
        <v>477</v>
      </c>
      <c r="C104" s="44"/>
      <c r="D104" s="45" t="str">
        <f t="shared" si="3"/>
        <v>https://www.tsip.ai/force/30d91a42-ab2a-4876-9215-1c43b9a9dd96</v>
      </c>
      <c r="E104" s="46" t="b">
        <v>0</v>
      </c>
      <c r="F104" s="43" t="b">
        <v>0</v>
      </c>
      <c r="G104" s="44"/>
      <c r="H104" s="44"/>
      <c r="I104" s="63"/>
      <c r="J104" s="46"/>
      <c r="K104" s="46" t="b">
        <v>0</v>
      </c>
      <c r="L104" s="44"/>
      <c r="M104" s="44"/>
      <c r="N104" s="45" t="str">
        <f t="shared" si="4"/>
        <v>https://admin.tsip.ai/tasks/30d91a42-ab2a-4876-9215-1c43b9a9dd96</v>
      </c>
      <c r="O104" s="46" t="b">
        <v>0</v>
      </c>
    </row>
    <row r="105">
      <c r="A105" s="5" t="s">
        <v>479</v>
      </c>
      <c r="B105" s="62" t="s">
        <v>480</v>
      </c>
      <c r="C105" s="55" t="s">
        <v>36</v>
      </c>
      <c r="D105" s="45" t="str">
        <f t="shared" si="3"/>
        <v>https://www.tsip.ai/force/13bed429-728c-4aba-b521-68f72a0efcb2</v>
      </c>
      <c r="E105" s="46" t="b">
        <v>0</v>
      </c>
      <c r="F105" s="43" t="b">
        <v>0</v>
      </c>
      <c r="G105" s="44"/>
      <c r="H105" s="44"/>
      <c r="I105" s="63"/>
      <c r="J105" s="46"/>
      <c r="K105" s="46" t="b">
        <v>0</v>
      </c>
      <c r="L105" s="44"/>
      <c r="M105" s="44"/>
      <c r="N105" s="45" t="str">
        <f t="shared" si="4"/>
        <v>https://admin.tsip.ai/tasks/13bed429-728c-4aba-b521-68f72a0efcb2</v>
      </c>
      <c r="O105" s="46" t="b">
        <v>0</v>
      </c>
    </row>
    <row r="106">
      <c r="A106" s="5" t="s">
        <v>481</v>
      </c>
      <c r="B106" s="62" t="s">
        <v>480</v>
      </c>
      <c r="C106" s="55" t="s">
        <v>36</v>
      </c>
      <c r="D106" s="45" t="str">
        <f t="shared" si="3"/>
        <v>https://www.tsip.ai/force/c1e5d2e2-7dfe-4d47-88c2-b9b2acfe08ed</v>
      </c>
      <c r="E106" s="46" t="b">
        <v>0</v>
      </c>
      <c r="F106" s="43" t="b">
        <v>0</v>
      </c>
      <c r="G106" s="44"/>
      <c r="H106" s="44"/>
      <c r="I106" s="63"/>
      <c r="J106" s="46"/>
      <c r="K106" s="46" t="b">
        <v>0</v>
      </c>
      <c r="L106" s="44"/>
      <c r="M106" s="44"/>
      <c r="N106" s="45" t="str">
        <f t="shared" si="4"/>
        <v>https://admin.tsip.ai/tasks/c1e5d2e2-7dfe-4d47-88c2-b9b2acfe08ed</v>
      </c>
      <c r="O106" s="46" t="b">
        <v>0</v>
      </c>
    </row>
    <row r="107">
      <c r="A107" s="5" t="s">
        <v>482</v>
      </c>
      <c r="B107" s="62" t="s">
        <v>483</v>
      </c>
      <c r="C107" s="55" t="s">
        <v>68</v>
      </c>
      <c r="D107" s="45" t="str">
        <f t="shared" si="3"/>
        <v>https://www.tsip.ai/force/c59e8351-f94e-4026-8694-7c8abdafa435</v>
      </c>
      <c r="E107" s="46" t="b">
        <v>0</v>
      </c>
      <c r="F107" s="43" t="b">
        <v>0</v>
      </c>
      <c r="G107" s="44"/>
      <c r="H107" s="44"/>
      <c r="I107" s="63"/>
      <c r="J107" s="46"/>
      <c r="K107" s="46" t="b">
        <v>0</v>
      </c>
      <c r="L107" s="44"/>
      <c r="M107" s="44"/>
      <c r="N107" s="45" t="str">
        <f t="shared" si="4"/>
        <v>https://admin.tsip.ai/tasks/c59e8351-f94e-4026-8694-7c8abdafa435</v>
      </c>
      <c r="O107" s="46" t="b">
        <v>0</v>
      </c>
    </row>
    <row r="108">
      <c r="A108" s="5" t="s">
        <v>484</v>
      </c>
      <c r="B108" s="62" t="s">
        <v>483</v>
      </c>
      <c r="C108" s="55" t="s">
        <v>68</v>
      </c>
      <c r="D108" s="45" t="str">
        <f t="shared" si="3"/>
        <v>https://www.tsip.ai/force/d316596d-46dd-4a85-ab7d-86298959a0b7</v>
      </c>
      <c r="E108" s="46" t="b">
        <v>0</v>
      </c>
      <c r="F108" s="43" t="b">
        <v>0</v>
      </c>
      <c r="G108" s="44"/>
      <c r="H108" s="44"/>
      <c r="I108" s="63"/>
      <c r="J108" s="46"/>
      <c r="K108" s="46" t="b">
        <v>0</v>
      </c>
      <c r="L108" s="44"/>
      <c r="M108" s="44"/>
      <c r="N108" s="45" t="str">
        <f t="shared" si="4"/>
        <v>https://admin.tsip.ai/tasks/d316596d-46dd-4a85-ab7d-86298959a0b7</v>
      </c>
      <c r="O108" s="46" t="b">
        <v>0</v>
      </c>
    </row>
    <row r="109">
      <c r="A109" s="5" t="s">
        <v>485</v>
      </c>
      <c r="B109" s="62" t="s">
        <v>483</v>
      </c>
      <c r="C109" s="55" t="s">
        <v>68</v>
      </c>
      <c r="D109" s="45" t="str">
        <f t="shared" si="3"/>
        <v>https://www.tsip.ai/force/9f5306e9-6747-4003-b15a-f5770277f73f</v>
      </c>
      <c r="E109" s="46" t="b">
        <v>0</v>
      </c>
      <c r="F109" s="43" t="b">
        <v>0</v>
      </c>
      <c r="G109" s="44"/>
      <c r="H109" s="44"/>
      <c r="I109" s="63"/>
      <c r="J109" s="46"/>
      <c r="K109" s="46" t="b">
        <v>0</v>
      </c>
      <c r="L109" s="44"/>
      <c r="M109" s="44"/>
      <c r="N109" s="45" t="str">
        <f t="shared" si="4"/>
        <v>https://admin.tsip.ai/tasks/9f5306e9-6747-4003-b15a-f5770277f73f</v>
      </c>
      <c r="O109" s="46" t="b">
        <v>0</v>
      </c>
    </row>
    <row r="110">
      <c r="A110" s="5" t="s">
        <v>486</v>
      </c>
      <c r="B110" s="62" t="s">
        <v>483</v>
      </c>
      <c r="C110" s="55" t="s">
        <v>68</v>
      </c>
      <c r="D110" s="45" t="str">
        <f t="shared" si="3"/>
        <v>https://www.tsip.ai/force/2dd5f4c7-db31-472c-9dee-9de3562c9f18</v>
      </c>
      <c r="E110" s="46" t="b">
        <v>0</v>
      </c>
      <c r="F110" s="43" t="b">
        <v>0</v>
      </c>
      <c r="G110" s="44"/>
      <c r="H110" s="44"/>
      <c r="I110" s="63"/>
      <c r="J110" s="46"/>
      <c r="K110" s="46" t="b">
        <v>0</v>
      </c>
      <c r="L110" s="44"/>
      <c r="M110" s="44"/>
      <c r="N110" s="45" t="str">
        <f t="shared" si="4"/>
        <v>https://admin.tsip.ai/tasks/2dd5f4c7-db31-472c-9dee-9de3562c9f18</v>
      </c>
      <c r="O110" s="46" t="b">
        <v>0</v>
      </c>
    </row>
    <row r="111">
      <c r="A111" s="5" t="s">
        <v>487</v>
      </c>
      <c r="B111" s="62" t="s">
        <v>488</v>
      </c>
      <c r="C111" s="44"/>
      <c r="D111" s="45" t="str">
        <f t="shared" si="3"/>
        <v>https://www.tsip.ai/force/2e9735a4-f0d0-4f41-b03f-83b5268907ba</v>
      </c>
      <c r="E111" s="46" t="b">
        <v>0</v>
      </c>
      <c r="F111" s="43" t="b">
        <v>0</v>
      </c>
      <c r="G111" s="44"/>
      <c r="H111" s="44"/>
      <c r="I111" s="63"/>
      <c r="J111" s="46"/>
      <c r="K111" s="46" t="b">
        <v>0</v>
      </c>
      <c r="L111" s="44"/>
      <c r="M111" s="44"/>
      <c r="N111" s="45" t="str">
        <f t="shared" si="4"/>
        <v>https://admin.tsip.ai/tasks/2e9735a4-f0d0-4f41-b03f-83b5268907ba</v>
      </c>
      <c r="O111" s="46" t="b">
        <v>0</v>
      </c>
    </row>
    <row r="112">
      <c r="A112" s="5" t="s">
        <v>489</v>
      </c>
      <c r="B112" s="62" t="s">
        <v>488</v>
      </c>
      <c r="C112" s="44"/>
      <c r="D112" s="45" t="str">
        <f t="shared" si="3"/>
        <v>https://www.tsip.ai/force/08083af4-f0a6-4ff4-ba3f-c1ad68dd5a7e</v>
      </c>
      <c r="E112" s="46" t="b">
        <v>0</v>
      </c>
      <c r="F112" s="43" t="b">
        <v>0</v>
      </c>
      <c r="G112" s="44"/>
      <c r="H112" s="44"/>
      <c r="I112" s="63"/>
      <c r="J112" s="46"/>
      <c r="K112" s="46" t="b">
        <v>0</v>
      </c>
      <c r="L112" s="44"/>
      <c r="M112" s="44"/>
      <c r="N112" s="45" t="str">
        <f t="shared" si="4"/>
        <v>https://admin.tsip.ai/tasks/08083af4-f0a6-4ff4-ba3f-c1ad68dd5a7e</v>
      </c>
      <c r="O112" s="46" t="b">
        <v>0</v>
      </c>
    </row>
    <row r="113">
      <c r="A113" s="5" t="s">
        <v>490</v>
      </c>
      <c r="B113" s="62" t="s">
        <v>488</v>
      </c>
      <c r="C113" s="44"/>
      <c r="D113" s="45" t="str">
        <f t="shared" si="3"/>
        <v>https://www.tsip.ai/force/5e8b8527-5965-45b6-9efd-3c5b66a9c3f0</v>
      </c>
      <c r="E113" s="46" t="b">
        <v>0</v>
      </c>
      <c r="F113" s="43" t="b">
        <v>0</v>
      </c>
      <c r="G113" s="44"/>
      <c r="H113" s="44"/>
      <c r="I113" s="63"/>
      <c r="J113" s="46"/>
      <c r="K113" s="46" t="b">
        <v>0</v>
      </c>
      <c r="L113" s="44"/>
      <c r="M113" s="44"/>
      <c r="N113" s="45" t="str">
        <f t="shared" si="4"/>
        <v>https://admin.tsip.ai/tasks/5e8b8527-5965-45b6-9efd-3c5b66a9c3f0</v>
      </c>
      <c r="O113" s="46" t="b">
        <v>0</v>
      </c>
    </row>
    <row r="114">
      <c r="A114" s="5" t="s">
        <v>491</v>
      </c>
      <c r="B114" s="62" t="s">
        <v>492</v>
      </c>
      <c r="C114" s="55"/>
      <c r="D114" s="45" t="str">
        <f t="shared" si="3"/>
        <v>https://www.tsip.ai/force/ab0997f3-3d2e-4e81-9012-efaab117cea0</v>
      </c>
      <c r="E114" s="46" t="b">
        <v>0</v>
      </c>
      <c r="F114" s="43" t="b">
        <v>0</v>
      </c>
      <c r="G114" s="44"/>
      <c r="H114" s="44"/>
      <c r="I114" s="63"/>
      <c r="J114" s="46"/>
      <c r="K114" s="46" t="b">
        <v>0</v>
      </c>
      <c r="L114" s="44"/>
      <c r="M114" s="44"/>
      <c r="N114" s="45" t="str">
        <f t="shared" si="4"/>
        <v>https://admin.tsip.ai/tasks/ab0997f3-3d2e-4e81-9012-efaab117cea0</v>
      </c>
      <c r="O114" s="46" t="b">
        <v>0</v>
      </c>
    </row>
    <row r="115">
      <c r="A115" s="5" t="s">
        <v>493</v>
      </c>
      <c r="B115" s="62" t="s">
        <v>492</v>
      </c>
      <c r="C115" s="55"/>
      <c r="D115" s="45" t="str">
        <f t="shared" si="3"/>
        <v>https://www.tsip.ai/force/4e0baa3f-917a-4dcd-ab7c-f9c34e8018dd</v>
      </c>
      <c r="E115" s="46" t="b">
        <v>0</v>
      </c>
      <c r="F115" s="43" t="b">
        <v>0</v>
      </c>
      <c r="G115" s="44"/>
      <c r="H115" s="44"/>
      <c r="I115" s="63"/>
      <c r="J115" s="46"/>
      <c r="K115" s="46" t="b">
        <v>0</v>
      </c>
      <c r="L115" s="44"/>
      <c r="M115" s="44"/>
      <c r="N115" s="45" t="str">
        <f t="shared" si="4"/>
        <v>https://admin.tsip.ai/tasks/4e0baa3f-917a-4dcd-ab7c-f9c34e8018dd</v>
      </c>
      <c r="O115" s="46" t="b">
        <v>0</v>
      </c>
    </row>
    <row r="116">
      <c r="A116" s="5" t="s">
        <v>494</v>
      </c>
      <c r="B116" s="62" t="s">
        <v>492</v>
      </c>
      <c r="C116" s="55"/>
      <c r="D116" s="45" t="str">
        <f t="shared" si="3"/>
        <v>https://www.tsip.ai/force/6bf5e5f7-e000-4a3c-889f-2e2041b56255</v>
      </c>
      <c r="E116" s="46" t="b">
        <v>0</v>
      </c>
      <c r="F116" s="43" t="b">
        <v>0</v>
      </c>
      <c r="G116" s="44"/>
      <c r="H116" s="44"/>
      <c r="I116" s="63"/>
      <c r="J116" s="46"/>
      <c r="K116" s="46" t="b">
        <v>0</v>
      </c>
      <c r="L116" s="44"/>
      <c r="M116" s="44"/>
      <c r="N116" s="45" t="str">
        <f t="shared" si="4"/>
        <v>https://admin.tsip.ai/tasks/6bf5e5f7-e000-4a3c-889f-2e2041b56255</v>
      </c>
      <c r="O116" s="46" t="b">
        <v>0</v>
      </c>
    </row>
    <row r="117">
      <c r="A117" s="5" t="s">
        <v>495</v>
      </c>
      <c r="B117" s="62" t="s">
        <v>496</v>
      </c>
      <c r="C117" s="55" t="s">
        <v>14</v>
      </c>
      <c r="D117" s="45" t="str">
        <f t="shared" si="3"/>
        <v>https://www.tsip.ai/force/9598883b-6b95-4563-ac03-7c0868829bb3</v>
      </c>
      <c r="E117" s="46" t="b">
        <v>0</v>
      </c>
      <c r="F117" s="43" t="b">
        <v>0</v>
      </c>
      <c r="G117" s="44"/>
      <c r="H117" s="44"/>
      <c r="I117" s="63"/>
      <c r="J117" s="46"/>
      <c r="K117" s="46" t="b">
        <v>0</v>
      </c>
      <c r="L117" s="44"/>
      <c r="M117" s="44"/>
      <c r="N117" s="45" t="str">
        <f t="shared" si="4"/>
        <v>https://admin.tsip.ai/tasks/9598883b-6b95-4563-ac03-7c0868829bb3</v>
      </c>
      <c r="O117" s="46" t="b">
        <v>0</v>
      </c>
    </row>
    <row r="118">
      <c r="A118" s="5" t="s">
        <v>497</v>
      </c>
      <c r="B118" s="62" t="s">
        <v>496</v>
      </c>
      <c r="C118" s="55" t="s">
        <v>14</v>
      </c>
      <c r="D118" s="45" t="str">
        <f t="shared" si="3"/>
        <v>https://www.tsip.ai/force/6300450e-1386-4729-9302-b07bccc6389f</v>
      </c>
      <c r="E118" s="46" t="b">
        <v>0</v>
      </c>
      <c r="F118" s="43" t="b">
        <v>0</v>
      </c>
      <c r="G118" s="44"/>
      <c r="H118" s="44"/>
      <c r="I118" s="63"/>
      <c r="J118" s="46"/>
      <c r="K118" s="46" t="b">
        <v>0</v>
      </c>
      <c r="L118" s="44"/>
      <c r="M118" s="44"/>
      <c r="N118" s="45" t="str">
        <f t="shared" si="4"/>
        <v>https://admin.tsip.ai/tasks/6300450e-1386-4729-9302-b07bccc6389f</v>
      </c>
      <c r="O118" s="46" t="b">
        <v>0</v>
      </c>
    </row>
    <row r="119">
      <c r="A119" s="5" t="s">
        <v>498</v>
      </c>
      <c r="B119" s="62" t="s">
        <v>496</v>
      </c>
      <c r="C119" s="55" t="s">
        <v>14</v>
      </c>
      <c r="D119" s="45" t="str">
        <f t="shared" si="3"/>
        <v>https://www.tsip.ai/force/a7505bbc-659c-4ab0-bb9b-471674a0debb</v>
      </c>
      <c r="E119" s="46" t="b">
        <v>0</v>
      </c>
      <c r="F119" s="43" t="b">
        <v>0</v>
      </c>
      <c r="G119" s="44"/>
      <c r="H119" s="44"/>
      <c r="I119" s="63"/>
      <c r="J119" s="46"/>
      <c r="K119" s="46" t="b">
        <v>0</v>
      </c>
      <c r="L119" s="44"/>
      <c r="M119" s="44"/>
      <c r="N119" s="45" t="str">
        <f t="shared" si="4"/>
        <v>https://admin.tsip.ai/tasks/a7505bbc-659c-4ab0-bb9b-471674a0debb</v>
      </c>
      <c r="O119" s="46" t="b">
        <v>0</v>
      </c>
    </row>
    <row r="120">
      <c r="A120" s="5" t="s">
        <v>499</v>
      </c>
      <c r="B120" s="62" t="s">
        <v>496</v>
      </c>
      <c r="C120" s="55" t="s">
        <v>14</v>
      </c>
      <c r="D120" s="45" t="str">
        <f t="shared" si="3"/>
        <v>https://www.tsip.ai/force/6a0f33cb-3caa-4a03-96c2-52b7f5940f58</v>
      </c>
      <c r="E120" s="46" t="b">
        <v>0</v>
      </c>
      <c r="F120" s="43" t="b">
        <v>0</v>
      </c>
      <c r="G120" s="44"/>
      <c r="H120" s="44"/>
      <c r="I120" s="63"/>
      <c r="J120" s="46"/>
      <c r="K120" s="46" t="b">
        <v>0</v>
      </c>
      <c r="L120" s="44"/>
      <c r="M120" s="44"/>
      <c r="N120" s="45" t="str">
        <f t="shared" si="4"/>
        <v>https://admin.tsip.ai/tasks/6a0f33cb-3caa-4a03-96c2-52b7f5940f58</v>
      </c>
      <c r="O120" s="46" t="b">
        <v>0</v>
      </c>
    </row>
    <row r="121">
      <c r="A121" s="5" t="s">
        <v>500</v>
      </c>
      <c r="B121" s="62" t="s">
        <v>496</v>
      </c>
      <c r="C121" s="55" t="s">
        <v>14</v>
      </c>
      <c r="D121" s="45" t="str">
        <f t="shared" si="3"/>
        <v>https://www.tsip.ai/force/8d61818f-6a73-44c5-8774-f645dbf0e134</v>
      </c>
      <c r="E121" s="46" t="b">
        <v>0</v>
      </c>
      <c r="F121" s="43" t="b">
        <v>0</v>
      </c>
      <c r="G121" s="44"/>
      <c r="H121" s="44"/>
      <c r="I121" s="63"/>
      <c r="J121" s="46"/>
      <c r="K121" s="46" t="b">
        <v>0</v>
      </c>
      <c r="L121" s="44"/>
      <c r="M121" s="44"/>
      <c r="N121" s="45" t="str">
        <f t="shared" si="4"/>
        <v>https://admin.tsip.ai/tasks/8d61818f-6a73-44c5-8774-f645dbf0e134</v>
      </c>
      <c r="O121" s="46" t="b">
        <v>0</v>
      </c>
    </row>
    <row r="122">
      <c r="A122" s="5" t="s">
        <v>501</v>
      </c>
      <c r="B122" s="62" t="s">
        <v>496</v>
      </c>
      <c r="C122" s="55" t="s">
        <v>14</v>
      </c>
      <c r="D122" s="45" t="str">
        <f t="shared" si="3"/>
        <v>https://www.tsip.ai/force/b903d8d3-af02-4e79-b3e8-53c36528acef</v>
      </c>
      <c r="E122" s="46" t="b">
        <v>0</v>
      </c>
      <c r="F122" s="43" t="b">
        <v>0</v>
      </c>
      <c r="G122" s="44"/>
      <c r="H122" s="44"/>
      <c r="I122" s="63"/>
      <c r="J122" s="46"/>
      <c r="K122" s="46" t="b">
        <v>0</v>
      </c>
      <c r="L122" s="44"/>
      <c r="M122" s="44"/>
      <c r="N122" s="45" t="str">
        <f t="shared" si="4"/>
        <v>https://admin.tsip.ai/tasks/b903d8d3-af02-4e79-b3e8-53c36528acef</v>
      </c>
      <c r="O122" s="46" t="b">
        <v>0</v>
      </c>
    </row>
    <row r="123">
      <c r="A123" s="5" t="s">
        <v>502</v>
      </c>
      <c r="B123" s="62" t="s">
        <v>503</v>
      </c>
      <c r="C123" s="55"/>
      <c r="D123" s="45" t="str">
        <f t="shared" si="3"/>
        <v>https://www.tsip.ai/force/13fc0d7b-5d27-43e5-8216-db59d68d4960</v>
      </c>
      <c r="E123" s="46" t="b">
        <v>0</v>
      </c>
      <c r="F123" s="43" t="b">
        <v>0</v>
      </c>
      <c r="G123" s="44"/>
      <c r="H123" s="44"/>
      <c r="I123" s="63"/>
      <c r="J123" s="46"/>
      <c r="K123" s="46" t="b">
        <v>0</v>
      </c>
      <c r="L123" s="44"/>
      <c r="M123" s="44"/>
      <c r="N123" s="45" t="str">
        <f t="shared" si="4"/>
        <v>https://admin.tsip.ai/tasks/13fc0d7b-5d27-43e5-8216-db59d68d4960</v>
      </c>
      <c r="O123" s="46" t="b">
        <v>0</v>
      </c>
    </row>
    <row r="124">
      <c r="A124" s="5" t="s">
        <v>504</v>
      </c>
      <c r="B124" s="62" t="s">
        <v>503</v>
      </c>
      <c r="C124" s="55"/>
      <c r="D124" s="45" t="str">
        <f t="shared" si="3"/>
        <v>https://www.tsip.ai/force/ed86c770-9c1c-4fe6-aeb5-9b5ea3d2b382</v>
      </c>
      <c r="E124" s="46" t="b">
        <v>0</v>
      </c>
      <c r="F124" s="43" t="b">
        <v>0</v>
      </c>
      <c r="G124" s="44"/>
      <c r="H124" s="44"/>
      <c r="I124" s="63"/>
      <c r="J124" s="46"/>
      <c r="K124" s="46" t="b">
        <v>0</v>
      </c>
      <c r="L124" s="44"/>
      <c r="M124" s="44"/>
      <c r="N124" s="45" t="str">
        <f t="shared" si="4"/>
        <v>https://admin.tsip.ai/tasks/ed86c770-9c1c-4fe6-aeb5-9b5ea3d2b382</v>
      </c>
      <c r="O124" s="46" t="b">
        <v>0</v>
      </c>
    </row>
    <row r="125">
      <c r="A125" s="5" t="s">
        <v>505</v>
      </c>
      <c r="B125" s="62" t="s">
        <v>506</v>
      </c>
      <c r="C125" s="55"/>
      <c r="D125" s="45" t="str">
        <f t="shared" si="3"/>
        <v>https://www.tsip.ai/force/459e9837-6a85-4991-9270-eba93b055753</v>
      </c>
      <c r="E125" s="46" t="b">
        <v>0</v>
      </c>
      <c r="F125" s="43" t="b">
        <v>0</v>
      </c>
      <c r="G125" s="44"/>
      <c r="H125" s="44"/>
      <c r="I125" s="63"/>
      <c r="J125" s="46"/>
      <c r="K125" s="46" t="b">
        <v>0</v>
      </c>
      <c r="L125" s="44"/>
      <c r="M125" s="44"/>
      <c r="N125" s="45" t="str">
        <f t="shared" si="4"/>
        <v>https://admin.tsip.ai/tasks/459e9837-6a85-4991-9270-eba93b055753</v>
      </c>
      <c r="O125" s="46" t="b">
        <v>0</v>
      </c>
    </row>
    <row r="126">
      <c r="A126" s="5" t="s">
        <v>507</v>
      </c>
      <c r="B126" s="62" t="s">
        <v>506</v>
      </c>
      <c r="C126" s="55"/>
      <c r="D126" s="45" t="str">
        <f t="shared" si="3"/>
        <v>https://www.tsip.ai/force/9b37dc2e-9627-474d-a626-2855d2cffb96</v>
      </c>
      <c r="E126" s="46" t="b">
        <v>0</v>
      </c>
      <c r="F126" s="43" t="b">
        <v>0</v>
      </c>
      <c r="G126" s="44"/>
      <c r="H126" s="44"/>
      <c r="I126" s="63"/>
      <c r="J126" s="46"/>
      <c r="K126" s="46" t="b">
        <v>0</v>
      </c>
      <c r="L126" s="44"/>
      <c r="M126" s="44"/>
      <c r="N126" s="45" t="str">
        <f t="shared" si="4"/>
        <v>https://admin.tsip.ai/tasks/9b37dc2e-9627-474d-a626-2855d2cffb96</v>
      </c>
      <c r="O126" s="46" t="b">
        <v>0</v>
      </c>
    </row>
    <row r="127">
      <c r="A127" s="5" t="s">
        <v>508</v>
      </c>
      <c r="B127" s="62" t="s">
        <v>509</v>
      </c>
      <c r="C127" s="44"/>
      <c r="D127" s="45" t="str">
        <f t="shared" si="3"/>
        <v>https://www.tsip.ai/force/c947de21-6bfc-45a3-8d88-434ac4a7fd40</v>
      </c>
      <c r="E127" s="46" t="b">
        <v>0</v>
      </c>
      <c r="F127" s="43" t="b">
        <v>0</v>
      </c>
      <c r="G127" s="44"/>
      <c r="H127" s="44"/>
      <c r="I127" s="63"/>
      <c r="J127" s="46"/>
      <c r="K127" s="46" t="b">
        <v>0</v>
      </c>
      <c r="L127" s="44"/>
      <c r="M127" s="44"/>
      <c r="N127" s="45" t="str">
        <f t="shared" si="4"/>
        <v>https://admin.tsip.ai/tasks/c947de21-6bfc-45a3-8d88-434ac4a7fd40</v>
      </c>
      <c r="O127" s="46" t="b">
        <v>0</v>
      </c>
    </row>
    <row r="128">
      <c r="A128" s="5" t="s">
        <v>510</v>
      </c>
      <c r="B128" s="62" t="s">
        <v>511</v>
      </c>
      <c r="C128" s="55" t="s">
        <v>512</v>
      </c>
      <c r="D128" s="45" t="str">
        <f t="shared" si="3"/>
        <v>https://www.tsip.ai/force/9808b028-6a5e-4590-9344-7aed5eb3e88c</v>
      </c>
      <c r="E128" s="46" t="b">
        <v>0</v>
      </c>
      <c r="F128" s="43" t="b">
        <v>0</v>
      </c>
      <c r="G128" s="44"/>
      <c r="H128" s="44"/>
      <c r="I128" s="63"/>
      <c r="J128" s="46"/>
      <c r="K128" s="46" t="b">
        <v>0</v>
      </c>
      <c r="L128" s="44"/>
      <c r="M128" s="44"/>
      <c r="N128" s="45" t="str">
        <f t="shared" si="4"/>
        <v>https://admin.tsip.ai/tasks/9808b028-6a5e-4590-9344-7aed5eb3e88c</v>
      </c>
      <c r="O128" s="46" t="b">
        <v>0</v>
      </c>
    </row>
    <row r="129">
      <c r="A129" s="5" t="s">
        <v>513</v>
      </c>
      <c r="B129" s="62" t="s">
        <v>511</v>
      </c>
      <c r="C129" s="55" t="s">
        <v>512</v>
      </c>
      <c r="D129" s="45" t="str">
        <f t="shared" si="3"/>
        <v>https://www.tsip.ai/force/2e9abb50-dcdb-4596-b1bb-c32026fc4253</v>
      </c>
      <c r="E129" s="46" t="b">
        <v>0</v>
      </c>
      <c r="F129" s="43" t="b">
        <v>0</v>
      </c>
      <c r="G129" s="44"/>
      <c r="H129" s="44"/>
      <c r="I129" s="63"/>
      <c r="J129" s="46"/>
      <c r="K129" s="46" t="b">
        <v>0</v>
      </c>
      <c r="L129" s="44"/>
      <c r="M129" s="44"/>
      <c r="N129" s="45" t="str">
        <f t="shared" si="4"/>
        <v>https://admin.tsip.ai/tasks/2e9abb50-dcdb-4596-b1bb-c32026fc4253</v>
      </c>
      <c r="O129" s="46" t="b">
        <v>0</v>
      </c>
    </row>
    <row r="130">
      <c r="A130" s="5" t="s">
        <v>514</v>
      </c>
      <c r="B130" s="62" t="s">
        <v>515</v>
      </c>
      <c r="C130" s="44"/>
      <c r="D130" s="45" t="str">
        <f t="shared" si="3"/>
        <v>https://www.tsip.ai/force/ec262293-82ff-4705-bddf-ca9911d465a5</v>
      </c>
      <c r="E130" s="46" t="b">
        <v>0</v>
      </c>
      <c r="F130" s="43" t="b">
        <v>0</v>
      </c>
      <c r="G130" s="44"/>
      <c r="H130" s="44"/>
      <c r="I130" s="63"/>
      <c r="J130" s="46"/>
      <c r="K130" s="46" t="b">
        <v>0</v>
      </c>
      <c r="L130" s="44"/>
      <c r="M130" s="44"/>
      <c r="N130" s="45" t="str">
        <f t="shared" si="4"/>
        <v>https://admin.tsip.ai/tasks/ec262293-82ff-4705-bddf-ca9911d465a5</v>
      </c>
      <c r="O130" s="46" t="b">
        <v>0</v>
      </c>
    </row>
    <row r="131">
      <c r="A131" s="5" t="s">
        <v>516</v>
      </c>
      <c r="B131" s="62" t="s">
        <v>517</v>
      </c>
      <c r="C131" s="44"/>
      <c r="D131" s="45" t="str">
        <f t="shared" si="3"/>
        <v>https://www.tsip.ai/force/678e732c-7fe0-40c3-a803-0e0dd3042320</v>
      </c>
      <c r="E131" s="46" t="b">
        <v>0</v>
      </c>
      <c r="F131" s="43" t="b">
        <v>0</v>
      </c>
      <c r="G131" s="44"/>
      <c r="H131" s="44"/>
      <c r="I131" s="63"/>
      <c r="J131" s="46"/>
      <c r="K131" s="46" t="b">
        <v>0</v>
      </c>
      <c r="L131" s="44"/>
      <c r="M131" s="44"/>
      <c r="N131" s="45" t="str">
        <f t="shared" si="4"/>
        <v>https://admin.tsip.ai/tasks/678e732c-7fe0-40c3-a803-0e0dd3042320</v>
      </c>
      <c r="O131" s="46" t="b">
        <v>0</v>
      </c>
    </row>
    <row r="132">
      <c r="A132" s="5" t="s">
        <v>518</v>
      </c>
      <c r="B132" s="62" t="s">
        <v>519</v>
      </c>
      <c r="C132" s="55"/>
      <c r="D132" s="45" t="str">
        <f t="shared" si="3"/>
        <v>https://www.tsip.ai/force/202b3f9d-e3ff-492d-94b2-31d23957b059</v>
      </c>
      <c r="E132" s="46" t="b">
        <v>0</v>
      </c>
      <c r="F132" s="43" t="b">
        <v>0</v>
      </c>
      <c r="G132" s="44"/>
      <c r="H132" s="44"/>
      <c r="I132" s="63"/>
      <c r="J132" s="46"/>
      <c r="K132" s="46" t="b">
        <v>0</v>
      </c>
      <c r="L132" s="44"/>
      <c r="M132" s="44"/>
      <c r="N132" s="45" t="str">
        <f t="shared" si="4"/>
        <v>https://admin.tsip.ai/tasks/202b3f9d-e3ff-492d-94b2-31d23957b059</v>
      </c>
      <c r="O132" s="46" t="b">
        <v>0</v>
      </c>
    </row>
    <row r="133">
      <c r="A133" s="5" t="s">
        <v>520</v>
      </c>
      <c r="B133" s="62" t="s">
        <v>519</v>
      </c>
      <c r="C133" s="55"/>
      <c r="D133" s="45" t="str">
        <f t="shared" si="3"/>
        <v>https://www.tsip.ai/force/3f19b4fd-18f0-41aa-b6b3-ea607c3b5445</v>
      </c>
      <c r="E133" s="46" t="b">
        <v>0</v>
      </c>
      <c r="F133" s="43" t="b">
        <v>0</v>
      </c>
      <c r="G133" s="44"/>
      <c r="H133" s="44"/>
      <c r="I133" s="63"/>
      <c r="J133" s="46"/>
      <c r="K133" s="46" t="b">
        <v>0</v>
      </c>
      <c r="L133" s="44"/>
      <c r="M133" s="44"/>
      <c r="N133" s="45" t="str">
        <f t="shared" si="4"/>
        <v>https://admin.tsip.ai/tasks/3f19b4fd-18f0-41aa-b6b3-ea607c3b5445</v>
      </c>
      <c r="O133" s="46" t="b">
        <v>0</v>
      </c>
    </row>
    <row r="134">
      <c r="A134" s="5" t="s">
        <v>521</v>
      </c>
      <c r="B134" s="62" t="s">
        <v>522</v>
      </c>
      <c r="C134" s="55" t="s">
        <v>104</v>
      </c>
      <c r="D134" s="45" t="str">
        <f t="shared" si="3"/>
        <v>https://www.tsip.ai/force/8ac04df0-a384-4e1a-9ff3-bfe9650d8891</v>
      </c>
      <c r="E134" s="46" t="b">
        <v>0</v>
      </c>
      <c r="F134" s="43" t="b">
        <v>0</v>
      </c>
      <c r="G134" s="44"/>
      <c r="H134" s="44"/>
      <c r="I134" s="63"/>
      <c r="J134" s="46"/>
      <c r="K134" s="46" t="b">
        <v>0</v>
      </c>
      <c r="L134" s="44"/>
      <c r="M134" s="44"/>
      <c r="N134" s="45" t="str">
        <f t="shared" si="4"/>
        <v>https://admin.tsip.ai/tasks/8ac04df0-a384-4e1a-9ff3-bfe9650d8891</v>
      </c>
      <c r="O134" s="46" t="b">
        <v>0</v>
      </c>
    </row>
    <row r="135">
      <c r="A135" s="5" t="s">
        <v>523</v>
      </c>
      <c r="B135" s="62" t="s">
        <v>522</v>
      </c>
      <c r="C135" s="55" t="s">
        <v>104</v>
      </c>
      <c r="D135" s="45" t="str">
        <f t="shared" si="3"/>
        <v>https://www.tsip.ai/force/477dc112-cd98-4d5e-9473-cf2cf9360804</v>
      </c>
      <c r="E135" s="46" t="b">
        <v>0</v>
      </c>
      <c r="F135" s="43" t="b">
        <v>0</v>
      </c>
      <c r="G135" s="44"/>
      <c r="H135" s="44"/>
      <c r="I135" s="63"/>
      <c r="J135" s="46"/>
      <c r="K135" s="46" t="b">
        <v>0</v>
      </c>
      <c r="L135" s="44"/>
      <c r="M135" s="44"/>
      <c r="N135" s="45" t="str">
        <f t="shared" si="4"/>
        <v>https://admin.tsip.ai/tasks/477dc112-cd98-4d5e-9473-cf2cf9360804</v>
      </c>
      <c r="O135" s="46" t="b">
        <v>0</v>
      </c>
    </row>
    <row r="136">
      <c r="A136" s="5" t="s">
        <v>524</v>
      </c>
      <c r="B136" s="62" t="s">
        <v>522</v>
      </c>
      <c r="C136" s="55" t="s">
        <v>104</v>
      </c>
      <c r="D136" s="45" t="str">
        <f t="shared" si="3"/>
        <v>https://www.tsip.ai/force/39f76c8a-c332-452b-86c9-5edfe268920b</v>
      </c>
      <c r="E136" s="46" t="b">
        <v>0</v>
      </c>
      <c r="F136" s="43" t="b">
        <v>0</v>
      </c>
      <c r="G136" s="44"/>
      <c r="H136" s="44"/>
      <c r="I136" s="63"/>
      <c r="J136" s="46"/>
      <c r="K136" s="46" t="b">
        <v>0</v>
      </c>
      <c r="L136" s="44"/>
      <c r="M136" s="44"/>
      <c r="N136" s="45" t="str">
        <f t="shared" si="4"/>
        <v>https://admin.tsip.ai/tasks/39f76c8a-c332-452b-86c9-5edfe268920b</v>
      </c>
      <c r="O136" s="46" t="b">
        <v>0</v>
      </c>
    </row>
    <row r="137">
      <c r="A137" s="5" t="s">
        <v>525</v>
      </c>
      <c r="B137" s="62" t="s">
        <v>526</v>
      </c>
      <c r="C137" s="44"/>
      <c r="D137" s="45" t="str">
        <f t="shared" si="3"/>
        <v>https://www.tsip.ai/force/725a4974-ff7e-4cf1-a980-de98f43ebe1e</v>
      </c>
      <c r="E137" s="46" t="b">
        <v>0</v>
      </c>
      <c r="F137" s="43" t="b">
        <v>0</v>
      </c>
      <c r="G137" s="44"/>
      <c r="H137" s="44"/>
      <c r="I137" s="63"/>
      <c r="J137" s="46"/>
      <c r="K137" s="46" t="b">
        <v>0</v>
      </c>
      <c r="L137" s="44"/>
      <c r="M137" s="44"/>
      <c r="N137" s="45" t="str">
        <f t="shared" si="4"/>
        <v>https://admin.tsip.ai/tasks/725a4974-ff7e-4cf1-a980-de98f43ebe1e</v>
      </c>
      <c r="O137" s="46" t="b">
        <v>0</v>
      </c>
    </row>
    <row r="138">
      <c r="A138" s="5" t="s">
        <v>527</v>
      </c>
      <c r="B138" s="62" t="s">
        <v>528</v>
      </c>
      <c r="C138" s="55"/>
      <c r="D138" s="45" t="str">
        <f t="shared" si="3"/>
        <v>https://www.tsip.ai/force/38e0b6c4-5425-4b90-8034-dc725a679f48</v>
      </c>
      <c r="E138" s="46" t="b">
        <v>0</v>
      </c>
      <c r="F138" s="43" t="b">
        <v>0</v>
      </c>
      <c r="G138" s="44"/>
      <c r="H138" s="44"/>
      <c r="I138" s="63"/>
      <c r="J138" s="46"/>
      <c r="K138" s="46" t="b">
        <v>0</v>
      </c>
      <c r="L138" s="44"/>
      <c r="M138" s="44"/>
      <c r="N138" s="45" t="str">
        <f t="shared" si="4"/>
        <v>https://admin.tsip.ai/tasks/38e0b6c4-5425-4b90-8034-dc725a679f48</v>
      </c>
      <c r="O138" s="46" t="b">
        <v>0</v>
      </c>
    </row>
    <row r="139">
      <c r="A139" s="5" t="s">
        <v>529</v>
      </c>
      <c r="B139" s="62" t="s">
        <v>528</v>
      </c>
      <c r="C139" s="55"/>
      <c r="D139" s="45" t="str">
        <f t="shared" si="3"/>
        <v>https://www.tsip.ai/force/ab7b42d2-5ff4-479e-9300-cb5c213beff2</v>
      </c>
      <c r="E139" s="46" t="b">
        <v>0</v>
      </c>
      <c r="F139" s="43" t="b">
        <v>0</v>
      </c>
      <c r="G139" s="44"/>
      <c r="H139" s="44"/>
      <c r="I139" s="63"/>
      <c r="J139" s="46"/>
      <c r="K139" s="46" t="b">
        <v>0</v>
      </c>
      <c r="L139" s="44"/>
      <c r="M139" s="44"/>
      <c r="N139" s="45" t="str">
        <f t="shared" si="4"/>
        <v>https://admin.tsip.ai/tasks/ab7b42d2-5ff4-479e-9300-cb5c213beff2</v>
      </c>
      <c r="O139" s="46" t="b">
        <v>0</v>
      </c>
    </row>
    <row r="140">
      <c r="A140" s="5" t="s">
        <v>530</v>
      </c>
      <c r="B140" s="62" t="s">
        <v>528</v>
      </c>
      <c r="C140" s="55" t="s">
        <v>138</v>
      </c>
      <c r="D140" s="45" t="str">
        <f t="shared" si="3"/>
        <v>https://www.tsip.ai/force/452cb53b-0248-419f-a8ac-2b2da96632b5</v>
      </c>
      <c r="E140" s="46" t="b">
        <v>0</v>
      </c>
      <c r="F140" s="43" t="b">
        <v>0</v>
      </c>
      <c r="G140" s="44"/>
      <c r="H140" s="44"/>
      <c r="I140" s="63"/>
      <c r="J140" s="46"/>
      <c r="K140" s="46" t="b">
        <v>0</v>
      </c>
      <c r="L140" s="44"/>
      <c r="M140" s="44"/>
      <c r="N140" s="45" t="str">
        <f t="shared" si="4"/>
        <v>https://admin.tsip.ai/tasks/452cb53b-0248-419f-a8ac-2b2da96632b5</v>
      </c>
      <c r="O140" s="46" t="b">
        <v>0</v>
      </c>
    </row>
    <row r="141">
      <c r="A141" s="5" t="s">
        <v>531</v>
      </c>
      <c r="B141" s="62" t="s">
        <v>532</v>
      </c>
      <c r="C141" s="55" t="s">
        <v>150</v>
      </c>
      <c r="D141" s="45" t="str">
        <f t="shared" si="3"/>
        <v>https://www.tsip.ai/force/632483ca-f58e-4abf-9d3e-8f0e94e7ca9a</v>
      </c>
      <c r="E141" s="46" t="b">
        <v>0</v>
      </c>
      <c r="F141" s="43" t="b">
        <v>0</v>
      </c>
      <c r="G141" s="44"/>
      <c r="H141" s="44"/>
      <c r="I141" s="63"/>
      <c r="J141" s="46"/>
      <c r="K141" s="46" t="b">
        <v>0</v>
      </c>
      <c r="L141" s="44"/>
      <c r="M141" s="44"/>
      <c r="N141" s="45" t="str">
        <f t="shared" si="4"/>
        <v>https://admin.tsip.ai/tasks/632483ca-f58e-4abf-9d3e-8f0e94e7ca9a</v>
      </c>
      <c r="O141" s="46" t="b">
        <v>0</v>
      </c>
    </row>
    <row r="142">
      <c r="A142" s="5" t="s">
        <v>533</v>
      </c>
      <c r="B142" s="62" t="s">
        <v>532</v>
      </c>
      <c r="C142" s="55" t="s">
        <v>150</v>
      </c>
      <c r="D142" s="45" t="str">
        <f t="shared" si="3"/>
        <v>https://www.tsip.ai/force/f9e0adca-c356-4807-a838-10f98ef57cef</v>
      </c>
      <c r="E142" s="46" t="b">
        <v>0</v>
      </c>
      <c r="F142" s="43" t="b">
        <v>0</v>
      </c>
      <c r="G142" s="44"/>
      <c r="H142" s="44"/>
      <c r="I142" s="63"/>
      <c r="J142" s="46"/>
      <c r="K142" s="46" t="b">
        <v>0</v>
      </c>
      <c r="L142" s="44"/>
      <c r="M142" s="44"/>
      <c r="N142" s="45" t="str">
        <f t="shared" si="4"/>
        <v>https://admin.tsip.ai/tasks/f9e0adca-c356-4807-a838-10f98ef57cef</v>
      </c>
      <c r="O142" s="46" t="b">
        <v>0</v>
      </c>
    </row>
    <row r="143">
      <c r="A143" s="5" t="s">
        <v>534</v>
      </c>
      <c r="B143" s="62" t="s">
        <v>532</v>
      </c>
      <c r="C143" s="55" t="s">
        <v>150</v>
      </c>
      <c r="D143" s="45" t="str">
        <f t="shared" si="3"/>
        <v>https://www.tsip.ai/force/abdb7629-97cf-43cf-8612-35a0a1a6abf5</v>
      </c>
      <c r="E143" s="46" t="b">
        <v>0</v>
      </c>
      <c r="F143" s="43" t="b">
        <v>0</v>
      </c>
      <c r="G143" s="44"/>
      <c r="H143" s="44"/>
      <c r="I143" s="63"/>
      <c r="J143" s="46"/>
      <c r="K143" s="46" t="b">
        <v>0</v>
      </c>
      <c r="L143" s="44"/>
      <c r="M143" s="44"/>
      <c r="N143" s="45" t="str">
        <f t="shared" si="4"/>
        <v>https://admin.tsip.ai/tasks/abdb7629-97cf-43cf-8612-35a0a1a6abf5</v>
      </c>
      <c r="O143" s="46" t="b">
        <v>0</v>
      </c>
    </row>
    <row r="144">
      <c r="B144" s="65"/>
      <c r="C144" s="65"/>
      <c r="F144" s="43" t="b">
        <v>0</v>
      </c>
    </row>
    <row r="145">
      <c r="B145" s="65"/>
      <c r="C145" s="65"/>
      <c r="F145" s="43" t="b">
        <v>0</v>
      </c>
    </row>
    <row r="146">
      <c r="B146" s="65"/>
      <c r="C146" s="65"/>
      <c r="F146" s="43" t="b">
        <v>0</v>
      </c>
    </row>
    <row r="147">
      <c r="B147" s="65"/>
      <c r="C147" s="65"/>
      <c r="F147" s="43" t="b">
        <v>0</v>
      </c>
    </row>
    <row r="148">
      <c r="B148" s="65" t="s">
        <v>535</v>
      </c>
      <c r="C148" s="65" t="s">
        <v>536</v>
      </c>
      <c r="F148" s="43" t="b">
        <v>0</v>
      </c>
    </row>
    <row r="149">
      <c r="F149" s="43" t="b">
        <v>0</v>
      </c>
    </row>
    <row r="150">
      <c r="F150" s="43" t="b">
        <v>0</v>
      </c>
    </row>
    <row r="151">
      <c r="F151" s="43" t="b">
        <v>0</v>
      </c>
    </row>
    <row r="152">
      <c r="F152" s="43" t="b">
        <v>0</v>
      </c>
    </row>
    <row r="153">
      <c r="F153" s="43" t="b">
        <v>0</v>
      </c>
    </row>
    <row r="154">
      <c r="F154" s="43" t="b">
        <v>0</v>
      </c>
    </row>
    <row r="155">
      <c r="F155" s="43" t="b">
        <v>0</v>
      </c>
    </row>
    <row r="156">
      <c r="F156" s="43" t="b">
        <v>0</v>
      </c>
    </row>
    <row r="157">
      <c r="F157" s="43" t="b">
        <v>0</v>
      </c>
    </row>
    <row r="158">
      <c r="F158" s="43" t="b">
        <v>0</v>
      </c>
    </row>
    <row r="159">
      <c r="F159" s="43" t="b">
        <v>0</v>
      </c>
    </row>
    <row r="160">
      <c r="F160" s="43" t="b">
        <v>0</v>
      </c>
    </row>
    <row r="161">
      <c r="F161" s="43" t="b">
        <v>0</v>
      </c>
    </row>
    <row r="162">
      <c r="F162" s="43" t="b">
        <v>0</v>
      </c>
    </row>
    <row r="163">
      <c r="F163" s="43" t="b">
        <v>0</v>
      </c>
    </row>
    <row r="164">
      <c r="F164" s="43" t="b">
        <v>0</v>
      </c>
    </row>
    <row r="165">
      <c r="F165" s="43" t="b">
        <v>0</v>
      </c>
    </row>
    <row r="166">
      <c r="F166" s="43" t="b">
        <v>0</v>
      </c>
    </row>
    <row r="167">
      <c r="F167" s="43" t="b">
        <v>0</v>
      </c>
    </row>
    <row r="168">
      <c r="F168" s="43" t="b">
        <v>0</v>
      </c>
    </row>
    <row r="169">
      <c r="F169" s="43" t="b">
        <v>0</v>
      </c>
    </row>
    <row r="170">
      <c r="F170" s="43" t="b">
        <v>0</v>
      </c>
    </row>
    <row r="171">
      <c r="F171" s="43" t="b">
        <v>0</v>
      </c>
    </row>
    <row r="172">
      <c r="F172" s="43" t="b">
        <v>0</v>
      </c>
    </row>
    <row r="173">
      <c r="F173" s="43" t="b">
        <v>0</v>
      </c>
    </row>
    <row r="174">
      <c r="F174" s="43" t="b">
        <v>0</v>
      </c>
    </row>
    <row r="175">
      <c r="F175" s="43" t="b">
        <v>0</v>
      </c>
    </row>
    <row r="176">
      <c r="F176" s="43" t="b">
        <v>0</v>
      </c>
    </row>
    <row r="177">
      <c r="F177" s="43" t="b">
        <v>0</v>
      </c>
    </row>
    <row r="178">
      <c r="F178" s="43" t="b">
        <v>0</v>
      </c>
    </row>
    <row r="179">
      <c r="F179" s="43" t="b">
        <v>0</v>
      </c>
    </row>
    <row r="180">
      <c r="F180" s="43" t="b">
        <v>0</v>
      </c>
    </row>
    <row r="181">
      <c r="F181" s="43" t="b">
        <v>0</v>
      </c>
    </row>
    <row r="182">
      <c r="F182" s="43" t="b">
        <v>0</v>
      </c>
    </row>
    <row r="183">
      <c r="F183" s="43" t="b">
        <v>0</v>
      </c>
    </row>
    <row r="184">
      <c r="F184" s="43" t="b">
        <v>0</v>
      </c>
    </row>
    <row r="185">
      <c r="F185" s="43" t="b">
        <v>0</v>
      </c>
    </row>
    <row r="186">
      <c r="F186" s="43" t="b">
        <v>0</v>
      </c>
    </row>
    <row r="187">
      <c r="F187" s="43" t="b">
        <v>0</v>
      </c>
    </row>
    <row r="188">
      <c r="F188" s="43" t="b">
        <v>0</v>
      </c>
    </row>
    <row r="189">
      <c r="F189" s="43" t="b">
        <v>0</v>
      </c>
    </row>
    <row r="190">
      <c r="F190" s="43" t="b">
        <v>0</v>
      </c>
    </row>
    <row r="191">
      <c r="F191" s="43" t="b">
        <v>0</v>
      </c>
    </row>
    <row r="192">
      <c r="F192" s="43" t="b">
        <v>0</v>
      </c>
    </row>
    <row r="193">
      <c r="F193" s="43" t="b">
        <v>0</v>
      </c>
    </row>
    <row r="194">
      <c r="F194" s="43" t="b">
        <v>0</v>
      </c>
    </row>
    <row r="195">
      <c r="F195" s="43" t="b">
        <v>0</v>
      </c>
    </row>
    <row r="196">
      <c r="F196" s="43" t="b">
        <v>0</v>
      </c>
    </row>
    <row r="197">
      <c r="F197" s="43" t="b">
        <v>0</v>
      </c>
    </row>
    <row r="198">
      <c r="F198" s="43" t="b">
        <v>0</v>
      </c>
    </row>
    <row r="199">
      <c r="F199" s="43" t="b">
        <v>0</v>
      </c>
    </row>
    <row r="200">
      <c r="F200" s="43" t="b">
        <v>0</v>
      </c>
    </row>
    <row r="201">
      <c r="F201" s="43" t="b">
        <v>0</v>
      </c>
    </row>
    <row r="202">
      <c r="F202" s="43" t="b">
        <v>0</v>
      </c>
    </row>
    <row r="203">
      <c r="F203" s="43" t="b">
        <v>0</v>
      </c>
    </row>
    <row r="204">
      <c r="F204" s="43" t="b">
        <v>0</v>
      </c>
    </row>
    <row r="205">
      <c r="F205" s="43" t="b">
        <v>0</v>
      </c>
    </row>
    <row r="206">
      <c r="F206" s="43" t="b">
        <v>0</v>
      </c>
    </row>
    <row r="207">
      <c r="F207" s="43" t="b">
        <v>0</v>
      </c>
    </row>
    <row r="208">
      <c r="F208" s="43" t="b">
        <v>0</v>
      </c>
    </row>
    <row r="209">
      <c r="F209" s="43" t="b">
        <v>0</v>
      </c>
    </row>
    <row r="210">
      <c r="F210" s="43" t="b">
        <v>0</v>
      </c>
    </row>
    <row r="211">
      <c r="F211" s="43" t="b">
        <v>0</v>
      </c>
    </row>
    <row r="212">
      <c r="F212" s="43" t="b">
        <v>0</v>
      </c>
    </row>
    <row r="213">
      <c r="F213" s="43" t="b">
        <v>0</v>
      </c>
    </row>
    <row r="214">
      <c r="F214" s="43" t="b">
        <v>0</v>
      </c>
    </row>
    <row r="215">
      <c r="F215" s="43" t="b">
        <v>0</v>
      </c>
    </row>
    <row r="216">
      <c r="F216" s="43" t="b">
        <v>0</v>
      </c>
    </row>
    <row r="217">
      <c r="F217" s="43" t="b">
        <v>0</v>
      </c>
    </row>
    <row r="218">
      <c r="F218" s="43" t="b">
        <v>0</v>
      </c>
    </row>
    <row r="219">
      <c r="F219" s="43" t="b">
        <v>0</v>
      </c>
    </row>
    <row r="220">
      <c r="F220" s="43" t="b">
        <v>0</v>
      </c>
    </row>
    <row r="221">
      <c r="F221" s="43" t="b">
        <v>0</v>
      </c>
    </row>
    <row r="222">
      <c r="F222" s="43" t="b">
        <v>0</v>
      </c>
    </row>
    <row r="223">
      <c r="F223" s="43" t="b">
        <v>0</v>
      </c>
    </row>
    <row r="224">
      <c r="F224" s="43" t="b">
        <v>0</v>
      </c>
    </row>
    <row r="225">
      <c r="F225" s="43" t="b">
        <v>0</v>
      </c>
    </row>
    <row r="226">
      <c r="F226" s="43" t="b">
        <v>0</v>
      </c>
    </row>
    <row r="227">
      <c r="F227" s="43" t="b">
        <v>0</v>
      </c>
    </row>
    <row r="228">
      <c r="F228" s="43" t="b">
        <v>0</v>
      </c>
    </row>
    <row r="229">
      <c r="F229" s="43" t="b">
        <v>0</v>
      </c>
    </row>
    <row r="230">
      <c r="F230" s="43" t="b">
        <v>0</v>
      </c>
    </row>
    <row r="231">
      <c r="F231" s="43" t="b">
        <v>0</v>
      </c>
    </row>
    <row r="232">
      <c r="F232" s="43" t="b">
        <v>0</v>
      </c>
    </row>
    <row r="233">
      <c r="F233" s="43" t="b">
        <v>0</v>
      </c>
    </row>
    <row r="234">
      <c r="F234" s="43" t="b">
        <v>0</v>
      </c>
    </row>
    <row r="235">
      <c r="F235" s="43" t="b">
        <v>0</v>
      </c>
    </row>
    <row r="236">
      <c r="F236" s="43" t="b">
        <v>0</v>
      </c>
    </row>
    <row r="237">
      <c r="F237" s="43" t="b">
        <v>0</v>
      </c>
    </row>
    <row r="238">
      <c r="F238" s="43" t="b">
        <v>0</v>
      </c>
    </row>
    <row r="239">
      <c r="F239" s="43" t="b">
        <v>0</v>
      </c>
    </row>
    <row r="240">
      <c r="F240" s="43" t="b">
        <v>0</v>
      </c>
    </row>
    <row r="241">
      <c r="F241" s="43" t="b">
        <v>0</v>
      </c>
    </row>
    <row r="242">
      <c r="F242" s="43" t="b">
        <v>0</v>
      </c>
    </row>
    <row r="243">
      <c r="F243" s="43" t="b">
        <v>0</v>
      </c>
    </row>
    <row r="244">
      <c r="F244" s="43" t="b">
        <v>0</v>
      </c>
    </row>
    <row r="245">
      <c r="F245" s="43" t="b">
        <v>0</v>
      </c>
    </row>
    <row r="246">
      <c r="F246" s="43" t="b">
        <v>0</v>
      </c>
    </row>
    <row r="247">
      <c r="F247" s="43" t="b">
        <v>0</v>
      </c>
    </row>
    <row r="248">
      <c r="F248" s="43" t="b">
        <v>0</v>
      </c>
    </row>
    <row r="249">
      <c r="F249" s="43" t="b">
        <v>0</v>
      </c>
    </row>
    <row r="250">
      <c r="F250" s="43" t="b">
        <v>0</v>
      </c>
    </row>
    <row r="251">
      <c r="F251" s="43" t="b">
        <v>0</v>
      </c>
    </row>
    <row r="252">
      <c r="F252" s="43" t="b">
        <v>0</v>
      </c>
    </row>
    <row r="253">
      <c r="F253" s="43" t="b">
        <v>0</v>
      </c>
    </row>
    <row r="254">
      <c r="F254" s="43" t="b">
        <v>0</v>
      </c>
    </row>
    <row r="255">
      <c r="F255" s="43" t="b">
        <v>0</v>
      </c>
    </row>
    <row r="256">
      <c r="F256" s="43" t="b">
        <v>0</v>
      </c>
    </row>
    <row r="257">
      <c r="F257" s="43" t="b">
        <v>0</v>
      </c>
    </row>
    <row r="258">
      <c r="F258" s="43" t="b">
        <v>0</v>
      </c>
    </row>
    <row r="259">
      <c r="F259" s="43" t="b">
        <v>0</v>
      </c>
    </row>
    <row r="260">
      <c r="F260" s="43" t="b">
        <v>0</v>
      </c>
    </row>
    <row r="261">
      <c r="F261" s="43" t="b">
        <v>0</v>
      </c>
    </row>
    <row r="262">
      <c r="F262" s="43" t="b">
        <v>0</v>
      </c>
    </row>
    <row r="263">
      <c r="F263" s="43" t="b">
        <v>0</v>
      </c>
    </row>
    <row r="264">
      <c r="F264" s="43" t="b">
        <v>0</v>
      </c>
    </row>
    <row r="265">
      <c r="F265" s="43" t="b">
        <v>0</v>
      </c>
    </row>
    <row r="266">
      <c r="F266" s="43" t="b">
        <v>0</v>
      </c>
    </row>
    <row r="267">
      <c r="F267" s="43" t="b">
        <v>0</v>
      </c>
    </row>
    <row r="268">
      <c r="F268" s="43" t="b">
        <v>0</v>
      </c>
    </row>
    <row r="269">
      <c r="F269" s="43" t="b">
        <v>0</v>
      </c>
    </row>
    <row r="270">
      <c r="F270" s="43" t="b">
        <v>0</v>
      </c>
    </row>
    <row r="271">
      <c r="F271" s="43" t="b">
        <v>0</v>
      </c>
    </row>
    <row r="272">
      <c r="F272" s="43" t="b">
        <v>0</v>
      </c>
    </row>
    <row r="273">
      <c r="F273" s="43" t="b">
        <v>0</v>
      </c>
    </row>
    <row r="274">
      <c r="F274" s="43" t="b">
        <v>0</v>
      </c>
    </row>
    <row r="275">
      <c r="F275" s="43" t="b">
        <v>0</v>
      </c>
    </row>
    <row r="276">
      <c r="F276" s="43" t="b">
        <v>0</v>
      </c>
    </row>
    <row r="277">
      <c r="F277" s="43" t="b">
        <v>0</v>
      </c>
    </row>
    <row r="278">
      <c r="F278" s="43" t="b">
        <v>0</v>
      </c>
    </row>
    <row r="279">
      <c r="F279" s="43" t="b">
        <v>0</v>
      </c>
    </row>
    <row r="280">
      <c r="F280" s="43" t="b">
        <v>0</v>
      </c>
    </row>
    <row r="281">
      <c r="F281" s="43" t="b">
        <v>0</v>
      </c>
    </row>
    <row r="282">
      <c r="F282" s="43" t="b">
        <v>0</v>
      </c>
    </row>
    <row r="283">
      <c r="F283" s="43" t="b">
        <v>0</v>
      </c>
    </row>
    <row r="284">
      <c r="F284" s="43" t="b">
        <v>0</v>
      </c>
    </row>
    <row r="285">
      <c r="F285" s="43" t="b">
        <v>0</v>
      </c>
    </row>
    <row r="286">
      <c r="F286" s="43" t="b">
        <v>0</v>
      </c>
    </row>
    <row r="287">
      <c r="F287" s="43" t="b">
        <v>0</v>
      </c>
    </row>
    <row r="288">
      <c r="F288" s="43" t="b">
        <v>0</v>
      </c>
    </row>
    <row r="289">
      <c r="F289" s="43" t="b">
        <v>0</v>
      </c>
    </row>
    <row r="290">
      <c r="F290" s="43" t="b">
        <v>0</v>
      </c>
    </row>
    <row r="291">
      <c r="F291" s="43" t="b">
        <v>0</v>
      </c>
    </row>
    <row r="292">
      <c r="F292" s="43" t="b">
        <v>0</v>
      </c>
    </row>
    <row r="293">
      <c r="F293" s="43" t="b">
        <v>0</v>
      </c>
    </row>
    <row r="294">
      <c r="F294" s="43" t="b">
        <v>0</v>
      </c>
    </row>
    <row r="295">
      <c r="F295" s="43" t="b">
        <v>0</v>
      </c>
    </row>
    <row r="296">
      <c r="F296" s="43" t="b">
        <v>0</v>
      </c>
    </row>
    <row r="297">
      <c r="F297" s="43" t="b">
        <v>0</v>
      </c>
    </row>
    <row r="298">
      <c r="F298" s="43" t="b">
        <v>0</v>
      </c>
    </row>
    <row r="299">
      <c r="F299" s="43" t="b">
        <v>0</v>
      </c>
    </row>
    <row r="300">
      <c r="F300" s="43" t="b">
        <v>0</v>
      </c>
    </row>
    <row r="301">
      <c r="F301" s="43" t="b">
        <v>0</v>
      </c>
    </row>
    <row r="302">
      <c r="F302" s="43" t="b">
        <v>0</v>
      </c>
    </row>
    <row r="303">
      <c r="F303" s="43" t="b">
        <v>0</v>
      </c>
    </row>
    <row r="304">
      <c r="F304" s="43" t="b">
        <v>0</v>
      </c>
    </row>
    <row r="305">
      <c r="F305" s="43" t="b">
        <v>0</v>
      </c>
    </row>
    <row r="306">
      <c r="F306" s="43" t="b">
        <v>0</v>
      </c>
    </row>
    <row r="307">
      <c r="F307" s="43" t="b">
        <v>0</v>
      </c>
    </row>
    <row r="308">
      <c r="F308" s="43" t="b">
        <v>0</v>
      </c>
    </row>
    <row r="309">
      <c r="F309" s="43" t="b">
        <v>0</v>
      </c>
    </row>
    <row r="310">
      <c r="F310" s="43" t="b">
        <v>0</v>
      </c>
    </row>
    <row r="311">
      <c r="F311" s="43" t="b">
        <v>0</v>
      </c>
    </row>
    <row r="312">
      <c r="F312" s="43" t="b">
        <v>0</v>
      </c>
    </row>
    <row r="313">
      <c r="F313" s="43" t="b">
        <v>0</v>
      </c>
    </row>
    <row r="314">
      <c r="F314" s="43" t="b">
        <v>0</v>
      </c>
    </row>
    <row r="315">
      <c r="F315" s="43" t="b">
        <v>0</v>
      </c>
    </row>
    <row r="316">
      <c r="F316" s="43" t="b">
        <v>0</v>
      </c>
    </row>
    <row r="317">
      <c r="F317" s="43" t="b">
        <v>0</v>
      </c>
    </row>
    <row r="318">
      <c r="F318" s="43" t="b">
        <v>0</v>
      </c>
    </row>
    <row r="319">
      <c r="F319" s="43" t="b">
        <v>0</v>
      </c>
    </row>
    <row r="320">
      <c r="F320" s="43" t="b">
        <v>0</v>
      </c>
    </row>
    <row r="321">
      <c r="F321" s="43" t="b">
        <v>0</v>
      </c>
    </row>
    <row r="322">
      <c r="F322" s="43" t="b">
        <v>0</v>
      </c>
    </row>
    <row r="323">
      <c r="F323" s="43" t="b">
        <v>0</v>
      </c>
    </row>
    <row r="324">
      <c r="F324" s="43" t="b">
        <v>0</v>
      </c>
    </row>
    <row r="325">
      <c r="F325" s="43" t="b">
        <v>0</v>
      </c>
    </row>
    <row r="326">
      <c r="F326" s="43" t="b">
        <v>0</v>
      </c>
    </row>
    <row r="327">
      <c r="F327" s="43" t="b">
        <v>0</v>
      </c>
    </row>
    <row r="328">
      <c r="F328" s="43" t="b">
        <v>0</v>
      </c>
    </row>
    <row r="329">
      <c r="F329" s="43" t="b">
        <v>0</v>
      </c>
    </row>
    <row r="330">
      <c r="F330" s="43" t="b">
        <v>0</v>
      </c>
    </row>
    <row r="331">
      <c r="F331" s="43" t="b">
        <v>0</v>
      </c>
    </row>
    <row r="332">
      <c r="F332" s="43" t="b">
        <v>0</v>
      </c>
    </row>
    <row r="333">
      <c r="F333" s="43" t="b">
        <v>0</v>
      </c>
    </row>
    <row r="334">
      <c r="F334" s="43" t="b">
        <v>0</v>
      </c>
    </row>
    <row r="335">
      <c r="F335" s="43" t="b">
        <v>0</v>
      </c>
    </row>
    <row r="336">
      <c r="F336" s="43" t="b">
        <v>0</v>
      </c>
    </row>
    <row r="337">
      <c r="F337" s="43" t="b">
        <v>0</v>
      </c>
    </row>
    <row r="338">
      <c r="F338" s="43" t="b">
        <v>0</v>
      </c>
    </row>
    <row r="339">
      <c r="F339" s="43" t="b">
        <v>0</v>
      </c>
    </row>
    <row r="340">
      <c r="F340" s="43" t="b">
        <v>0</v>
      </c>
    </row>
    <row r="341">
      <c r="F341" s="43" t="b">
        <v>0</v>
      </c>
    </row>
    <row r="342">
      <c r="F342" s="43" t="b">
        <v>0</v>
      </c>
    </row>
    <row r="343">
      <c r="F343" s="43" t="b">
        <v>0</v>
      </c>
    </row>
    <row r="344">
      <c r="F344" s="43" t="b">
        <v>0</v>
      </c>
    </row>
    <row r="345">
      <c r="F345" s="43" t="b">
        <v>0</v>
      </c>
    </row>
    <row r="346">
      <c r="F346" s="43" t="b">
        <v>0</v>
      </c>
    </row>
    <row r="347">
      <c r="F347" s="43" t="b">
        <v>0</v>
      </c>
    </row>
    <row r="348">
      <c r="F348" s="43" t="b">
        <v>0</v>
      </c>
    </row>
    <row r="349">
      <c r="F349" s="43" t="b">
        <v>0</v>
      </c>
    </row>
    <row r="350">
      <c r="F350" s="43" t="b">
        <v>0</v>
      </c>
    </row>
    <row r="351">
      <c r="F351" s="43" t="b">
        <v>0</v>
      </c>
    </row>
    <row r="352">
      <c r="F352" s="43" t="b">
        <v>0</v>
      </c>
    </row>
    <row r="353">
      <c r="F353" s="43" t="b">
        <v>0</v>
      </c>
    </row>
    <row r="354">
      <c r="F354" s="43" t="b">
        <v>0</v>
      </c>
    </row>
    <row r="355">
      <c r="F355" s="43" t="b">
        <v>0</v>
      </c>
    </row>
    <row r="356">
      <c r="F356" s="43" t="b">
        <v>0</v>
      </c>
    </row>
    <row r="357">
      <c r="F357" s="43" t="b">
        <v>0</v>
      </c>
    </row>
    <row r="358">
      <c r="F358" s="43" t="b">
        <v>0</v>
      </c>
    </row>
    <row r="359">
      <c r="F359" s="43" t="b">
        <v>0</v>
      </c>
    </row>
    <row r="360">
      <c r="F360" s="43" t="b">
        <v>0</v>
      </c>
    </row>
    <row r="361">
      <c r="F361" s="43" t="b">
        <v>0</v>
      </c>
    </row>
    <row r="362">
      <c r="F362" s="43" t="b">
        <v>0</v>
      </c>
    </row>
    <row r="363">
      <c r="F363" s="43" t="b">
        <v>0</v>
      </c>
    </row>
    <row r="364">
      <c r="F364" s="43" t="b">
        <v>0</v>
      </c>
    </row>
    <row r="365">
      <c r="F365" s="43" t="b">
        <v>0</v>
      </c>
    </row>
    <row r="366">
      <c r="F366" s="43" t="b">
        <v>0</v>
      </c>
    </row>
    <row r="367">
      <c r="F367" s="43" t="b">
        <v>0</v>
      </c>
    </row>
    <row r="368">
      <c r="F368" s="43" t="b">
        <v>0</v>
      </c>
    </row>
    <row r="369">
      <c r="F369" s="43" t="b">
        <v>0</v>
      </c>
    </row>
    <row r="370">
      <c r="F370" s="43" t="b">
        <v>0</v>
      </c>
    </row>
    <row r="371">
      <c r="F371" s="43" t="b">
        <v>0</v>
      </c>
    </row>
    <row r="372">
      <c r="F372" s="43" t="b">
        <v>0</v>
      </c>
    </row>
    <row r="373">
      <c r="F373" s="43" t="b">
        <v>0</v>
      </c>
    </row>
    <row r="374">
      <c r="F374" s="43" t="b">
        <v>0</v>
      </c>
    </row>
    <row r="375">
      <c r="F375" s="43" t="b">
        <v>0</v>
      </c>
    </row>
    <row r="376">
      <c r="F376" s="43" t="b">
        <v>0</v>
      </c>
    </row>
    <row r="377">
      <c r="F377" s="43" t="b">
        <v>0</v>
      </c>
    </row>
    <row r="378">
      <c r="F378" s="43" t="b">
        <v>0</v>
      </c>
    </row>
    <row r="379">
      <c r="F379" s="43" t="b">
        <v>0</v>
      </c>
    </row>
    <row r="380">
      <c r="F380" s="43" t="b">
        <v>0</v>
      </c>
    </row>
    <row r="381">
      <c r="F381" s="43" t="b">
        <v>0</v>
      </c>
    </row>
    <row r="382">
      <c r="F382" s="43" t="b">
        <v>0</v>
      </c>
    </row>
    <row r="383">
      <c r="F383" s="43" t="b">
        <v>0</v>
      </c>
    </row>
    <row r="384">
      <c r="F384" s="43" t="b">
        <v>0</v>
      </c>
    </row>
    <row r="385">
      <c r="F385" s="43" t="b">
        <v>0</v>
      </c>
    </row>
    <row r="386">
      <c r="F386" s="43" t="b">
        <v>0</v>
      </c>
    </row>
    <row r="387">
      <c r="F387" s="43" t="b">
        <v>0</v>
      </c>
    </row>
    <row r="388">
      <c r="F388" s="43" t="b">
        <v>0</v>
      </c>
    </row>
    <row r="389">
      <c r="F389" s="43" t="b">
        <v>0</v>
      </c>
    </row>
    <row r="390">
      <c r="F390" s="43" t="b">
        <v>0</v>
      </c>
    </row>
    <row r="391">
      <c r="F391" s="43" t="b">
        <v>0</v>
      </c>
    </row>
    <row r="392">
      <c r="F392" s="43" t="b">
        <v>0</v>
      </c>
    </row>
    <row r="393">
      <c r="F393" s="43" t="b">
        <v>0</v>
      </c>
    </row>
    <row r="394">
      <c r="F394" s="43" t="b">
        <v>0</v>
      </c>
    </row>
    <row r="395">
      <c r="F395" s="43" t="b">
        <v>0</v>
      </c>
    </row>
    <row r="396">
      <c r="F396" s="43" t="b">
        <v>0</v>
      </c>
    </row>
    <row r="397">
      <c r="F397" s="43" t="b">
        <v>0</v>
      </c>
    </row>
    <row r="398">
      <c r="F398" s="43" t="b">
        <v>0</v>
      </c>
    </row>
    <row r="399">
      <c r="F399" s="43" t="b">
        <v>0</v>
      </c>
    </row>
    <row r="400">
      <c r="F400" s="43" t="b">
        <v>0</v>
      </c>
    </row>
    <row r="401">
      <c r="F401" s="43" t="b">
        <v>0</v>
      </c>
    </row>
    <row r="402">
      <c r="F402" s="43" t="b">
        <v>0</v>
      </c>
    </row>
    <row r="403">
      <c r="F403" s="43" t="b">
        <v>0</v>
      </c>
    </row>
    <row r="404">
      <c r="F404" s="43" t="b">
        <v>0</v>
      </c>
    </row>
    <row r="405">
      <c r="F405" s="43" t="b">
        <v>0</v>
      </c>
    </row>
    <row r="406">
      <c r="F406" s="43" t="b">
        <v>0</v>
      </c>
    </row>
    <row r="407">
      <c r="F407" s="43" t="b">
        <v>0</v>
      </c>
    </row>
    <row r="408">
      <c r="F408" s="43" t="b">
        <v>0</v>
      </c>
    </row>
    <row r="409">
      <c r="F409" s="43" t="b">
        <v>0</v>
      </c>
    </row>
    <row r="410">
      <c r="F410" s="43" t="b">
        <v>0</v>
      </c>
    </row>
    <row r="411">
      <c r="F411" s="43" t="b">
        <v>0</v>
      </c>
    </row>
    <row r="412">
      <c r="F412" s="43" t="b">
        <v>0</v>
      </c>
    </row>
    <row r="413">
      <c r="F413" s="43" t="b">
        <v>0</v>
      </c>
    </row>
    <row r="414">
      <c r="F414" s="43" t="b">
        <v>0</v>
      </c>
    </row>
    <row r="415">
      <c r="F415" s="43" t="b">
        <v>0</v>
      </c>
    </row>
    <row r="416">
      <c r="F416" s="43" t="b">
        <v>0</v>
      </c>
    </row>
    <row r="417">
      <c r="F417" s="43" t="b">
        <v>0</v>
      </c>
    </row>
    <row r="418">
      <c r="F418" s="43" t="b">
        <v>0</v>
      </c>
    </row>
    <row r="419">
      <c r="F419" s="43" t="b">
        <v>0</v>
      </c>
    </row>
    <row r="420">
      <c r="F420" s="43" t="b">
        <v>0</v>
      </c>
    </row>
    <row r="421">
      <c r="F421" s="43" t="b">
        <v>0</v>
      </c>
    </row>
    <row r="422">
      <c r="F422" s="43" t="b">
        <v>0</v>
      </c>
    </row>
    <row r="423">
      <c r="F423" s="43" t="b">
        <v>0</v>
      </c>
    </row>
    <row r="424">
      <c r="F424" s="43" t="b">
        <v>0</v>
      </c>
    </row>
    <row r="425">
      <c r="F425" s="43" t="b">
        <v>0</v>
      </c>
    </row>
    <row r="426">
      <c r="F426" s="43" t="b">
        <v>0</v>
      </c>
    </row>
    <row r="427">
      <c r="F427" s="43" t="b">
        <v>0</v>
      </c>
    </row>
    <row r="428">
      <c r="F428" s="43" t="b">
        <v>0</v>
      </c>
    </row>
    <row r="429">
      <c r="F429" s="43" t="b">
        <v>0</v>
      </c>
    </row>
    <row r="430">
      <c r="F430" s="43" t="b">
        <v>0</v>
      </c>
    </row>
    <row r="431">
      <c r="F431" s="43" t="b">
        <v>0</v>
      </c>
    </row>
    <row r="432">
      <c r="F432" s="43" t="b">
        <v>0</v>
      </c>
    </row>
    <row r="433">
      <c r="F433" s="43" t="b">
        <v>0</v>
      </c>
    </row>
    <row r="434">
      <c r="F434" s="43" t="b">
        <v>0</v>
      </c>
    </row>
    <row r="435">
      <c r="F435" s="43" t="b">
        <v>0</v>
      </c>
    </row>
    <row r="436">
      <c r="F436" s="43" t="b">
        <v>0</v>
      </c>
    </row>
    <row r="437">
      <c r="F437" s="43" t="b">
        <v>0</v>
      </c>
    </row>
    <row r="438">
      <c r="F438" s="43" t="b">
        <v>0</v>
      </c>
    </row>
    <row r="439">
      <c r="F439" s="43" t="b">
        <v>0</v>
      </c>
    </row>
    <row r="440">
      <c r="F440" s="43" t="b">
        <v>0</v>
      </c>
    </row>
    <row r="441">
      <c r="F441" s="43" t="b">
        <v>0</v>
      </c>
    </row>
    <row r="442">
      <c r="F442" s="43" t="b">
        <v>0</v>
      </c>
    </row>
    <row r="443">
      <c r="F443" s="43" t="b">
        <v>0</v>
      </c>
    </row>
    <row r="444">
      <c r="F444" s="43" t="b">
        <v>0</v>
      </c>
    </row>
    <row r="445">
      <c r="F445" s="43" t="b">
        <v>0</v>
      </c>
    </row>
    <row r="446">
      <c r="F446" s="43" t="b">
        <v>0</v>
      </c>
    </row>
    <row r="447">
      <c r="F447" s="43" t="b">
        <v>0</v>
      </c>
    </row>
    <row r="448">
      <c r="F448" s="43" t="b">
        <v>0</v>
      </c>
    </row>
    <row r="449">
      <c r="F449" s="43" t="b">
        <v>0</v>
      </c>
    </row>
    <row r="450">
      <c r="F450" s="43" t="b">
        <v>0</v>
      </c>
    </row>
    <row r="451">
      <c r="F451" s="43" t="b">
        <v>0</v>
      </c>
    </row>
    <row r="452">
      <c r="F452" s="43" t="b">
        <v>0</v>
      </c>
    </row>
    <row r="453">
      <c r="F453" s="43" t="b">
        <v>0</v>
      </c>
    </row>
    <row r="454">
      <c r="F454" s="43" t="b">
        <v>0</v>
      </c>
    </row>
    <row r="455">
      <c r="F455" s="43" t="b">
        <v>0</v>
      </c>
    </row>
    <row r="456">
      <c r="F456" s="43" t="b">
        <v>0</v>
      </c>
    </row>
    <row r="457">
      <c r="F457" s="43" t="b">
        <v>0</v>
      </c>
    </row>
    <row r="458">
      <c r="F458" s="43" t="b">
        <v>0</v>
      </c>
    </row>
    <row r="459">
      <c r="F459" s="43" t="b">
        <v>0</v>
      </c>
    </row>
    <row r="460">
      <c r="F460" s="43" t="b">
        <v>0</v>
      </c>
    </row>
    <row r="461">
      <c r="F461" s="43" t="b">
        <v>0</v>
      </c>
    </row>
    <row r="462">
      <c r="F462" s="43" t="b">
        <v>0</v>
      </c>
    </row>
    <row r="463">
      <c r="F463" s="43" t="b">
        <v>0</v>
      </c>
    </row>
    <row r="464">
      <c r="F464" s="43" t="b">
        <v>0</v>
      </c>
    </row>
    <row r="465">
      <c r="F465" s="43" t="b">
        <v>0</v>
      </c>
    </row>
    <row r="466">
      <c r="F466" s="43" t="b">
        <v>0</v>
      </c>
    </row>
    <row r="467">
      <c r="F467" s="43" t="b">
        <v>0</v>
      </c>
    </row>
    <row r="468">
      <c r="F468" s="43" t="b">
        <v>0</v>
      </c>
    </row>
    <row r="469">
      <c r="F469" s="43" t="b">
        <v>0</v>
      </c>
    </row>
    <row r="470">
      <c r="F470" s="43" t="b">
        <v>0</v>
      </c>
    </row>
    <row r="471">
      <c r="F471" s="43" t="b">
        <v>0</v>
      </c>
    </row>
    <row r="472">
      <c r="F472" s="43" t="b">
        <v>0</v>
      </c>
    </row>
    <row r="473">
      <c r="F473" s="43" t="b">
        <v>0</v>
      </c>
    </row>
    <row r="474">
      <c r="F474" s="43" t="b">
        <v>0</v>
      </c>
    </row>
    <row r="475">
      <c r="F475" s="43" t="b">
        <v>0</v>
      </c>
    </row>
    <row r="476">
      <c r="F476" s="43" t="b">
        <v>0</v>
      </c>
    </row>
    <row r="477">
      <c r="F477" s="43" t="b">
        <v>0</v>
      </c>
    </row>
    <row r="478">
      <c r="F478" s="43" t="b">
        <v>0</v>
      </c>
    </row>
    <row r="479">
      <c r="F479" s="43" t="b">
        <v>0</v>
      </c>
    </row>
    <row r="480">
      <c r="F480" s="43" t="b">
        <v>0</v>
      </c>
    </row>
    <row r="481">
      <c r="F481" s="43" t="b">
        <v>0</v>
      </c>
    </row>
    <row r="482">
      <c r="F482" s="43" t="b">
        <v>0</v>
      </c>
    </row>
    <row r="483">
      <c r="F483" s="43" t="b">
        <v>0</v>
      </c>
    </row>
    <row r="484">
      <c r="F484" s="43" t="b">
        <v>0</v>
      </c>
    </row>
    <row r="485">
      <c r="F485" s="43" t="b">
        <v>0</v>
      </c>
    </row>
    <row r="486">
      <c r="F486" s="43" t="b">
        <v>0</v>
      </c>
    </row>
    <row r="487">
      <c r="F487" s="43" t="b">
        <v>0</v>
      </c>
    </row>
    <row r="488">
      <c r="F488" s="43" t="b">
        <v>0</v>
      </c>
    </row>
    <row r="489">
      <c r="F489" s="43" t="b">
        <v>0</v>
      </c>
    </row>
    <row r="490">
      <c r="F490" s="43" t="b">
        <v>0</v>
      </c>
    </row>
    <row r="491">
      <c r="F491" s="43" t="b">
        <v>0</v>
      </c>
    </row>
    <row r="492">
      <c r="F492" s="43" t="b">
        <v>0</v>
      </c>
    </row>
    <row r="493">
      <c r="F493" s="43" t="b">
        <v>0</v>
      </c>
    </row>
    <row r="494">
      <c r="F494" s="43" t="b">
        <v>0</v>
      </c>
    </row>
    <row r="495">
      <c r="F495" s="43" t="b">
        <v>0</v>
      </c>
    </row>
    <row r="496">
      <c r="F496" s="43" t="b">
        <v>0</v>
      </c>
    </row>
    <row r="497">
      <c r="F497" s="43" t="b">
        <v>0</v>
      </c>
    </row>
    <row r="498">
      <c r="F498" s="43" t="b">
        <v>0</v>
      </c>
    </row>
    <row r="499">
      <c r="F499" s="43" t="b">
        <v>0</v>
      </c>
    </row>
    <row r="500">
      <c r="F500" s="43" t="b">
        <v>0</v>
      </c>
    </row>
    <row r="501">
      <c r="F501" s="43" t="b">
        <v>0</v>
      </c>
    </row>
    <row r="502">
      <c r="F502" s="43" t="b">
        <v>0</v>
      </c>
    </row>
    <row r="503">
      <c r="F503" s="43" t="b">
        <v>0</v>
      </c>
    </row>
    <row r="504">
      <c r="F504" s="43" t="b">
        <v>0</v>
      </c>
    </row>
    <row r="505">
      <c r="F505" s="43" t="b">
        <v>0</v>
      </c>
    </row>
    <row r="506">
      <c r="F506" s="43" t="b">
        <v>0</v>
      </c>
    </row>
    <row r="507">
      <c r="F507" s="43" t="b">
        <v>0</v>
      </c>
    </row>
    <row r="508">
      <c r="F508" s="43" t="b">
        <v>0</v>
      </c>
    </row>
    <row r="509">
      <c r="F509" s="43" t="b">
        <v>0</v>
      </c>
    </row>
    <row r="510">
      <c r="F510" s="43" t="b">
        <v>0</v>
      </c>
    </row>
    <row r="511">
      <c r="F511" s="43" t="b">
        <v>0</v>
      </c>
    </row>
    <row r="512">
      <c r="F512" s="43" t="b">
        <v>0</v>
      </c>
    </row>
    <row r="513">
      <c r="F513" s="43" t="b">
        <v>0</v>
      </c>
    </row>
    <row r="514">
      <c r="F514" s="43" t="b">
        <v>0</v>
      </c>
    </row>
    <row r="515">
      <c r="F515" s="43" t="b">
        <v>0</v>
      </c>
    </row>
    <row r="516">
      <c r="F516" s="43" t="b">
        <v>0</v>
      </c>
    </row>
    <row r="517">
      <c r="F517" s="43" t="b">
        <v>0</v>
      </c>
    </row>
    <row r="518">
      <c r="F518" s="43" t="b">
        <v>0</v>
      </c>
    </row>
    <row r="519">
      <c r="F519" s="43" t="b">
        <v>0</v>
      </c>
    </row>
    <row r="520">
      <c r="F520" s="43" t="b">
        <v>0</v>
      </c>
    </row>
    <row r="521">
      <c r="F521" s="43" t="b">
        <v>0</v>
      </c>
    </row>
    <row r="522">
      <c r="F522" s="43" t="b">
        <v>0</v>
      </c>
    </row>
    <row r="523">
      <c r="F523" s="43" t="b">
        <v>0</v>
      </c>
    </row>
    <row r="524">
      <c r="F524" s="43" t="b">
        <v>0</v>
      </c>
    </row>
    <row r="525">
      <c r="F525" s="43" t="b">
        <v>0</v>
      </c>
    </row>
    <row r="526">
      <c r="F526" s="43" t="b">
        <v>0</v>
      </c>
    </row>
    <row r="527">
      <c r="F527" s="43" t="b">
        <v>0</v>
      </c>
    </row>
    <row r="528">
      <c r="F528" s="43" t="b">
        <v>0</v>
      </c>
    </row>
    <row r="529">
      <c r="F529" s="43" t="b">
        <v>0</v>
      </c>
    </row>
    <row r="530">
      <c r="F530" s="43" t="b">
        <v>0</v>
      </c>
    </row>
    <row r="531">
      <c r="F531" s="43" t="b">
        <v>0</v>
      </c>
    </row>
    <row r="532">
      <c r="F532" s="43" t="b">
        <v>0</v>
      </c>
    </row>
    <row r="533">
      <c r="F533" s="43" t="b">
        <v>0</v>
      </c>
    </row>
    <row r="534">
      <c r="F534" s="43" t="b">
        <v>0</v>
      </c>
    </row>
    <row r="535">
      <c r="F535" s="43" t="b">
        <v>0</v>
      </c>
    </row>
    <row r="536">
      <c r="F536" s="43" t="b">
        <v>0</v>
      </c>
    </row>
    <row r="537">
      <c r="F537" s="43" t="b">
        <v>0</v>
      </c>
    </row>
    <row r="538">
      <c r="F538" s="43" t="b">
        <v>0</v>
      </c>
    </row>
    <row r="539">
      <c r="F539" s="43" t="b">
        <v>0</v>
      </c>
    </row>
    <row r="540">
      <c r="F540" s="43" t="b">
        <v>0</v>
      </c>
    </row>
    <row r="541">
      <c r="F541" s="43" t="b">
        <v>0</v>
      </c>
    </row>
    <row r="542">
      <c r="F542" s="43" t="b">
        <v>0</v>
      </c>
    </row>
    <row r="543">
      <c r="F543" s="43" t="b">
        <v>0</v>
      </c>
    </row>
    <row r="544">
      <c r="F544" s="43" t="b">
        <v>0</v>
      </c>
    </row>
    <row r="545">
      <c r="F545" s="43" t="b">
        <v>0</v>
      </c>
    </row>
    <row r="546">
      <c r="F546" s="43" t="b">
        <v>0</v>
      </c>
    </row>
    <row r="547">
      <c r="F547" s="43" t="b">
        <v>0</v>
      </c>
    </row>
    <row r="548">
      <c r="F548" s="43" t="b">
        <v>0</v>
      </c>
    </row>
    <row r="549">
      <c r="F549" s="43" t="b">
        <v>0</v>
      </c>
    </row>
    <row r="550">
      <c r="F550" s="43" t="b">
        <v>0</v>
      </c>
    </row>
    <row r="551">
      <c r="F551" s="43" t="b">
        <v>0</v>
      </c>
    </row>
    <row r="552">
      <c r="F552" s="43" t="b">
        <v>0</v>
      </c>
    </row>
    <row r="553">
      <c r="F553" s="43" t="b">
        <v>0</v>
      </c>
    </row>
    <row r="554">
      <c r="F554" s="43" t="b">
        <v>0</v>
      </c>
    </row>
    <row r="555">
      <c r="F555" s="43" t="b">
        <v>0</v>
      </c>
    </row>
    <row r="556">
      <c r="F556" s="43" t="b">
        <v>0</v>
      </c>
    </row>
    <row r="557">
      <c r="F557" s="43" t="b">
        <v>0</v>
      </c>
    </row>
    <row r="558">
      <c r="F558" s="43" t="b">
        <v>0</v>
      </c>
    </row>
    <row r="559">
      <c r="F559" s="43" t="b">
        <v>0</v>
      </c>
    </row>
    <row r="560">
      <c r="F560" s="43" t="b">
        <v>0</v>
      </c>
    </row>
    <row r="561">
      <c r="F561" s="43" t="b">
        <v>0</v>
      </c>
    </row>
    <row r="562">
      <c r="F562" s="43" t="b">
        <v>0</v>
      </c>
    </row>
    <row r="563">
      <c r="F563" s="43" t="b">
        <v>0</v>
      </c>
    </row>
    <row r="564">
      <c r="F564" s="43" t="b">
        <v>0</v>
      </c>
    </row>
    <row r="565">
      <c r="F565" s="43" t="b">
        <v>0</v>
      </c>
    </row>
    <row r="566">
      <c r="F566" s="43" t="b">
        <v>0</v>
      </c>
    </row>
    <row r="567">
      <c r="F567" s="43" t="b">
        <v>0</v>
      </c>
    </row>
    <row r="568">
      <c r="F568" s="43" t="b">
        <v>0</v>
      </c>
    </row>
    <row r="569">
      <c r="F569" s="43" t="b">
        <v>0</v>
      </c>
    </row>
    <row r="570">
      <c r="F570" s="43" t="b">
        <v>0</v>
      </c>
    </row>
    <row r="571">
      <c r="F571" s="43" t="b">
        <v>0</v>
      </c>
    </row>
    <row r="572">
      <c r="F572" s="43" t="b">
        <v>0</v>
      </c>
    </row>
    <row r="573">
      <c r="F573" s="43" t="b">
        <v>0</v>
      </c>
    </row>
    <row r="574">
      <c r="F574" s="43" t="b">
        <v>0</v>
      </c>
    </row>
    <row r="575">
      <c r="F575" s="43" t="b">
        <v>0</v>
      </c>
    </row>
    <row r="576">
      <c r="F576" s="43" t="b">
        <v>0</v>
      </c>
    </row>
    <row r="577">
      <c r="F577" s="43" t="b">
        <v>0</v>
      </c>
    </row>
    <row r="578">
      <c r="F578" s="43" t="b">
        <v>0</v>
      </c>
    </row>
    <row r="579">
      <c r="F579" s="43" t="b">
        <v>0</v>
      </c>
    </row>
    <row r="580">
      <c r="F580" s="43" t="b">
        <v>0</v>
      </c>
    </row>
    <row r="581">
      <c r="F581" s="43" t="b">
        <v>0</v>
      </c>
    </row>
    <row r="582">
      <c r="F582" s="43" t="b">
        <v>0</v>
      </c>
    </row>
    <row r="583">
      <c r="F583" s="43" t="b">
        <v>0</v>
      </c>
    </row>
    <row r="584">
      <c r="F584" s="43" t="b">
        <v>0</v>
      </c>
    </row>
    <row r="585">
      <c r="F585" s="43" t="b">
        <v>0</v>
      </c>
    </row>
    <row r="586">
      <c r="F586" s="43" t="b">
        <v>0</v>
      </c>
    </row>
    <row r="587">
      <c r="F587" s="43" t="b">
        <v>0</v>
      </c>
    </row>
    <row r="588">
      <c r="F588" s="43" t="b">
        <v>0</v>
      </c>
    </row>
    <row r="589">
      <c r="F589" s="43" t="b">
        <v>0</v>
      </c>
    </row>
    <row r="590">
      <c r="F590" s="43" t="b">
        <v>0</v>
      </c>
    </row>
    <row r="591">
      <c r="F591" s="43" t="b">
        <v>0</v>
      </c>
    </row>
    <row r="592">
      <c r="F592" s="43" t="b">
        <v>0</v>
      </c>
    </row>
    <row r="593">
      <c r="F593" s="43" t="b">
        <v>0</v>
      </c>
    </row>
    <row r="594">
      <c r="F594" s="43" t="b">
        <v>0</v>
      </c>
    </row>
    <row r="595">
      <c r="F595" s="43" t="b">
        <v>0</v>
      </c>
    </row>
    <row r="596">
      <c r="F596" s="43" t="b">
        <v>0</v>
      </c>
    </row>
    <row r="597">
      <c r="F597" s="43" t="b">
        <v>0</v>
      </c>
    </row>
    <row r="598">
      <c r="F598" s="43" t="b">
        <v>0</v>
      </c>
    </row>
    <row r="599">
      <c r="F599" s="43" t="b">
        <v>0</v>
      </c>
    </row>
    <row r="600">
      <c r="F600" s="43" t="b">
        <v>0</v>
      </c>
    </row>
    <row r="601">
      <c r="F601" s="43" t="b">
        <v>0</v>
      </c>
    </row>
    <row r="602">
      <c r="F602" s="43" t="b">
        <v>0</v>
      </c>
    </row>
    <row r="603">
      <c r="F603" s="43" t="b">
        <v>0</v>
      </c>
    </row>
    <row r="604">
      <c r="F604" s="43" t="b">
        <v>0</v>
      </c>
    </row>
    <row r="605">
      <c r="F605" s="43" t="b">
        <v>0</v>
      </c>
    </row>
    <row r="606">
      <c r="F606" s="43" t="b">
        <v>0</v>
      </c>
    </row>
    <row r="607">
      <c r="F607" s="43" t="b">
        <v>0</v>
      </c>
    </row>
    <row r="608">
      <c r="F608" s="43" t="b">
        <v>0</v>
      </c>
    </row>
    <row r="609">
      <c r="F609" s="43" t="b">
        <v>0</v>
      </c>
    </row>
    <row r="610">
      <c r="F610" s="43" t="b">
        <v>0</v>
      </c>
    </row>
    <row r="611">
      <c r="F611" s="43" t="b">
        <v>0</v>
      </c>
    </row>
    <row r="612">
      <c r="F612" s="43" t="b">
        <v>0</v>
      </c>
    </row>
    <row r="613">
      <c r="F613" s="43" t="b">
        <v>0</v>
      </c>
    </row>
    <row r="614">
      <c r="F614" s="43" t="b">
        <v>0</v>
      </c>
    </row>
    <row r="615">
      <c r="F615" s="43" t="b">
        <v>0</v>
      </c>
    </row>
    <row r="616">
      <c r="F616" s="43" t="b">
        <v>0</v>
      </c>
    </row>
    <row r="617">
      <c r="F617" s="43" t="b">
        <v>0</v>
      </c>
    </row>
    <row r="618">
      <c r="F618" s="43" t="b">
        <v>0</v>
      </c>
    </row>
    <row r="619">
      <c r="F619" s="43" t="b">
        <v>0</v>
      </c>
    </row>
    <row r="620">
      <c r="F620" s="43" t="b">
        <v>0</v>
      </c>
    </row>
    <row r="621">
      <c r="F621" s="43" t="b">
        <v>0</v>
      </c>
    </row>
    <row r="622">
      <c r="F622" s="43" t="b">
        <v>0</v>
      </c>
    </row>
    <row r="623">
      <c r="F623" s="43" t="b">
        <v>0</v>
      </c>
    </row>
    <row r="624">
      <c r="F624" s="43" t="b">
        <v>0</v>
      </c>
    </row>
    <row r="625">
      <c r="F625" s="43" t="b">
        <v>0</v>
      </c>
    </row>
    <row r="626">
      <c r="F626" s="43" t="b">
        <v>0</v>
      </c>
    </row>
    <row r="627">
      <c r="F627" s="43" t="b">
        <v>0</v>
      </c>
    </row>
    <row r="628">
      <c r="F628" s="43" t="b">
        <v>0</v>
      </c>
    </row>
    <row r="629">
      <c r="F629" s="43" t="b">
        <v>0</v>
      </c>
    </row>
    <row r="630">
      <c r="F630" s="43" t="b">
        <v>0</v>
      </c>
    </row>
    <row r="631">
      <c r="F631" s="43" t="b">
        <v>0</v>
      </c>
    </row>
    <row r="632">
      <c r="F632" s="43" t="b">
        <v>0</v>
      </c>
    </row>
    <row r="633">
      <c r="F633" s="43" t="b">
        <v>0</v>
      </c>
    </row>
    <row r="634">
      <c r="F634" s="43" t="b">
        <v>0</v>
      </c>
    </row>
    <row r="635">
      <c r="F635" s="43" t="b">
        <v>0</v>
      </c>
    </row>
    <row r="636">
      <c r="F636" s="43" t="b">
        <v>0</v>
      </c>
    </row>
    <row r="637">
      <c r="F637" s="43" t="b">
        <v>0</v>
      </c>
    </row>
    <row r="638">
      <c r="F638" s="43" t="b">
        <v>0</v>
      </c>
    </row>
    <row r="639">
      <c r="F639" s="43" t="b">
        <v>0</v>
      </c>
    </row>
    <row r="640">
      <c r="F640" s="43" t="b">
        <v>0</v>
      </c>
    </row>
    <row r="641">
      <c r="F641" s="43" t="b">
        <v>0</v>
      </c>
    </row>
    <row r="642">
      <c r="F642" s="43" t="b">
        <v>0</v>
      </c>
    </row>
    <row r="643">
      <c r="F643" s="43" t="b">
        <v>0</v>
      </c>
    </row>
    <row r="644">
      <c r="F644" s="43" t="b">
        <v>0</v>
      </c>
    </row>
    <row r="645">
      <c r="F645" s="43" t="b">
        <v>0</v>
      </c>
    </row>
    <row r="646">
      <c r="F646" s="43" t="b">
        <v>0</v>
      </c>
    </row>
    <row r="647">
      <c r="F647" s="43" t="b">
        <v>0</v>
      </c>
    </row>
    <row r="648">
      <c r="F648" s="43" t="b">
        <v>0</v>
      </c>
    </row>
    <row r="649">
      <c r="F649" s="43" t="b">
        <v>0</v>
      </c>
    </row>
    <row r="650">
      <c r="F650" s="43" t="b">
        <v>0</v>
      </c>
    </row>
    <row r="651">
      <c r="F651" s="43" t="b">
        <v>0</v>
      </c>
    </row>
    <row r="652">
      <c r="F652" s="43" t="b">
        <v>0</v>
      </c>
    </row>
    <row r="653">
      <c r="F653" s="43" t="b">
        <v>0</v>
      </c>
    </row>
    <row r="654">
      <c r="F654" s="43" t="b">
        <v>0</v>
      </c>
    </row>
    <row r="655">
      <c r="F655" s="43" t="b">
        <v>0</v>
      </c>
    </row>
    <row r="656">
      <c r="F656" s="43" t="b">
        <v>0</v>
      </c>
    </row>
    <row r="657">
      <c r="F657" s="43" t="b">
        <v>0</v>
      </c>
    </row>
    <row r="658">
      <c r="F658" s="43" t="b">
        <v>0</v>
      </c>
    </row>
    <row r="659">
      <c r="F659" s="43" t="b">
        <v>0</v>
      </c>
    </row>
    <row r="660">
      <c r="F660" s="43" t="b">
        <v>0</v>
      </c>
    </row>
    <row r="661">
      <c r="F661" s="43" t="b">
        <v>0</v>
      </c>
    </row>
    <row r="662">
      <c r="F662" s="43" t="b">
        <v>0</v>
      </c>
    </row>
    <row r="663">
      <c r="F663" s="43" t="b">
        <v>0</v>
      </c>
    </row>
    <row r="664">
      <c r="F664" s="43" t="b">
        <v>0</v>
      </c>
    </row>
    <row r="665">
      <c r="F665" s="43" t="b">
        <v>0</v>
      </c>
    </row>
    <row r="666">
      <c r="F666" s="43" t="b">
        <v>0</v>
      </c>
    </row>
    <row r="667">
      <c r="F667" s="43" t="b">
        <v>0</v>
      </c>
    </row>
    <row r="668">
      <c r="F668" s="43" t="b">
        <v>0</v>
      </c>
    </row>
    <row r="669">
      <c r="F669" s="43" t="b">
        <v>0</v>
      </c>
    </row>
    <row r="670">
      <c r="F670" s="43" t="b">
        <v>0</v>
      </c>
    </row>
    <row r="671">
      <c r="F671" s="43" t="b">
        <v>0</v>
      </c>
    </row>
    <row r="672">
      <c r="F672" s="43" t="b">
        <v>0</v>
      </c>
    </row>
    <row r="673">
      <c r="F673" s="43" t="b">
        <v>0</v>
      </c>
    </row>
    <row r="674">
      <c r="F674" s="43" t="b">
        <v>0</v>
      </c>
    </row>
    <row r="675">
      <c r="F675" s="43" t="b">
        <v>0</v>
      </c>
    </row>
    <row r="676">
      <c r="F676" s="43" t="b">
        <v>0</v>
      </c>
    </row>
    <row r="677">
      <c r="F677" s="43" t="b">
        <v>0</v>
      </c>
    </row>
    <row r="678">
      <c r="F678" s="43" t="b">
        <v>0</v>
      </c>
    </row>
    <row r="679">
      <c r="F679" s="43" t="b">
        <v>0</v>
      </c>
    </row>
    <row r="680">
      <c r="F680" s="43" t="b">
        <v>0</v>
      </c>
    </row>
    <row r="681">
      <c r="F681" s="43" t="b">
        <v>0</v>
      </c>
    </row>
    <row r="682">
      <c r="F682" s="43" t="b">
        <v>0</v>
      </c>
    </row>
    <row r="683">
      <c r="F683" s="43" t="b">
        <v>0</v>
      </c>
    </row>
    <row r="684">
      <c r="F684" s="43" t="b">
        <v>0</v>
      </c>
    </row>
    <row r="685">
      <c r="F685" s="43" t="b">
        <v>0</v>
      </c>
    </row>
    <row r="686">
      <c r="F686" s="43" t="b">
        <v>0</v>
      </c>
    </row>
    <row r="687">
      <c r="F687" s="43" t="b">
        <v>0</v>
      </c>
    </row>
    <row r="688">
      <c r="F688" s="43" t="b">
        <v>0</v>
      </c>
    </row>
    <row r="689">
      <c r="F689" s="43" t="b">
        <v>0</v>
      </c>
    </row>
    <row r="690">
      <c r="F690" s="43" t="b">
        <v>0</v>
      </c>
    </row>
    <row r="691">
      <c r="F691" s="43" t="b">
        <v>0</v>
      </c>
    </row>
    <row r="692">
      <c r="F692" s="43" t="b">
        <v>0</v>
      </c>
    </row>
    <row r="693">
      <c r="F693" s="43" t="b">
        <v>0</v>
      </c>
    </row>
    <row r="694">
      <c r="F694" s="43" t="b">
        <v>0</v>
      </c>
    </row>
    <row r="695">
      <c r="F695" s="43" t="b">
        <v>0</v>
      </c>
    </row>
    <row r="696">
      <c r="F696" s="43" t="b">
        <v>0</v>
      </c>
    </row>
    <row r="697">
      <c r="F697" s="43" t="b">
        <v>0</v>
      </c>
    </row>
    <row r="698">
      <c r="F698" s="43" t="b">
        <v>0</v>
      </c>
    </row>
    <row r="699">
      <c r="F699" s="43" t="b">
        <v>0</v>
      </c>
    </row>
    <row r="700">
      <c r="F700" s="43" t="b">
        <v>0</v>
      </c>
    </row>
    <row r="701">
      <c r="F701" s="43" t="b">
        <v>0</v>
      </c>
    </row>
    <row r="702">
      <c r="F702" s="43" t="b">
        <v>0</v>
      </c>
    </row>
    <row r="703">
      <c r="F703" s="43" t="b">
        <v>0</v>
      </c>
    </row>
    <row r="704">
      <c r="F704" s="43" t="b">
        <v>0</v>
      </c>
    </row>
    <row r="705">
      <c r="F705" s="43" t="b">
        <v>0</v>
      </c>
    </row>
    <row r="706">
      <c r="F706" s="43" t="b">
        <v>0</v>
      </c>
    </row>
    <row r="707">
      <c r="F707" s="43" t="b">
        <v>0</v>
      </c>
    </row>
    <row r="708">
      <c r="F708" s="43" t="b">
        <v>0</v>
      </c>
    </row>
    <row r="709">
      <c r="F709" s="43" t="b">
        <v>0</v>
      </c>
    </row>
    <row r="710">
      <c r="F710" s="43" t="b">
        <v>0</v>
      </c>
    </row>
    <row r="711">
      <c r="F711" s="43" t="b">
        <v>0</v>
      </c>
    </row>
    <row r="712">
      <c r="F712" s="43" t="b">
        <v>0</v>
      </c>
    </row>
    <row r="713">
      <c r="F713" s="43" t="b">
        <v>0</v>
      </c>
    </row>
    <row r="714">
      <c r="F714" s="43" t="b">
        <v>0</v>
      </c>
    </row>
    <row r="715">
      <c r="F715" s="43" t="b">
        <v>0</v>
      </c>
    </row>
    <row r="716">
      <c r="F716" s="43" t="b">
        <v>0</v>
      </c>
    </row>
    <row r="717">
      <c r="F717" s="43" t="b">
        <v>0</v>
      </c>
    </row>
    <row r="718">
      <c r="F718" s="43" t="b">
        <v>0</v>
      </c>
    </row>
    <row r="719">
      <c r="F719" s="43" t="b">
        <v>0</v>
      </c>
    </row>
    <row r="720">
      <c r="F720" s="43" t="b">
        <v>0</v>
      </c>
    </row>
    <row r="721">
      <c r="F721" s="43" t="b">
        <v>0</v>
      </c>
    </row>
    <row r="722">
      <c r="F722" s="43" t="b">
        <v>0</v>
      </c>
    </row>
    <row r="723">
      <c r="F723" s="43" t="b">
        <v>0</v>
      </c>
    </row>
    <row r="724">
      <c r="F724" s="43" t="b">
        <v>0</v>
      </c>
    </row>
    <row r="725">
      <c r="F725" s="43" t="b">
        <v>0</v>
      </c>
    </row>
    <row r="726">
      <c r="F726" s="43" t="b">
        <v>0</v>
      </c>
    </row>
    <row r="727">
      <c r="F727" s="43" t="b">
        <v>0</v>
      </c>
    </row>
    <row r="728">
      <c r="F728" s="43" t="b">
        <v>0</v>
      </c>
    </row>
    <row r="729">
      <c r="F729" s="43" t="b">
        <v>0</v>
      </c>
    </row>
    <row r="730">
      <c r="F730" s="43" t="b">
        <v>0</v>
      </c>
    </row>
    <row r="731">
      <c r="F731" s="43" t="b">
        <v>0</v>
      </c>
    </row>
    <row r="732">
      <c r="F732" s="43" t="b">
        <v>0</v>
      </c>
    </row>
    <row r="733">
      <c r="F733" s="43" t="b">
        <v>0</v>
      </c>
    </row>
    <row r="734">
      <c r="F734" s="43" t="b">
        <v>0</v>
      </c>
    </row>
    <row r="735">
      <c r="F735" s="43" t="b">
        <v>0</v>
      </c>
    </row>
    <row r="736">
      <c r="F736" s="43" t="b">
        <v>0</v>
      </c>
    </row>
    <row r="737">
      <c r="F737" s="43" t="b">
        <v>0</v>
      </c>
    </row>
    <row r="738">
      <c r="F738" s="43" t="b">
        <v>0</v>
      </c>
    </row>
    <row r="739">
      <c r="F739" s="43" t="b">
        <v>0</v>
      </c>
    </row>
    <row r="740">
      <c r="F740" s="43" t="b">
        <v>0</v>
      </c>
    </row>
    <row r="741">
      <c r="F741" s="43" t="b">
        <v>0</v>
      </c>
    </row>
    <row r="742">
      <c r="F742" s="43" t="b">
        <v>0</v>
      </c>
    </row>
    <row r="743">
      <c r="F743" s="43" t="b">
        <v>0</v>
      </c>
    </row>
    <row r="744">
      <c r="F744" s="43" t="b">
        <v>0</v>
      </c>
    </row>
    <row r="745">
      <c r="F745" s="43" t="b">
        <v>0</v>
      </c>
    </row>
    <row r="746">
      <c r="F746" s="43" t="b">
        <v>0</v>
      </c>
    </row>
    <row r="747">
      <c r="F747" s="43" t="b">
        <v>0</v>
      </c>
    </row>
    <row r="748">
      <c r="F748" s="43" t="b">
        <v>0</v>
      </c>
    </row>
    <row r="749">
      <c r="F749" s="43" t="b">
        <v>0</v>
      </c>
    </row>
    <row r="750">
      <c r="F750" s="43" t="b">
        <v>0</v>
      </c>
    </row>
    <row r="751">
      <c r="F751" s="43" t="b">
        <v>0</v>
      </c>
    </row>
    <row r="752">
      <c r="F752" s="43" t="b">
        <v>0</v>
      </c>
    </row>
    <row r="753">
      <c r="F753" s="43" t="b">
        <v>0</v>
      </c>
    </row>
    <row r="754">
      <c r="F754" s="43" t="b">
        <v>0</v>
      </c>
    </row>
    <row r="755">
      <c r="F755" s="43" t="b">
        <v>0</v>
      </c>
    </row>
    <row r="756">
      <c r="F756" s="43" t="b">
        <v>0</v>
      </c>
    </row>
    <row r="757">
      <c r="F757" s="43" t="b">
        <v>0</v>
      </c>
    </row>
    <row r="758">
      <c r="F758" s="43" t="b">
        <v>0</v>
      </c>
    </row>
    <row r="759">
      <c r="F759" s="43" t="b">
        <v>0</v>
      </c>
    </row>
    <row r="760">
      <c r="F760" s="43" t="b">
        <v>0</v>
      </c>
    </row>
    <row r="761">
      <c r="F761" s="43" t="b">
        <v>0</v>
      </c>
    </row>
    <row r="762">
      <c r="F762" s="43" t="b">
        <v>0</v>
      </c>
    </row>
    <row r="763">
      <c r="F763" s="43" t="b">
        <v>0</v>
      </c>
    </row>
    <row r="764">
      <c r="F764" s="43" t="b">
        <v>0</v>
      </c>
    </row>
    <row r="765">
      <c r="F765" s="43" t="b">
        <v>0</v>
      </c>
    </row>
    <row r="766">
      <c r="F766" s="43" t="b">
        <v>0</v>
      </c>
    </row>
    <row r="767">
      <c r="F767" s="43" t="b">
        <v>0</v>
      </c>
    </row>
    <row r="768">
      <c r="F768" s="43" t="b">
        <v>0</v>
      </c>
    </row>
    <row r="769">
      <c r="F769" s="43" t="b">
        <v>0</v>
      </c>
    </row>
    <row r="770">
      <c r="F770" s="43" t="b">
        <v>0</v>
      </c>
    </row>
    <row r="771">
      <c r="F771" s="43" t="b">
        <v>0</v>
      </c>
    </row>
    <row r="772">
      <c r="F772" s="43" t="b">
        <v>0</v>
      </c>
    </row>
    <row r="773">
      <c r="F773" s="43" t="b">
        <v>0</v>
      </c>
    </row>
    <row r="774">
      <c r="F774" s="43" t="b">
        <v>0</v>
      </c>
    </row>
    <row r="775">
      <c r="F775" s="43" t="b">
        <v>0</v>
      </c>
    </row>
    <row r="776">
      <c r="F776" s="43" t="b">
        <v>0</v>
      </c>
    </row>
    <row r="777">
      <c r="F777" s="43" t="b">
        <v>0</v>
      </c>
    </row>
    <row r="778">
      <c r="F778" s="43" t="b">
        <v>0</v>
      </c>
    </row>
    <row r="779">
      <c r="F779" s="43" t="b">
        <v>0</v>
      </c>
    </row>
    <row r="780">
      <c r="F780" s="43" t="b">
        <v>0</v>
      </c>
    </row>
    <row r="781">
      <c r="F781" s="43" t="b">
        <v>0</v>
      </c>
    </row>
    <row r="782">
      <c r="F782" s="43" t="b">
        <v>0</v>
      </c>
    </row>
    <row r="783">
      <c r="F783" s="43" t="b">
        <v>0</v>
      </c>
    </row>
    <row r="784">
      <c r="F784" s="43" t="b">
        <v>0</v>
      </c>
    </row>
    <row r="785">
      <c r="F785" s="43" t="b">
        <v>0</v>
      </c>
    </row>
    <row r="786">
      <c r="F786" s="43" t="b">
        <v>0</v>
      </c>
    </row>
    <row r="787">
      <c r="F787" s="43" t="b">
        <v>0</v>
      </c>
    </row>
    <row r="788">
      <c r="F788" s="43" t="b">
        <v>0</v>
      </c>
    </row>
    <row r="789">
      <c r="F789" s="43" t="b">
        <v>0</v>
      </c>
    </row>
    <row r="790">
      <c r="F790" s="43" t="b">
        <v>0</v>
      </c>
    </row>
    <row r="791">
      <c r="F791" s="43" t="b">
        <v>0</v>
      </c>
    </row>
    <row r="792">
      <c r="F792" s="43" t="b">
        <v>0</v>
      </c>
    </row>
    <row r="793">
      <c r="F793" s="43" t="b">
        <v>0</v>
      </c>
    </row>
    <row r="794">
      <c r="F794" s="43" t="b">
        <v>0</v>
      </c>
    </row>
    <row r="795">
      <c r="F795" s="43" t="b">
        <v>0</v>
      </c>
    </row>
    <row r="796">
      <c r="F796" s="43" t="b">
        <v>0</v>
      </c>
    </row>
    <row r="797">
      <c r="F797" s="43" t="b">
        <v>0</v>
      </c>
    </row>
    <row r="798">
      <c r="F798" s="43" t="b">
        <v>0</v>
      </c>
    </row>
    <row r="799">
      <c r="F799" s="43" t="b">
        <v>0</v>
      </c>
    </row>
    <row r="800">
      <c r="F800" s="43" t="b">
        <v>0</v>
      </c>
    </row>
    <row r="801">
      <c r="F801" s="43" t="b">
        <v>0</v>
      </c>
    </row>
    <row r="802">
      <c r="F802" s="43" t="b">
        <v>0</v>
      </c>
    </row>
    <row r="803">
      <c r="F803" s="43" t="b">
        <v>0</v>
      </c>
    </row>
    <row r="804">
      <c r="F804" s="43" t="b">
        <v>0</v>
      </c>
    </row>
    <row r="805">
      <c r="F805" s="43" t="b">
        <v>0</v>
      </c>
    </row>
    <row r="806">
      <c r="F806" s="43" t="b">
        <v>0</v>
      </c>
    </row>
    <row r="807">
      <c r="F807" s="43" t="b">
        <v>0</v>
      </c>
    </row>
    <row r="808">
      <c r="F808" s="43" t="b">
        <v>0</v>
      </c>
    </row>
    <row r="809">
      <c r="F809" s="43" t="b">
        <v>0</v>
      </c>
    </row>
    <row r="810">
      <c r="F810" s="43" t="b">
        <v>0</v>
      </c>
    </row>
    <row r="811">
      <c r="F811" s="43" t="b">
        <v>0</v>
      </c>
    </row>
    <row r="812">
      <c r="F812" s="43" t="b">
        <v>0</v>
      </c>
    </row>
    <row r="813">
      <c r="F813" s="43" t="b">
        <v>0</v>
      </c>
    </row>
    <row r="814">
      <c r="F814" s="43" t="b">
        <v>0</v>
      </c>
    </row>
    <row r="815">
      <c r="F815" s="43" t="b">
        <v>0</v>
      </c>
    </row>
    <row r="816">
      <c r="F816" s="43" t="b">
        <v>0</v>
      </c>
    </row>
    <row r="817">
      <c r="F817" s="43" t="b">
        <v>0</v>
      </c>
    </row>
    <row r="818">
      <c r="F818" s="43" t="b">
        <v>0</v>
      </c>
    </row>
    <row r="819">
      <c r="F819" s="43" t="b">
        <v>0</v>
      </c>
    </row>
    <row r="820">
      <c r="F820" s="43" t="b">
        <v>0</v>
      </c>
    </row>
    <row r="821">
      <c r="F821" s="43" t="b">
        <v>0</v>
      </c>
    </row>
    <row r="822">
      <c r="F822" s="43" t="b">
        <v>0</v>
      </c>
    </row>
    <row r="823">
      <c r="F823" s="43" t="b">
        <v>0</v>
      </c>
    </row>
    <row r="824">
      <c r="F824" s="43" t="b">
        <v>0</v>
      </c>
    </row>
    <row r="825">
      <c r="F825" s="43" t="b">
        <v>0</v>
      </c>
    </row>
    <row r="826">
      <c r="F826" s="43" t="b">
        <v>0</v>
      </c>
    </row>
    <row r="827">
      <c r="F827" s="43" t="b">
        <v>0</v>
      </c>
    </row>
    <row r="828">
      <c r="F828" s="43" t="b">
        <v>0</v>
      </c>
    </row>
    <row r="829">
      <c r="F829" s="43" t="b">
        <v>0</v>
      </c>
    </row>
    <row r="830">
      <c r="F830" s="43" t="b">
        <v>0</v>
      </c>
    </row>
    <row r="831">
      <c r="F831" s="43" t="b">
        <v>0</v>
      </c>
    </row>
    <row r="832">
      <c r="F832" s="43" t="b">
        <v>0</v>
      </c>
    </row>
    <row r="833">
      <c r="F833" s="43" t="b">
        <v>0</v>
      </c>
    </row>
    <row r="834">
      <c r="F834" s="43" t="b">
        <v>0</v>
      </c>
    </row>
    <row r="835">
      <c r="F835" s="43" t="b">
        <v>0</v>
      </c>
    </row>
    <row r="836">
      <c r="F836" s="43" t="b">
        <v>0</v>
      </c>
    </row>
    <row r="837">
      <c r="F837" s="43" t="b">
        <v>0</v>
      </c>
    </row>
    <row r="838">
      <c r="F838" s="43" t="b">
        <v>0</v>
      </c>
    </row>
    <row r="839">
      <c r="F839" s="43" t="b">
        <v>0</v>
      </c>
    </row>
    <row r="840">
      <c r="F840" s="43" t="b">
        <v>0</v>
      </c>
    </row>
    <row r="841">
      <c r="F841" s="43" t="b">
        <v>0</v>
      </c>
    </row>
    <row r="842">
      <c r="F842" s="43" t="b">
        <v>0</v>
      </c>
    </row>
    <row r="843">
      <c r="F843" s="43" t="b">
        <v>0</v>
      </c>
    </row>
    <row r="844">
      <c r="F844" s="43" t="b">
        <v>0</v>
      </c>
    </row>
    <row r="845">
      <c r="F845" s="43" t="b">
        <v>0</v>
      </c>
    </row>
    <row r="846">
      <c r="F846" s="43" t="b">
        <v>0</v>
      </c>
    </row>
    <row r="847">
      <c r="F847" s="43" t="b">
        <v>0</v>
      </c>
    </row>
    <row r="848">
      <c r="F848" s="43" t="b">
        <v>0</v>
      </c>
    </row>
    <row r="849">
      <c r="F849" s="43" t="b">
        <v>0</v>
      </c>
    </row>
    <row r="850">
      <c r="F850" s="43" t="b">
        <v>0</v>
      </c>
    </row>
    <row r="851">
      <c r="F851" s="43" t="b">
        <v>0</v>
      </c>
    </row>
    <row r="852">
      <c r="F852" s="43" t="b">
        <v>0</v>
      </c>
    </row>
    <row r="853">
      <c r="F853" s="43" t="b">
        <v>0</v>
      </c>
    </row>
    <row r="854">
      <c r="F854" s="43" t="b">
        <v>0</v>
      </c>
    </row>
    <row r="855">
      <c r="F855" s="43" t="b">
        <v>0</v>
      </c>
    </row>
    <row r="856">
      <c r="F856" s="43" t="b">
        <v>0</v>
      </c>
    </row>
    <row r="857">
      <c r="F857" s="43" t="b">
        <v>0</v>
      </c>
    </row>
    <row r="858">
      <c r="F858" s="43" t="b">
        <v>0</v>
      </c>
    </row>
    <row r="859">
      <c r="F859" s="43" t="b">
        <v>0</v>
      </c>
    </row>
    <row r="860">
      <c r="F860" s="43" t="b">
        <v>0</v>
      </c>
    </row>
    <row r="861">
      <c r="F861" s="43" t="b">
        <v>0</v>
      </c>
    </row>
    <row r="862">
      <c r="F862" s="43" t="b">
        <v>0</v>
      </c>
    </row>
    <row r="863">
      <c r="F863" s="43" t="b">
        <v>0</v>
      </c>
    </row>
    <row r="864">
      <c r="F864" s="43" t="b">
        <v>0</v>
      </c>
    </row>
    <row r="865">
      <c r="F865" s="43" t="b">
        <v>0</v>
      </c>
    </row>
    <row r="866">
      <c r="F866" s="43" t="b">
        <v>0</v>
      </c>
    </row>
    <row r="867">
      <c r="F867" s="43" t="b">
        <v>0</v>
      </c>
    </row>
    <row r="868">
      <c r="F868" s="43" t="b">
        <v>0</v>
      </c>
    </row>
    <row r="869">
      <c r="F869" s="43" t="b">
        <v>0</v>
      </c>
    </row>
    <row r="870">
      <c r="F870" s="43" t="b">
        <v>0</v>
      </c>
    </row>
    <row r="871">
      <c r="F871" s="43" t="b">
        <v>0</v>
      </c>
    </row>
    <row r="872">
      <c r="F872" s="43" t="b">
        <v>0</v>
      </c>
    </row>
    <row r="873">
      <c r="F873" s="43" t="b">
        <v>0</v>
      </c>
    </row>
    <row r="874">
      <c r="F874" s="43" t="b">
        <v>0</v>
      </c>
    </row>
    <row r="875">
      <c r="F875" s="43" t="b">
        <v>0</v>
      </c>
    </row>
    <row r="876">
      <c r="F876" s="43" t="b">
        <v>0</v>
      </c>
    </row>
    <row r="877">
      <c r="F877" s="43" t="b">
        <v>0</v>
      </c>
    </row>
    <row r="878">
      <c r="F878" s="43" t="b">
        <v>0</v>
      </c>
    </row>
    <row r="879">
      <c r="F879" s="43" t="b">
        <v>0</v>
      </c>
    </row>
    <row r="880">
      <c r="F880" s="43" t="b">
        <v>0</v>
      </c>
    </row>
    <row r="881">
      <c r="F881" s="43" t="b">
        <v>0</v>
      </c>
    </row>
    <row r="882">
      <c r="F882" s="43" t="b">
        <v>0</v>
      </c>
    </row>
    <row r="883">
      <c r="F883" s="43" t="b">
        <v>0</v>
      </c>
    </row>
    <row r="884">
      <c r="F884" s="43" t="b">
        <v>0</v>
      </c>
    </row>
    <row r="885">
      <c r="F885" s="43" t="b">
        <v>0</v>
      </c>
    </row>
    <row r="886">
      <c r="F886" s="43" t="b">
        <v>0</v>
      </c>
    </row>
    <row r="887">
      <c r="F887" s="43" t="b">
        <v>0</v>
      </c>
    </row>
    <row r="888">
      <c r="F888" s="43" t="b">
        <v>0</v>
      </c>
    </row>
    <row r="889">
      <c r="F889" s="43" t="b">
        <v>0</v>
      </c>
    </row>
    <row r="890">
      <c r="F890" s="43" t="b">
        <v>0</v>
      </c>
    </row>
    <row r="891">
      <c r="F891" s="43" t="b">
        <v>0</v>
      </c>
    </row>
    <row r="892">
      <c r="F892" s="43" t="b">
        <v>0</v>
      </c>
    </row>
    <row r="893">
      <c r="F893" s="43" t="b">
        <v>0</v>
      </c>
    </row>
    <row r="894">
      <c r="F894" s="43" t="b">
        <v>0</v>
      </c>
    </row>
    <row r="895">
      <c r="F895" s="43" t="b">
        <v>0</v>
      </c>
    </row>
    <row r="896">
      <c r="F896" s="43" t="b">
        <v>0</v>
      </c>
    </row>
    <row r="897">
      <c r="F897" s="43" t="b">
        <v>0</v>
      </c>
    </row>
    <row r="898">
      <c r="F898" s="43" t="b">
        <v>0</v>
      </c>
    </row>
    <row r="899">
      <c r="F899" s="43" t="b">
        <v>0</v>
      </c>
    </row>
    <row r="900">
      <c r="F900" s="43" t="b">
        <v>0</v>
      </c>
    </row>
    <row r="901">
      <c r="F901" s="43" t="b">
        <v>0</v>
      </c>
    </row>
    <row r="902">
      <c r="F902" s="43" t="b">
        <v>0</v>
      </c>
    </row>
    <row r="903">
      <c r="F903" s="43" t="b">
        <v>0</v>
      </c>
    </row>
    <row r="904">
      <c r="F904" s="43" t="b">
        <v>0</v>
      </c>
    </row>
    <row r="905">
      <c r="F905" s="43" t="b">
        <v>0</v>
      </c>
    </row>
    <row r="906">
      <c r="F906" s="43" t="b">
        <v>0</v>
      </c>
    </row>
    <row r="907">
      <c r="F907" s="43" t="b">
        <v>0</v>
      </c>
    </row>
    <row r="908">
      <c r="F908" s="43" t="b">
        <v>0</v>
      </c>
    </row>
    <row r="909">
      <c r="F909" s="43" t="b">
        <v>0</v>
      </c>
    </row>
    <row r="910">
      <c r="F910" s="43" t="b">
        <v>0</v>
      </c>
    </row>
    <row r="911">
      <c r="F911" s="43" t="b">
        <v>0</v>
      </c>
    </row>
    <row r="912">
      <c r="F912" s="43" t="b">
        <v>0</v>
      </c>
    </row>
    <row r="913">
      <c r="F913" s="43" t="b">
        <v>0</v>
      </c>
    </row>
    <row r="914">
      <c r="F914" s="43" t="b">
        <v>0</v>
      </c>
    </row>
    <row r="915">
      <c r="F915" s="43" t="b">
        <v>0</v>
      </c>
    </row>
    <row r="916">
      <c r="F916" s="43" t="b">
        <v>0</v>
      </c>
    </row>
    <row r="917">
      <c r="F917" s="43" t="b">
        <v>0</v>
      </c>
    </row>
    <row r="918">
      <c r="F918" s="43" t="b">
        <v>0</v>
      </c>
    </row>
    <row r="919">
      <c r="F919" s="43" t="b">
        <v>0</v>
      </c>
    </row>
    <row r="920">
      <c r="F920" s="43" t="b">
        <v>0</v>
      </c>
    </row>
    <row r="921">
      <c r="F921" s="43" t="b">
        <v>0</v>
      </c>
    </row>
    <row r="922">
      <c r="F922" s="43" t="b">
        <v>0</v>
      </c>
    </row>
    <row r="923">
      <c r="F923" s="43" t="b">
        <v>0</v>
      </c>
    </row>
    <row r="924">
      <c r="F924" s="43" t="b">
        <v>0</v>
      </c>
    </row>
    <row r="925">
      <c r="F925" s="43" t="b">
        <v>0</v>
      </c>
    </row>
    <row r="926">
      <c r="F926" s="43" t="b">
        <v>0</v>
      </c>
    </row>
    <row r="927">
      <c r="F927" s="43" t="b">
        <v>0</v>
      </c>
    </row>
    <row r="928">
      <c r="F928" s="43" t="b">
        <v>0</v>
      </c>
    </row>
    <row r="929">
      <c r="F929" s="43" t="b">
        <v>0</v>
      </c>
    </row>
    <row r="930">
      <c r="F930" s="43" t="b">
        <v>0</v>
      </c>
    </row>
    <row r="931">
      <c r="F931" s="43" t="b">
        <v>0</v>
      </c>
    </row>
    <row r="932">
      <c r="F932" s="43" t="b">
        <v>0</v>
      </c>
    </row>
    <row r="933">
      <c r="F933" s="43" t="b">
        <v>0</v>
      </c>
    </row>
    <row r="934">
      <c r="F934" s="43" t="b">
        <v>0</v>
      </c>
    </row>
    <row r="935">
      <c r="F935" s="43" t="b">
        <v>0</v>
      </c>
    </row>
    <row r="936">
      <c r="F936" s="43" t="b">
        <v>0</v>
      </c>
    </row>
    <row r="937">
      <c r="F937" s="43" t="b">
        <v>0</v>
      </c>
    </row>
    <row r="938">
      <c r="F938" s="43" t="b">
        <v>0</v>
      </c>
    </row>
    <row r="939">
      <c r="F939" s="43" t="b">
        <v>0</v>
      </c>
    </row>
    <row r="940">
      <c r="F940" s="43" t="b">
        <v>0</v>
      </c>
    </row>
    <row r="941">
      <c r="F941" s="43" t="b">
        <v>0</v>
      </c>
    </row>
    <row r="942">
      <c r="F942" s="43" t="b">
        <v>0</v>
      </c>
    </row>
    <row r="943">
      <c r="F943" s="43" t="b">
        <v>0</v>
      </c>
    </row>
    <row r="944">
      <c r="F944" s="43" t="b">
        <v>0</v>
      </c>
    </row>
    <row r="945">
      <c r="F945" s="43" t="b">
        <v>0</v>
      </c>
    </row>
    <row r="946">
      <c r="F946" s="43" t="b">
        <v>0</v>
      </c>
    </row>
    <row r="947">
      <c r="F947" s="43" t="b">
        <v>0</v>
      </c>
    </row>
    <row r="948">
      <c r="F948" s="43" t="b">
        <v>0</v>
      </c>
    </row>
    <row r="949">
      <c r="F949" s="43" t="b">
        <v>0</v>
      </c>
    </row>
    <row r="950">
      <c r="F950" s="43" t="b">
        <v>0</v>
      </c>
    </row>
    <row r="951">
      <c r="F951" s="43" t="b">
        <v>0</v>
      </c>
    </row>
    <row r="952">
      <c r="F952" s="43" t="b">
        <v>0</v>
      </c>
    </row>
    <row r="953">
      <c r="F953" s="43" t="b">
        <v>0</v>
      </c>
    </row>
    <row r="954">
      <c r="F954" s="43" t="b">
        <v>0</v>
      </c>
    </row>
    <row r="955">
      <c r="F955" s="43" t="b">
        <v>0</v>
      </c>
    </row>
    <row r="956">
      <c r="F956" s="43" t="b">
        <v>0</v>
      </c>
    </row>
    <row r="957">
      <c r="F957" s="43" t="b">
        <v>0</v>
      </c>
    </row>
    <row r="958">
      <c r="F958" s="43" t="b">
        <v>0</v>
      </c>
    </row>
    <row r="959">
      <c r="F959" s="43" t="b">
        <v>0</v>
      </c>
    </row>
    <row r="960">
      <c r="F960" s="43" t="b">
        <v>0</v>
      </c>
    </row>
    <row r="961">
      <c r="F961" s="43" t="b">
        <v>0</v>
      </c>
    </row>
    <row r="962">
      <c r="F962" s="43" t="b">
        <v>0</v>
      </c>
    </row>
    <row r="963">
      <c r="F963" s="43" t="b">
        <v>0</v>
      </c>
    </row>
    <row r="964">
      <c r="F964" s="43" t="b">
        <v>0</v>
      </c>
    </row>
    <row r="965">
      <c r="F965" s="43" t="b">
        <v>0</v>
      </c>
    </row>
    <row r="966">
      <c r="F966" s="43" t="b">
        <v>0</v>
      </c>
    </row>
    <row r="967">
      <c r="F967" s="43" t="b">
        <v>0</v>
      </c>
    </row>
    <row r="968">
      <c r="F968" s="43" t="b">
        <v>0</v>
      </c>
    </row>
    <row r="969">
      <c r="F969" s="43" t="b">
        <v>0</v>
      </c>
    </row>
    <row r="970">
      <c r="F970" s="43" t="b">
        <v>0</v>
      </c>
    </row>
    <row r="971">
      <c r="F971" s="43" t="b">
        <v>0</v>
      </c>
    </row>
    <row r="972">
      <c r="F972" s="43" t="b">
        <v>0</v>
      </c>
    </row>
    <row r="973">
      <c r="F973" s="43" t="b">
        <v>0</v>
      </c>
    </row>
    <row r="974">
      <c r="F974" s="43" t="b">
        <v>0</v>
      </c>
    </row>
    <row r="975">
      <c r="F975" s="43" t="b">
        <v>0</v>
      </c>
    </row>
    <row r="976">
      <c r="F976" s="43" t="b">
        <v>0</v>
      </c>
    </row>
    <row r="977">
      <c r="F977" s="43" t="b">
        <v>0</v>
      </c>
    </row>
    <row r="978">
      <c r="F978" s="43" t="b">
        <v>0</v>
      </c>
    </row>
    <row r="979">
      <c r="F979" s="43" t="b">
        <v>0</v>
      </c>
    </row>
    <row r="980">
      <c r="F980" s="43" t="b">
        <v>0</v>
      </c>
    </row>
    <row r="981">
      <c r="F981" s="43" t="b">
        <v>0</v>
      </c>
    </row>
    <row r="982">
      <c r="F982" s="43" t="b">
        <v>0</v>
      </c>
    </row>
    <row r="983">
      <c r="F983" s="43" t="b">
        <v>0</v>
      </c>
    </row>
    <row r="984">
      <c r="F984" s="43" t="b">
        <v>0</v>
      </c>
    </row>
    <row r="985">
      <c r="F985" s="43" t="b">
        <v>0</v>
      </c>
    </row>
    <row r="986">
      <c r="F986" s="43" t="b">
        <v>0</v>
      </c>
    </row>
    <row r="987">
      <c r="F987" s="43" t="b">
        <v>0</v>
      </c>
    </row>
    <row r="988">
      <c r="F988" s="43" t="b">
        <v>0</v>
      </c>
    </row>
    <row r="989">
      <c r="F989" s="43" t="b">
        <v>0</v>
      </c>
    </row>
    <row r="990">
      <c r="F990" s="43" t="b">
        <v>0</v>
      </c>
    </row>
    <row r="991">
      <c r="F991" s="43" t="b">
        <v>0</v>
      </c>
    </row>
    <row r="992">
      <c r="F992" s="43" t="b">
        <v>0</v>
      </c>
    </row>
    <row r="993">
      <c r="F993" s="43" t="b">
        <v>0</v>
      </c>
    </row>
    <row r="994">
      <c r="F994" s="43" t="b">
        <v>0</v>
      </c>
    </row>
    <row r="995">
      <c r="F995" s="43" t="b">
        <v>0</v>
      </c>
    </row>
    <row r="996">
      <c r="F996" s="43" t="b">
        <v>0</v>
      </c>
    </row>
    <row r="997">
      <c r="F997" s="43" t="b">
        <v>0</v>
      </c>
    </row>
    <row r="998">
      <c r="F998" s="43" t="b">
        <v>0</v>
      </c>
    </row>
    <row r="999">
      <c r="F999" s="43" t="b">
        <v>0</v>
      </c>
    </row>
    <row r="1000">
      <c r="F1000" s="43" t="b">
        <v>0</v>
      </c>
    </row>
    <row r="1001">
      <c r="F1001" s="43" t="b">
        <v>0</v>
      </c>
    </row>
    <row r="1002">
      <c r="F1002" s="43" t="b">
        <v>0</v>
      </c>
    </row>
    <row r="1003">
      <c r="F1003" s="43" t="b">
        <v>0</v>
      </c>
    </row>
    <row r="1004">
      <c r="F1004" s="43" t="b">
        <v>0</v>
      </c>
    </row>
    <row r="1005">
      <c r="F1005" s="43" t="b">
        <v>0</v>
      </c>
    </row>
    <row r="1006">
      <c r="F1006" s="43" t="b">
        <v>0</v>
      </c>
    </row>
    <row r="1007">
      <c r="F1007" s="43" t="b">
        <v>0</v>
      </c>
    </row>
    <row r="1008">
      <c r="F1008" s="43" t="b">
        <v>0</v>
      </c>
    </row>
    <row r="1009">
      <c r="F1009" s="43" t="b">
        <v>0</v>
      </c>
    </row>
    <row r="1010">
      <c r="F1010" s="43" t="b">
        <v>0</v>
      </c>
    </row>
    <row r="1011">
      <c r="F1011" s="43" t="b">
        <v>0</v>
      </c>
    </row>
    <row r="1012">
      <c r="F1012" s="43" t="b">
        <v>0</v>
      </c>
    </row>
    <row r="1013">
      <c r="F1013" s="43" t="b">
        <v>0</v>
      </c>
    </row>
    <row r="1014">
      <c r="F1014" s="43" t="b">
        <v>0</v>
      </c>
    </row>
    <row r="1015">
      <c r="F1015" s="43" t="b">
        <v>0</v>
      </c>
    </row>
    <row r="1016">
      <c r="F1016" s="43" t="b">
        <v>0</v>
      </c>
    </row>
    <row r="1017">
      <c r="F1017" s="43" t="b">
        <v>0</v>
      </c>
    </row>
    <row r="1018">
      <c r="F1018" s="43" t="b">
        <v>0</v>
      </c>
    </row>
    <row r="1019">
      <c r="F1019" s="43" t="b">
        <v>0</v>
      </c>
    </row>
    <row r="1020">
      <c r="F1020" s="43" t="b">
        <v>0</v>
      </c>
    </row>
    <row r="1021">
      <c r="F1021" s="43" t="b">
        <v>0</v>
      </c>
    </row>
    <row r="1022">
      <c r="F1022" s="43" t="b">
        <v>0</v>
      </c>
    </row>
    <row r="1023">
      <c r="F1023" s="43" t="b">
        <v>0</v>
      </c>
    </row>
    <row r="1024">
      <c r="F1024" s="43" t="b">
        <v>0</v>
      </c>
    </row>
    <row r="1025">
      <c r="F1025" s="43" t="b">
        <v>0</v>
      </c>
    </row>
    <row r="1026">
      <c r="F1026" s="43" t="b">
        <v>0</v>
      </c>
    </row>
    <row r="1027">
      <c r="F1027" s="43" t="b">
        <v>0</v>
      </c>
    </row>
    <row r="1028">
      <c r="F1028" s="43" t="b">
        <v>0</v>
      </c>
    </row>
    <row r="1029">
      <c r="F1029" s="43" t="b">
        <v>0</v>
      </c>
    </row>
    <row r="1030">
      <c r="F1030" s="43" t="b">
        <v>0</v>
      </c>
    </row>
    <row r="1031">
      <c r="F1031" s="43" t="b">
        <v>0</v>
      </c>
    </row>
    <row r="1032">
      <c r="F1032" s="43" t="b">
        <v>0</v>
      </c>
    </row>
    <row r="1033">
      <c r="F1033" s="43" t="b">
        <v>0</v>
      </c>
    </row>
    <row r="1034">
      <c r="F1034" s="43" t="b">
        <v>0</v>
      </c>
    </row>
    <row r="1035">
      <c r="F1035" s="43" t="b">
        <v>0</v>
      </c>
    </row>
    <row r="1036">
      <c r="F1036" s="43" t="b">
        <v>0</v>
      </c>
    </row>
    <row r="1037">
      <c r="F1037" s="43" t="b">
        <v>0</v>
      </c>
    </row>
    <row r="1038">
      <c r="F1038" s="43" t="b">
        <v>0</v>
      </c>
    </row>
    <row r="1039">
      <c r="F1039" s="43" t="b">
        <v>0</v>
      </c>
    </row>
    <row r="1040">
      <c r="F1040" s="43" t="b">
        <v>0</v>
      </c>
    </row>
    <row r="1041">
      <c r="F1041" s="43" t="b">
        <v>0</v>
      </c>
    </row>
    <row r="1042">
      <c r="F1042" s="43" t="b">
        <v>0</v>
      </c>
    </row>
    <row r="1043">
      <c r="F1043" s="43" t="b">
        <v>0</v>
      </c>
    </row>
    <row r="1044">
      <c r="F1044" s="43" t="b">
        <v>0</v>
      </c>
    </row>
    <row r="1045">
      <c r="F1045" s="43" t="b">
        <v>0</v>
      </c>
    </row>
    <row r="1046">
      <c r="F1046" s="43" t="b">
        <v>0</v>
      </c>
    </row>
    <row r="1047">
      <c r="F1047" s="43" t="b">
        <v>0</v>
      </c>
    </row>
    <row r="1048">
      <c r="F1048" s="43" t="b">
        <v>0</v>
      </c>
    </row>
    <row r="1049">
      <c r="F1049" s="43" t="b">
        <v>0</v>
      </c>
    </row>
    <row r="1050">
      <c r="F1050" s="43" t="b">
        <v>0</v>
      </c>
    </row>
    <row r="1051">
      <c r="F1051" s="43" t="b">
        <v>0</v>
      </c>
    </row>
    <row r="1052">
      <c r="F1052" s="43" t="b">
        <v>0</v>
      </c>
    </row>
    <row r="1053">
      <c r="F1053" s="43" t="b">
        <v>0</v>
      </c>
    </row>
    <row r="1054">
      <c r="F1054" s="43" t="b">
        <v>0</v>
      </c>
    </row>
    <row r="1055">
      <c r="F1055" s="43" t="b">
        <v>0</v>
      </c>
    </row>
    <row r="1056">
      <c r="F1056" s="43" t="b">
        <v>0</v>
      </c>
    </row>
    <row r="1057">
      <c r="F1057" s="43" t="b">
        <v>0</v>
      </c>
    </row>
    <row r="1058">
      <c r="F1058" s="43" t="b">
        <v>0</v>
      </c>
    </row>
    <row r="1059">
      <c r="F1059" s="43" t="b">
        <v>0</v>
      </c>
    </row>
    <row r="1060">
      <c r="F1060" s="43" t="b">
        <v>0</v>
      </c>
    </row>
    <row r="1061">
      <c r="F1061" s="43" t="b">
        <v>0</v>
      </c>
    </row>
    <row r="1062">
      <c r="F1062" s="43" t="b">
        <v>0</v>
      </c>
    </row>
    <row r="1063">
      <c r="F1063" s="43" t="b">
        <v>0</v>
      </c>
    </row>
    <row r="1064">
      <c r="F1064" s="43" t="b">
        <v>0</v>
      </c>
    </row>
    <row r="1065">
      <c r="F1065" s="43" t="b">
        <v>0</v>
      </c>
    </row>
    <row r="1066">
      <c r="F1066" s="43" t="b">
        <v>0</v>
      </c>
    </row>
    <row r="1067">
      <c r="F1067" s="43" t="b">
        <v>0</v>
      </c>
    </row>
    <row r="1068">
      <c r="F1068" s="43" t="b">
        <v>0</v>
      </c>
    </row>
    <row r="1069">
      <c r="F1069" s="43" t="b">
        <v>0</v>
      </c>
    </row>
    <row r="1070">
      <c r="F1070" s="43" t="b">
        <v>0</v>
      </c>
    </row>
    <row r="1071">
      <c r="F1071" s="43" t="b">
        <v>0</v>
      </c>
    </row>
    <row r="1072">
      <c r="F1072" s="43" t="b">
        <v>0</v>
      </c>
    </row>
    <row r="1073">
      <c r="F1073" s="43" t="b">
        <v>0</v>
      </c>
    </row>
    <row r="1074">
      <c r="F1074" s="43" t="b">
        <v>0</v>
      </c>
    </row>
    <row r="1075">
      <c r="F1075" s="43" t="b">
        <v>0</v>
      </c>
    </row>
    <row r="1076">
      <c r="F1076" s="43" t="b">
        <v>0</v>
      </c>
    </row>
    <row r="1077">
      <c r="F1077" s="43" t="b">
        <v>0</v>
      </c>
    </row>
    <row r="1078">
      <c r="F1078" s="43" t="b">
        <v>0</v>
      </c>
    </row>
    <row r="1079">
      <c r="F1079" s="43" t="b">
        <v>0</v>
      </c>
    </row>
    <row r="1080">
      <c r="F1080" s="43" t="b">
        <v>0</v>
      </c>
    </row>
    <row r="1081">
      <c r="F1081" s="43" t="b">
        <v>0</v>
      </c>
    </row>
    <row r="1082">
      <c r="F1082" s="43" t="b">
        <v>0</v>
      </c>
    </row>
    <row r="1083">
      <c r="F1083" s="43" t="b">
        <v>0</v>
      </c>
    </row>
    <row r="1084">
      <c r="F1084" s="43" t="b">
        <v>0</v>
      </c>
    </row>
    <row r="1085">
      <c r="F1085" s="43" t="b">
        <v>0</v>
      </c>
    </row>
    <row r="1086">
      <c r="F1086" s="43" t="b">
        <v>0</v>
      </c>
    </row>
    <row r="1087">
      <c r="F1087" s="43" t="b">
        <v>0</v>
      </c>
    </row>
    <row r="1088">
      <c r="F1088" s="43" t="b">
        <v>0</v>
      </c>
    </row>
    <row r="1089">
      <c r="F1089" s="43" t="b">
        <v>0</v>
      </c>
    </row>
    <row r="1090">
      <c r="F1090" s="43" t="b">
        <v>0</v>
      </c>
    </row>
    <row r="1091">
      <c r="F1091" s="43" t="b">
        <v>0</v>
      </c>
    </row>
    <row r="1092">
      <c r="F1092" s="43" t="b">
        <v>0</v>
      </c>
    </row>
    <row r="1093">
      <c r="F1093" s="43" t="b">
        <v>0</v>
      </c>
    </row>
    <row r="1094">
      <c r="F1094" s="43" t="b">
        <v>0</v>
      </c>
    </row>
    <row r="1095">
      <c r="F1095" s="43" t="b">
        <v>0</v>
      </c>
    </row>
    <row r="1096">
      <c r="F1096" s="43" t="b">
        <v>0</v>
      </c>
    </row>
    <row r="1097">
      <c r="F1097" s="43" t="b">
        <v>0</v>
      </c>
    </row>
    <row r="1098">
      <c r="F1098" s="43" t="b">
        <v>0</v>
      </c>
    </row>
    <row r="1099">
      <c r="F1099" s="43" t="b">
        <v>0</v>
      </c>
    </row>
    <row r="1100">
      <c r="F1100" s="43" t="b">
        <v>0</v>
      </c>
    </row>
    <row r="1101">
      <c r="F1101" s="43" t="b">
        <v>0</v>
      </c>
    </row>
    <row r="1102">
      <c r="F1102" s="43" t="b">
        <v>0</v>
      </c>
    </row>
    <row r="1103">
      <c r="F1103" s="43" t="b">
        <v>0</v>
      </c>
    </row>
    <row r="1104">
      <c r="F1104" s="43" t="b">
        <v>0</v>
      </c>
    </row>
    <row r="1105">
      <c r="F1105" s="43" t="b">
        <v>0</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537</v>
      </c>
    </row>
    <row r="2">
      <c r="C2" s="5"/>
      <c r="D2" s="5"/>
      <c r="E2" s="24"/>
      <c r="F2" s="28"/>
      <c r="G2" s="5"/>
      <c r="H2" s="5"/>
      <c r="I2" s="46"/>
      <c r="K2" s="24"/>
      <c r="L2" s="5"/>
    </row>
    <row r="3">
      <c r="C3" s="5"/>
      <c r="D3" s="5"/>
      <c r="E3" s="24"/>
      <c r="F3" s="28"/>
      <c r="G3" s="5"/>
      <c r="H3" s="5"/>
      <c r="I3" s="46"/>
      <c r="K3" s="24"/>
      <c r="L3" s="5"/>
    </row>
    <row r="4">
      <c r="C4" s="5"/>
      <c r="D4" s="5"/>
      <c r="E4" s="24"/>
      <c r="F4" s="28"/>
      <c r="G4" s="5"/>
      <c r="H4" s="5"/>
      <c r="I4" s="46"/>
      <c r="K4" s="24"/>
      <c r="L4" s="5"/>
    </row>
    <row r="5">
      <c r="C5" s="5"/>
      <c r="D5" s="5"/>
      <c r="E5" s="24"/>
      <c r="F5" s="28"/>
      <c r="G5" s="5"/>
      <c r="H5" s="5"/>
      <c r="I5" s="46"/>
      <c r="K5" s="24"/>
      <c r="L5" s="5"/>
    </row>
    <row r="6">
      <c r="C6" s="5"/>
      <c r="D6" s="5"/>
      <c r="E6" s="24"/>
      <c r="F6" s="28"/>
      <c r="G6" s="5"/>
      <c r="H6" s="5"/>
      <c r="I6" s="46"/>
      <c r="K6" s="24"/>
      <c r="L6" s="5"/>
    </row>
    <row r="7">
      <c r="C7" s="5"/>
      <c r="D7" s="5"/>
      <c r="E7" s="24"/>
      <c r="F7" s="28"/>
      <c r="G7" s="5"/>
      <c r="H7" s="5"/>
      <c r="I7" s="46"/>
      <c r="K7" s="24"/>
      <c r="L7" s="5"/>
    </row>
    <row r="8">
      <c r="C8" s="5"/>
      <c r="D8" s="5"/>
      <c r="E8" s="24"/>
      <c r="F8" s="28"/>
      <c r="G8" s="5"/>
      <c r="H8" s="5"/>
      <c r="I8" s="46"/>
      <c r="K8" s="24"/>
      <c r="L8" s="5"/>
    </row>
    <row r="9">
      <c r="C9" s="36"/>
      <c r="D9" s="5"/>
      <c r="E9" s="24"/>
      <c r="F9" s="28"/>
      <c r="G9" s="5"/>
      <c r="H9" s="5"/>
      <c r="I9" s="46"/>
      <c r="K9" s="24"/>
      <c r="L9" s="5"/>
    </row>
    <row r="10">
      <c r="C10" s="36"/>
      <c r="D10" s="5"/>
      <c r="E10" s="24"/>
      <c r="F10" s="28"/>
      <c r="G10" s="5"/>
      <c r="H10" s="5"/>
      <c r="I10" s="46"/>
      <c r="K10" s="24"/>
      <c r="L10" s="5"/>
    </row>
    <row r="11">
      <c r="C11" s="36"/>
      <c r="D11" s="5"/>
      <c r="E11" s="24"/>
      <c r="F11" s="28"/>
      <c r="G11" s="5"/>
      <c r="H11" s="5"/>
      <c r="I11" s="46"/>
      <c r="K11" s="24"/>
      <c r="L11" s="5"/>
    </row>
    <row r="12">
      <c r="C12" s="36"/>
      <c r="D12" s="5"/>
      <c r="E12" s="24"/>
      <c r="F12" s="28"/>
      <c r="G12" s="5"/>
      <c r="H12" s="5"/>
      <c r="I12" s="46"/>
      <c r="K12" s="24"/>
      <c r="L12" s="5"/>
    </row>
    <row r="13">
      <c r="C13" s="36"/>
      <c r="D13" s="5"/>
      <c r="E13" s="24"/>
      <c r="F13" s="28"/>
      <c r="G13" s="5"/>
      <c r="H13" s="5"/>
      <c r="I13" s="46"/>
      <c r="K13" s="24"/>
      <c r="L13" s="5"/>
    </row>
    <row r="14">
      <c r="C14" s="5"/>
      <c r="D14" s="5"/>
      <c r="E14" s="24"/>
      <c r="F14" s="28"/>
      <c r="G14" s="5"/>
      <c r="H14" s="5"/>
      <c r="I14" s="46"/>
      <c r="K14" s="24"/>
      <c r="L14" s="5"/>
    </row>
    <row r="15">
      <c r="C15" s="5"/>
      <c r="D15" s="5"/>
      <c r="E15" s="24"/>
      <c r="F15" s="28"/>
      <c r="G15" s="5"/>
      <c r="H15" s="5"/>
      <c r="I15" s="46"/>
      <c r="K15" s="24"/>
      <c r="L15" s="5"/>
    </row>
    <row r="16">
      <c r="C16" s="5"/>
      <c r="D16" s="5"/>
      <c r="E16" s="24"/>
      <c r="F16" s="28"/>
      <c r="G16" s="5"/>
      <c r="H16" s="5"/>
      <c r="I16" s="46"/>
      <c r="K16" s="24"/>
      <c r="L16" s="5"/>
    </row>
    <row r="17">
      <c r="C17" s="5"/>
      <c r="D17" s="5"/>
      <c r="E17" s="24"/>
      <c r="F17" s="28"/>
      <c r="G17" s="5"/>
      <c r="H17" s="5"/>
      <c r="I17" s="46"/>
      <c r="K17" s="24"/>
      <c r="L17" s="5"/>
    </row>
    <row r="18">
      <c r="C18" s="5"/>
      <c r="D18" s="5"/>
      <c r="E18" s="24"/>
      <c r="F18" s="28"/>
      <c r="G18" s="5"/>
      <c r="H18" s="5"/>
      <c r="I18" s="46"/>
      <c r="K18" s="24"/>
      <c r="L18" s="5"/>
    </row>
    <row r="19">
      <c r="C19" s="5"/>
      <c r="D19" s="5"/>
      <c r="E19" s="24"/>
      <c r="F19" s="28"/>
      <c r="G19" s="5"/>
      <c r="H19" s="5"/>
      <c r="I19" s="46"/>
      <c r="K19" s="24"/>
      <c r="L19" s="5"/>
    </row>
    <row r="20">
      <c r="C20" s="5"/>
      <c r="D20" s="5"/>
      <c r="E20" s="24"/>
      <c r="F20" s="28"/>
      <c r="G20" s="5"/>
      <c r="H20" s="5"/>
      <c r="I20" s="46"/>
      <c r="K20" s="24"/>
      <c r="L20" s="5"/>
    </row>
    <row r="21">
      <c r="C21" s="5"/>
      <c r="D21" s="5"/>
      <c r="E21" s="24"/>
      <c r="F21" s="28"/>
      <c r="G21" s="5"/>
      <c r="H21" s="5"/>
      <c r="I21" s="46"/>
      <c r="K21" s="24"/>
      <c r="L21" s="5"/>
    </row>
    <row r="22">
      <c r="A22" s="5" t="s">
        <v>538</v>
      </c>
      <c r="B22" s="5">
        <v>1.0</v>
      </c>
      <c r="C22" s="5"/>
      <c r="D22" s="5"/>
      <c r="E22" s="24"/>
      <c r="F22" s="28"/>
      <c r="G22" s="5"/>
      <c r="H22" s="5"/>
      <c r="I22" s="46"/>
      <c r="K22" s="24"/>
      <c r="L22" s="5"/>
    </row>
    <row r="23">
      <c r="A23" s="5" t="s">
        <v>539</v>
      </c>
      <c r="B23" s="5">
        <v>1.0</v>
      </c>
      <c r="C23" s="5"/>
      <c r="D23" s="5"/>
      <c r="E23" s="24"/>
      <c r="F23" s="28"/>
      <c r="G23" s="5"/>
      <c r="H23" s="5"/>
      <c r="I23" s="46"/>
      <c r="K23" s="24"/>
      <c r="L23" s="5"/>
    </row>
    <row r="24">
      <c r="A24" s="5" t="s">
        <v>540</v>
      </c>
      <c r="B24" s="5">
        <v>1.0</v>
      </c>
      <c r="C24" s="5"/>
      <c r="D24" s="5"/>
      <c r="E24" s="24"/>
      <c r="F24" s="28"/>
      <c r="G24" s="5"/>
      <c r="H24" s="5"/>
      <c r="I24" s="46"/>
      <c r="K24" s="24"/>
      <c r="L24" s="5"/>
    </row>
    <row r="25">
      <c r="A25" s="5" t="s">
        <v>541</v>
      </c>
      <c r="B25" s="5">
        <v>1.0</v>
      </c>
      <c r="C25" s="5"/>
      <c r="D25" s="5"/>
      <c r="E25" s="24"/>
      <c r="F25" s="28"/>
      <c r="G25" s="5"/>
      <c r="H25" s="5"/>
      <c r="I25" s="46"/>
      <c r="K25" s="24"/>
      <c r="L25" s="5"/>
    </row>
    <row r="26">
      <c r="A26" s="5" t="s">
        <v>542</v>
      </c>
      <c r="B26" s="5">
        <v>1.0</v>
      </c>
      <c r="C26" s="36"/>
      <c r="F26" s="9"/>
      <c r="G26" s="9"/>
      <c r="H26" s="9"/>
      <c r="I26" s="9"/>
      <c r="J26" s="9"/>
    </row>
    <row r="27">
      <c r="A27" s="5" t="s">
        <v>543</v>
      </c>
      <c r="B27" s="5">
        <v>1.0</v>
      </c>
      <c r="C27" s="36"/>
      <c r="F27" s="9"/>
      <c r="G27" s="9"/>
      <c r="H27" s="9"/>
      <c r="I27" s="9"/>
      <c r="J27" s="9"/>
    </row>
    <row r="28">
      <c r="A28" s="5" t="s">
        <v>544</v>
      </c>
      <c r="B28" s="5">
        <v>1.0</v>
      </c>
      <c r="C28" s="36"/>
      <c r="D28" s="66"/>
      <c r="F28" s="9"/>
      <c r="G28" s="9"/>
      <c r="H28" s="9"/>
      <c r="I28" s="9"/>
      <c r="J28" s="9"/>
      <c r="M28" s="5"/>
    </row>
    <row r="29">
      <c r="A29" s="5" t="s">
        <v>545</v>
      </c>
      <c r="B29" s="5">
        <v>1.0</v>
      </c>
      <c r="C29" s="20"/>
      <c r="D29" s="66"/>
      <c r="F29" s="9"/>
      <c r="G29" s="9"/>
      <c r="H29" s="9"/>
      <c r="I29" s="9"/>
      <c r="J29" s="9"/>
      <c r="M29" s="5"/>
    </row>
    <row r="30">
      <c r="A30" s="5" t="s">
        <v>546</v>
      </c>
      <c r="B30" s="5">
        <v>1.0</v>
      </c>
      <c r="C30" s="20"/>
      <c r="D30" s="66"/>
      <c r="F30" s="9"/>
      <c r="G30" s="9"/>
      <c r="H30" s="9"/>
      <c r="I30" s="9"/>
      <c r="J30" s="9"/>
      <c r="M30" s="5"/>
    </row>
    <row r="31">
      <c r="A31" s="5" t="s">
        <v>547</v>
      </c>
      <c r="B31" s="5">
        <v>1.0</v>
      </c>
      <c r="C31" s="20"/>
      <c r="D31" s="23"/>
      <c r="F31" s="9"/>
      <c r="G31" s="9"/>
      <c r="H31" s="9"/>
      <c r="I31" s="9"/>
      <c r="J31" s="9"/>
      <c r="M31" s="5"/>
    </row>
    <row r="32">
      <c r="A32" s="5" t="s">
        <v>548</v>
      </c>
      <c r="B32" s="5">
        <v>1.0</v>
      </c>
      <c r="C32" s="20"/>
      <c r="D32" s="23"/>
      <c r="F32" s="9"/>
      <c r="G32" s="9"/>
      <c r="H32" s="9"/>
      <c r="I32" s="9"/>
      <c r="J32" s="9"/>
      <c r="M32" s="5"/>
    </row>
    <row r="33">
      <c r="A33" s="5" t="s">
        <v>549</v>
      </c>
      <c r="B33" s="5">
        <v>1.0</v>
      </c>
      <c r="C33" s="36"/>
      <c r="D33" s="66"/>
      <c r="F33" s="9"/>
      <c r="G33" s="9"/>
      <c r="H33" s="9"/>
      <c r="I33" s="9"/>
      <c r="J33" s="9"/>
      <c r="M33" s="5"/>
    </row>
    <row r="34">
      <c r="A34" s="5" t="s">
        <v>550</v>
      </c>
      <c r="B34" s="5">
        <v>1.0</v>
      </c>
      <c r="C34" s="20"/>
      <c r="F34" s="9"/>
      <c r="G34" s="9"/>
      <c r="H34" s="9"/>
      <c r="I34" s="9"/>
      <c r="J34" s="9"/>
      <c r="M34" s="5"/>
    </row>
    <row r="35">
      <c r="A35" s="5" t="s">
        <v>293</v>
      </c>
      <c r="B35" s="5">
        <v>1.0</v>
      </c>
      <c r="C35" s="20"/>
      <c r="F35" s="9"/>
      <c r="G35" s="9"/>
      <c r="H35" s="9"/>
      <c r="I35" s="9"/>
      <c r="J35" s="9"/>
      <c r="M35" s="5"/>
    </row>
    <row r="36">
      <c r="A36" s="5" t="s">
        <v>551</v>
      </c>
      <c r="B36" s="5">
        <v>1.0</v>
      </c>
      <c r="C36" s="5"/>
      <c r="D36" s="5"/>
      <c r="E36" s="24"/>
      <c r="F36" s="28"/>
      <c r="G36" s="5"/>
      <c r="H36" s="5"/>
      <c r="I36" s="46"/>
      <c r="K36" s="24"/>
      <c r="L36" s="5"/>
    </row>
    <row r="37">
      <c r="A37" s="5" t="s">
        <v>552</v>
      </c>
      <c r="B37" s="5">
        <v>1.0</v>
      </c>
      <c r="C37" s="5"/>
      <c r="D37" s="5"/>
      <c r="E37" s="24"/>
      <c r="F37" s="28"/>
      <c r="G37" s="5"/>
      <c r="H37" s="5"/>
      <c r="I37" s="46"/>
      <c r="K37" s="24"/>
      <c r="L37" s="5"/>
    </row>
    <row r="38">
      <c r="A38" s="5" t="s">
        <v>553</v>
      </c>
      <c r="B38" s="5">
        <v>1.0</v>
      </c>
      <c r="C38" s="5"/>
      <c r="D38" s="5"/>
      <c r="E38" s="24"/>
      <c r="F38" s="28"/>
      <c r="G38" s="5"/>
      <c r="H38" s="5"/>
      <c r="I38" s="46"/>
      <c r="K38" s="24"/>
      <c r="L38" s="5"/>
    </row>
    <row r="39">
      <c r="A39" s="5" t="s">
        <v>554</v>
      </c>
      <c r="B39" s="5">
        <v>1.0</v>
      </c>
      <c r="C39" s="5"/>
      <c r="D39" s="5"/>
      <c r="E39" s="24"/>
      <c r="F39" s="28"/>
      <c r="G39" s="5"/>
      <c r="H39" s="5"/>
      <c r="I39" s="46"/>
      <c r="K39" s="24"/>
      <c r="L39" s="5"/>
    </row>
    <row r="40">
      <c r="A40" s="5" t="s">
        <v>555</v>
      </c>
      <c r="B40" s="5">
        <v>1.0</v>
      </c>
      <c r="C40" s="5"/>
      <c r="D40" s="5"/>
      <c r="E40" s="24"/>
      <c r="F40" s="28"/>
      <c r="G40" s="5"/>
      <c r="H40" s="5"/>
      <c r="I40" s="46"/>
      <c r="K40" s="24"/>
      <c r="L40" s="5"/>
    </row>
    <row r="41">
      <c r="A41" s="5" t="s">
        <v>556</v>
      </c>
      <c r="B41" s="5">
        <v>1.0</v>
      </c>
      <c r="C41" s="5"/>
      <c r="D41" s="5"/>
      <c r="E41" s="24"/>
      <c r="F41" s="28"/>
      <c r="G41" s="5"/>
      <c r="H41" s="5"/>
      <c r="I41" s="46"/>
      <c r="K41" s="24"/>
      <c r="L41" s="5"/>
    </row>
    <row r="42">
      <c r="A42" s="5" t="s">
        <v>557</v>
      </c>
      <c r="B42" s="5">
        <v>1.0</v>
      </c>
      <c r="C42" s="5"/>
      <c r="D42" s="5"/>
      <c r="E42" s="24"/>
      <c r="F42" s="28"/>
      <c r="G42" s="5"/>
      <c r="H42" s="5"/>
      <c r="I42" s="46"/>
      <c r="K42" s="24"/>
      <c r="L42" s="5"/>
    </row>
    <row r="43">
      <c r="A43" s="5" t="s">
        <v>558</v>
      </c>
      <c r="B43" s="5">
        <v>1.0</v>
      </c>
      <c r="C43" s="5"/>
      <c r="D43" s="5"/>
      <c r="E43" s="24"/>
      <c r="F43" s="28"/>
      <c r="G43" s="5"/>
      <c r="H43" s="5"/>
      <c r="I43" s="46"/>
      <c r="K43" s="24"/>
      <c r="L43" s="5"/>
    </row>
    <row r="44">
      <c r="A44" s="5" t="s">
        <v>559</v>
      </c>
      <c r="B44" s="5">
        <v>1.0</v>
      </c>
      <c r="C44" s="5"/>
      <c r="D44" s="5"/>
      <c r="E44" s="24"/>
      <c r="F44" s="28"/>
      <c r="G44" s="5"/>
      <c r="H44" s="5"/>
      <c r="I44" s="46"/>
      <c r="K44" s="24"/>
      <c r="L44" s="5"/>
    </row>
    <row r="45">
      <c r="A45" s="5" t="s">
        <v>560</v>
      </c>
      <c r="B45" s="5">
        <v>1.0</v>
      </c>
      <c r="C45" s="5"/>
      <c r="D45" s="5"/>
      <c r="E45" s="24"/>
      <c r="F45" s="28"/>
      <c r="G45" s="5"/>
      <c r="H45" s="5"/>
      <c r="I45" s="46"/>
      <c r="K45" s="24"/>
      <c r="L45" s="5"/>
    </row>
    <row r="46">
      <c r="A46" s="5" t="s">
        <v>561</v>
      </c>
      <c r="B46" s="5">
        <v>1.0</v>
      </c>
      <c r="C46" s="5"/>
      <c r="D46" s="5"/>
      <c r="E46" s="24"/>
      <c r="F46" s="28"/>
      <c r="G46" s="5"/>
      <c r="H46" s="5"/>
      <c r="I46" s="46"/>
      <c r="K46" s="24"/>
      <c r="L46" s="5"/>
    </row>
    <row r="47">
      <c r="A47" s="5" t="s">
        <v>562</v>
      </c>
      <c r="B47" s="5">
        <v>1.0</v>
      </c>
      <c r="C47" s="5"/>
      <c r="D47" s="5"/>
      <c r="E47" s="24"/>
      <c r="F47" s="28"/>
      <c r="G47" s="5"/>
      <c r="H47" s="5"/>
      <c r="I47" s="46"/>
      <c r="K47" s="24"/>
      <c r="L47" s="5"/>
    </row>
    <row r="48">
      <c r="A48" s="5" t="s">
        <v>563</v>
      </c>
      <c r="B48" s="5">
        <v>1.0</v>
      </c>
      <c r="C48" s="5"/>
      <c r="D48" s="5"/>
      <c r="E48" s="24"/>
      <c r="F48" s="28"/>
      <c r="G48" s="5"/>
      <c r="H48" s="5"/>
      <c r="I48" s="46"/>
      <c r="K48" s="24"/>
      <c r="L48" s="5"/>
    </row>
    <row r="49">
      <c r="A49" s="5" t="s">
        <v>564</v>
      </c>
      <c r="B49" s="5">
        <v>1.0</v>
      </c>
      <c r="C49" s="5"/>
      <c r="D49" s="5"/>
      <c r="E49" s="24"/>
      <c r="F49" s="28"/>
      <c r="G49" s="5"/>
      <c r="H49" s="5"/>
      <c r="I49" s="46"/>
      <c r="K49" s="24"/>
      <c r="L49" s="5"/>
    </row>
    <row r="50">
      <c r="A50" s="5" t="s">
        <v>565</v>
      </c>
      <c r="B50" s="5">
        <v>1.0</v>
      </c>
      <c r="C50" s="5"/>
      <c r="D50" s="5"/>
      <c r="E50" s="24"/>
      <c r="F50" s="28"/>
      <c r="G50" s="5"/>
      <c r="H50" s="5"/>
      <c r="I50" s="46"/>
      <c r="K50" s="24"/>
      <c r="L50" s="5"/>
    </row>
    <row r="51">
      <c r="A51" s="5" t="s">
        <v>566</v>
      </c>
      <c r="B51" s="5">
        <v>1.0</v>
      </c>
      <c r="C51" s="5"/>
      <c r="D51" s="5"/>
      <c r="E51" s="24"/>
      <c r="F51" s="28"/>
      <c r="G51" s="5"/>
      <c r="H51" s="5"/>
      <c r="I51" s="46"/>
      <c r="K51" s="24"/>
      <c r="L51" s="5"/>
    </row>
    <row r="52">
      <c r="A52" s="5" t="s">
        <v>567</v>
      </c>
      <c r="B52" s="5">
        <v>1.0</v>
      </c>
      <c r="C52" s="5"/>
      <c r="D52" s="5"/>
      <c r="E52" s="24"/>
      <c r="F52" s="28"/>
      <c r="G52" s="5"/>
      <c r="H52" s="5"/>
      <c r="I52" s="46"/>
      <c r="K52" s="24"/>
      <c r="L52" s="5"/>
    </row>
    <row r="53">
      <c r="A53" s="5" t="s">
        <v>568</v>
      </c>
      <c r="B53" s="5">
        <v>1.0</v>
      </c>
      <c r="C53" s="5"/>
      <c r="D53" s="5"/>
      <c r="E53" s="24"/>
      <c r="F53" s="28"/>
      <c r="G53" s="5"/>
      <c r="H53" s="5"/>
      <c r="I53" s="46"/>
      <c r="K53" s="24"/>
      <c r="L53" s="5"/>
    </row>
    <row r="54">
      <c r="A54" s="5" t="s">
        <v>569</v>
      </c>
      <c r="B54" s="5">
        <v>1.0</v>
      </c>
      <c r="C54" s="5"/>
      <c r="D54" s="5"/>
      <c r="E54" s="24"/>
      <c r="F54" s="28"/>
      <c r="G54" s="5"/>
      <c r="H54" s="5"/>
      <c r="I54" s="46"/>
      <c r="K54" s="24"/>
      <c r="L54" s="5"/>
    </row>
    <row r="55">
      <c r="A55" s="5" t="s">
        <v>570</v>
      </c>
      <c r="B55" s="5">
        <v>1.0</v>
      </c>
      <c r="C55" s="5"/>
      <c r="D55" s="5"/>
      <c r="E55" s="24"/>
      <c r="F55" s="28"/>
      <c r="G55" s="5"/>
      <c r="H55" s="5"/>
      <c r="I55" s="46"/>
      <c r="K55" s="24"/>
      <c r="L55" s="5"/>
    </row>
    <row r="56">
      <c r="A56" s="5" t="s">
        <v>571</v>
      </c>
      <c r="B56" s="5">
        <v>1.0</v>
      </c>
      <c r="C56" s="5"/>
      <c r="D56" s="5"/>
      <c r="E56" s="24"/>
      <c r="F56" s="28"/>
      <c r="G56" s="5"/>
      <c r="H56" s="5"/>
      <c r="I56" s="46"/>
      <c r="K56" s="24"/>
      <c r="L56" s="5"/>
    </row>
    <row r="57">
      <c r="A57" s="5" t="s">
        <v>572</v>
      </c>
      <c r="B57" s="5">
        <v>1.0</v>
      </c>
      <c r="C57" s="5"/>
      <c r="D57" s="5"/>
      <c r="E57" s="24"/>
      <c r="F57" s="28"/>
      <c r="G57" s="5"/>
      <c r="H57" s="5"/>
      <c r="I57" s="46"/>
      <c r="K57" s="24"/>
      <c r="L57" s="5"/>
    </row>
    <row r="58">
      <c r="A58" s="5" t="s">
        <v>573</v>
      </c>
      <c r="B58" s="5">
        <v>1.0</v>
      </c>
      <c r="C58" s="5"/>
      <c r="D58" s="5"/>
      <c r="E58" s="24"/>
      <c r="F58" s="28"/>
      <c r="G58" s="5"/>
      <c r="H58" s="5"/>
      <c r="I58" s="46"/>
      <c r="K58" s="24"/>
      <c r="L58" s="5"/>
    </row>
    <row r="59">
      <c r="A59" s="5" t="s">
        <v>574</v>
      </c>
      <c r="B59" s="5">
        <v>1.0</v>
      </c>
      <c r="C59" s="5"/>
      <c r="D59" s="5"/>
      <c r="E59" s="24"/>
      <c r="F59" s="28"/>
      <c r="G59" s="5"/>
      <c r="H59" s="5"/>
      <c r="I59" s="46"/>
      <c r="K59" s="24"/>
      <c r="L59" s="5"/>
    </row>
    <row r="60">
      <c r="A60" s="5" t="s">
        <v>575</v>
      </c>
      <c r="B60" s="5">
        <v>1.0</v>
      </c>
      <c r="C60" s="5"/>
      <c r="D60" s="5"/>
      <c r="E60" s="24"/>
      <c r="F60" s="28"/>
      <c r="G60" s="5"/>
      <c r="H60" s="5"/>
      <c r="I60" s="46"/>
      <c r="K60" s="24"/>
      <c r="L60" s="5"/>
    </row>
    <row r="61">
      <c r="A61" s="5" t="s">
        <v>576</v>
      </c>
      <c r="B61" s="5">
        <v>1.0</v>
      </c>
      <c r="C61" s="5"/>
      <c r="D61" s="5"/>
      <c r="E61" s="24"/>
      <c r="F61" s="28"/>
      <c r="G61" s="5"/>
      <c r="H61" s="5"/>
      <c r="I61" s="46"/>
      <c r="K61" s="24"/>
      <c r="L61" s="5"/>
    </row>
    <row r="62">
      <c r="A62" s="5" t="s">
        <v>577</v>
      </c>
      <c r="B62" s="5">
        <v>1.0</v>
      </c>
      <c r="C62" s="5"/>
      <c r="D62" s="5"/>
      <c r="E62" s="24"/>
      <c r="F62" s="28"/>
      <c r="G62" s="5"/>
      <c r="H62" s="5"/>
      <c r="I62" s="46"/>
      <c r="K62" s="24"/>
      <c r="L62" s="5"/>
    </row>
    <row r="63">
      <c r="A63" s="5" t="s">
        <v>578</v>
      </c>
      <c r="B63" s="5">
        <v>1.0</v>
      </c>
      <c r="C63" s="5"/>
      <c r="D63" s="5"/>
      <c r="E63" s="24"/>
      <c r="F63" s="28"/>
      <c r="G63" s="5"/>
      <c r="H63" s="5"/>
      <c r="I63" s="46"/>
      <c r="K63" s="24"/>
      <c r="L63" s="5"/>
    </row>
    <row r="64">
      <c r="A64" s="5" t="s">
        <v>579</v>
      </c>
      <c r="B64" s="5">
        <v>1.0</v>
      </c>
      <c r="C64" s="5"/>
      <c r="D64" s="5"/>
      <c r="E64" s="24"/>
      <c r="F64" s="28"/>
      <c r="G64" s="5"/>
      <c r="H64" s="5"/>
      <c r="I64" s="46"/>
      <c r="K64" s="24"/>
      <c r="L64" s="5"/>
    </row>
    <row r="65">
      <c r="A65" s="5" t="s">
        <v>580</v>
      </c>
      <c r="B65" s="5">
        <v>1.0</v>
      </c>
      <c r="C65" s="5"/>
      <c r="D65" s="5"/>
      <c r="E65" s="24"/>
      <c r="F65" s="28"/>
      <c r="G65" s="5"/>
      <c r="H65" s="5"/>
      <c r="I65" s="46"/>
      <c r="K65" s="24"/>
      <c r="L65" s="5"/>
    </row>
    <row r="66">
      <c r="A66" s="5" t="s">
        <v>581</v>
      </c>
      <c r="B66" s="5">
        <v>1.0</v>
      </c>
      <c r="C66" s="5"/>
      <c r="D66" s="5"/>
      <c r="E66" s="24"/>
      <c r="F66" s="28"/>
      <c r="G66" s="5"/>
      <c r="H66" s="5"/>
      <c r="I66" s="46"/>
      <c r="K66" s="24"/>
      <c r="L66" s="5"/>
    </row>
    <row r="67">
      <c r="A67" s="5" t="s">
        <v>582</v>
      </c>
      <c r="B67" s="5">
        <v>1.0</v>
      </c>
      <c r="C67" s="5"/>
      <c r="D67" s="5"/>
      <c r="E67" s="24"/>
      <c r="F67" s="28"/>
      <c r="G67" s="5"/>
      <c r="H67" s="5"/>
      <c r="I67" s="46"/>
      <c r="K67" s="24"/>
      <c r="L67" s="5"/>
    </row>
    <row r="68">
      <c r="A68" s="5" t="s">
        <v>583</v>
      </c>
      <c r="B68" s="5">
        <v>1.0</v>
      </c>
      <c r="C68" s="5"/>
      <c r="D68" s="5"/>
      <c r="E68" s="24"/>
      <c r="F68" s="28"/>
      <c r="G68" s="5"/>
      <c r="H68" s="5"/>
      <c r="I68" s="46"/>
      <c r="K68" s="24"/>
      <c r="L68" s="5"/>
    </row>
    <row r="69">
      <c r="A69" s="5" t="s">
        <v>584</v>
      </c>
      <c r="B69" s="5">
        <v>1.0</v>
      </c>
      <c r="C69" s="5"/>
      <c r="D69" s="5"/>
      <c r="E69" s="24"/>
      <c r="F69" s="28"/>
      <c r="G69" s="5"/>
      <c r="H69" s="5"/>
      <c r="I69" s="46"/>
      <c r="K69" s="24"/>
      <c r="L69" s="5"/>
    </row>
    <row r="70">
      <c r="A70" s="5" t="s">
        <v>585</v>
      </c>
      <c r="B70" s="5">
        <v>1.0</v>
      </c>
      <c r="C70" s="5"/>
      <c r="D70" s="5"/>
      <c r="E70" s="24"/>
      <c r="F70" s="28"/>
      <c r="G70" s="5"/>
      <c r="H70" s="5"/>
      <c r="I70" s="46"/>
      <c r="K70" s="24"/>
      <c r="L70" s="5"/>
    </row>
    <row r="71">
      <c r="A71" s="5" t="s">
        <v>586</v>
      </c>
      <c r="B71" s="5">
        <v>1.0</v>
      </c>
      <c r="C71" s="5"/>
      <c r="D71" s="5"/>
      <c r="E71" s="24"/>
      <c r="F71" s="28"/>
      <c r="G71" s="5"/>
      <c r="H71" s="5"/>
      <c r="I71" s="46"/>
      <c r="K71" s="24"/>
      <c r="L71" s="5"/>
    </row>
    <row r="72">
      <c r="A72" s="5" t="s">
        <v>587</v>
      </c>
      <c r="B72" s="5">
        <v>1.0</v>
      </c>
      <c r="C72" s="5"/>
      <c r="D72" s="5"/>
      <c r="E72" s="24"/>
      <c r="F72" s="28"/>
      <c r="G72" s="5"/>
      <c r="H72" s="5"/>
      <c r="I72" s="46"/>
      <c r="K72" s="24"/>
      <c r="L72" s="5"/>
    </row>
    <row r="73">
      <c r="A73" s="5" t="s">
        <v>588</v>
      </c>
      <c r="B73" s="5">
        <v>1.0</v>
      </c>
      <c r="C73" s="5"/>
      <c r="D73" s="5"/>
      <c r="E73" s="24"/>
      <c r="F73" s="28"/>
      <c r="G73" s="5"/>
      <c r="H73" s="5"/>
      <c r="I73" s="46"/>
      <c r="K73" s="24"/>
      <c r="L73" s="5"/>
    </row>
    <row r="74">
      <c r="A74" s="5" t="s">
        <v>589</v>
      </c>
      <c r="B74" s="5">
        <v>1.0</v>
      </c>
      <c r="C74" s="5"/>
      <c r="D74" s="5"/>
      <c r="E74" s="24"/>
      <c r="F74" s="28"/>
      <c r="G74" s="5"/>
      <c r="H74" s="5"/>
      <c r="I74" s="46"/>
      <c r="K74" s="24"/>
      <c r="L74" s="5"/>
    </row>
    <row r="75">
      <c r="A75" s="5" t="s">
        <v>590</v>
      </c>
      <c r="B75" s="5">
        <v>1.0</v>
      </c>
      <c r="C75" s="5"/>
      <c r="D75" s="5"/>
      <c r="E75" s="24"/>
      <c r="F75" s="28"/>
      <c r="G75" s="5"/>
      <c r="H75" s="5"/>
      <c r="I75" s="46"/>
      <c r="K75" s="24"/>
      <c r="L75" s="5"/>
    </row>
    <row r="76">
      <c r="A76" s="5" t="s">
        <v>591</v>
      </c>
      <c r="B76" s="5">
        <v>1.0</v>
      </c>
      <c r="C76" s="5"/>
      <c r="D76" s="5"/>
      <c r="E76" s="24"/>
      <c r="F76" s="28"/>
      <c r="G76" s="5"/>
      <c r="H76" s="5"/>
      <c r="I76" s="46"/>
      <c r="K76" s="24"/>
      <c r="L76" s="5"/>
    </row>
    <row r="77">
      <c r="A77" s="5" t="s">
        <v>592</v>
      </c>
      <c r="B77" s="5">
        <v>1.0</v>
      </c>
      <c r="C77" s="5"/>
      <c r="D77" s="5"/>
      <c r="E77" s="24"/>
      <c r="F77" s="28"/>
      <c r="G77" s="5"/>
      <c r="H77" s="5"/>
      <c r="I77" s="46"/>
      <c r="K77" s="24"/>
      <c r="L77" s="5"/>
    </row>
    <row r="78">
      <c r="A78" s="5" t="s">
        <v>593</v>
      </c>
      <c r="B78" s="5">
        <v>1.0</v>
      </c>
      <c r="C78" s="5"/>
      <c r="D78" s="5"/>
      <c r="E78" s="24"/>
      <c r="F78" s="28"/>
      <c r="G78" s="5"/>
      <c r="H78" s="5"/>
      <c r="I78" s="46"/>
      <c r="K78" s="24"/>
      <c r="L78" s="5"/>
    </row>
    <row r="79">
      <c r="A79" s="5" t="s">
        <v>594</v>
      </c>
      <c r="B79" s="5">
        <v>1.0</v>
      </c>
      <c r="C79" s="5"/>
      <c r="D79" s="5"/>
      <c r="E79" s="24"/>
      <c r="F79" s="28"/>
      <c r="G79" s="5"/>
      <c r="H79" s="5"/>
      <c r="I79" s="46"/>
      <c r="K79" s="24"/>
      <c r="L79" s="5"/>
    </row>
    <row r="80">
      <c r="A80" s="5" t="s">
        <v>595</v>
      </c>
      <c r="B80" s="5">
        <v>1.0</v>
      </c>
      <c r="C80" s="5"/>
      <c r="D80" s="5"/>
      <c r="E80" s="24"/>
      <c r="F80" s="28"/>
      <c r="G80" s="5"/>
      <c r="H80" s="5"/>
      <c r="I80" s="46"/>
      <c r="K80" s="24"/>
      <c r="L80" s="5"/>
    </row>
    <row r="81">
      <c r="A81" s="5" t="s">
        <v>596</v>
      </c>
      <c r="B81" s="5">
        <v>1.0</v>
      </c>
      <c r="C81" s="5"/>
      <c r="D81" s="5"/>
      <c r="E81" s="24"/>
      <c r="F81" s="28"/>
      <c r="G81" s="5"/>
      <c r="H81" s="5"/>
      <c r="I81" s="46"/>
      <c r="K81" s="24"/>
      <c r="L81" s="5"/>
    </row>
    <row r="82">
      <c r="A82" s="5" t="s">
        <v>597</v>
      </c>
      <c r="B82" s="5">
        <v>1.0</v>
      </c>
      <c r="C82" s="5"/>
      <c r="D82" s="5"/>
      <c r="E82" s="24"/>
      <c r="F82" s="28"/>
      <c r="G82" s="5"/>
      <c r="H82" s="5"/>
      <c r="I82" s="46"/>
      <c r="K82" s="24"/>
      <c r="L82" s="5"/>
    </row>
    <row r="83">
      <c r="A83" s="5" t="s">
        <v>598</v>
      </c>
      <c r="B83" s="5">
        <v>1.0</v>
      </c>
      <c r="C83" s="5"/>
      <c r="D83" s="5"/>
      <c r="E83" s="24"/>
      <c r="F83" s="28"/>
      <c r="G83" s="5"/>
      <c r="H83" s="5"/>
      <c r="I83" s="46"/>
      <c r="K83" s="24"/>
      <c r="L83" s="5"/>
    </row>
    <row r="84">
      <c r="A84" s="5" t="s">
        <v>599</v>
      </c>
      <c r="B84" s="5">
        <v>1.0</v>
      </c>
      <c r="C84" s="5"/>
      <c r="D84" s="5"/>
      <c r="E84" s="24"/>
      <c r="F84" s="28"/>
      <c r="G84" s="5"/>
      <c r="H84" s="5"/>
      <c r="I84" s="46"/>
      <c r="K84" s="24"/>
      <c r="L84" s="5"/>
    </row>
    <row r="85">
      <c r="A85" s="5" t="s">
        <v>600</v>
      </c>
      <c r="B85" s="5">
        <v>1.0</v>
      </c>
      <c r="C85" s="5"/>
      <c r="D85" s="5"/>
      <c r="E85" s="24"/>
      <c r="F85" s="28"/>
      <c r="G85" s="5"/>
      <c r="H85" s="5"/>
      <c r="I85" s="46"/>
      <c r="K85" s="24"/>
      <c r="L85" s="5"/>
    </row>
    <row r="86">
      <c r="A86" s="5" t="s">
        <v>601</v>
      </c>
      <c r="B86" s="5">
        <v>1.0</v>
      </c>
      <c r="C86" s="5"/>
      <c r="D86" s="5"/>
      <c r="E86" s="24"/>
      <c r="F86" s="28"/>
      <c r="G86" s="5"/>
      <c r="H86" s="5"/>
      <c r="I86" s="46"/>
      <c r="K86" s="24"/>
      <c r="L86" s="5"/>
    </row>
    <row r="87">
      <c r="A87" s="5" t="s">
        <v>602</v>
      </c>
      <c r="B87" s="5">
        <v>1.0</v>
      </c>
      <c r="C87" s="5"/>
      <c r="D87" s="5"/>
      <c r="E87" s="24"/>
      <c r="F87" s="28"/>
      <c r="G87" s="5"/>
      <c r="H87" s="5"/>
      <c r="I87" s="46"/>
      <c r="K87" s="24"/>
      <c r="L87" s="5"/>
    </row>
    <row r="88">
      <c r="A88" s="5" t="s">
        <v>603</v>
      </c>
      <c r="B88" s="5">
        <v>1.0</v>
      </c>
      <c r="C88" s="5"/>
      <c r="D88" s="5"/>
      <c r="E88" s="24"/>
      <c r="F88" s="28"/>
      <c r="G88" s="5"/>
      <c r="H88" s="5"/>
      <c r="I88" s="46"/>
      <c r="K88" s="24"/>
      <c r="L88" s="5"/>
    </row>
    <row r="89">
      <c r="A89" s="5" t="s">
        <v>604</v>
      </c>
      <c r="B89" s="5">
        <v>1.0</v>
      </c>
      <c r="C89" s="5"/>
      <c r="D89" s="5"/>
      <c r="E89" s="24"/>
      <c r="F89" s="28"/>
      <c r="G89" s="5"/>
      <c r="H89" s="5"/>
      <c r="I89" s="46"/>
      <c r="K89" s="24"/>
      <c r="L89" s="5"/>
    </row>
    <row r="90">
      <c r="A90" s="5" t="s">
        <v>605</v>
      </c>
      <c r="B90" s="5">
        <v>1.0</v>
      </c>
      <c r="C90" s="5"/>
      <c r="D90" s="5"/>
      <c r="E90" s="24"/>
      <c r="F90" s="28"/>
      <c r="G90" s="5"/>
      <c r="H90" s="5"/>
      <c r="I90" s="46"/>
      <c r="K90" s="24"/>
      <c r="L90" s="5"/>
    </row>
    <row r="91">
      <c r="A91" s="5" t="s">
        <v>606</v>
      </c>
      <c r="B91" s="5">
        <v>1.0</v>
      </c>
      <c r="C91" s="5"/>
      <c r="D91" s="5"/>
      <c r="E91" s="24"/>
      <c r="F91" s="28"/>
      <c r="G91" s="5"/>
      <c r="H91" s="5"/>
      <c r="I91" s="46"/>
      <c r="K91" s="24"/>
      <c r="L91" s="5"/>
    </row>
    <row r="92">
      <c r="A92" s="5" t="s">
        <v>607</v>
      </c>
      <c r="B92" s="5">
        <v>1.0</v>
      </c>
      <c r="C92" s="5"/>
      <c r="D92" s="5"/>
      <c r="E92" s="24"/>
      <c r="F92" s="28"/>
      <c r="G92" s="5"/>
      <c r="H92" s="5"/>
      <c r="I92" s="46"/>
      <c r="K92" s="24"/>
      <c r="L92" s="5"/>
    </row>
    <row r="93">
      <c r="A93" s="5" t="s">
        <v>608</v>
      </c>
      <c r="B93" s="5">
        <v>1.0</v>
      </c>
      <c r="C93" s="5"/>
      <c r="D93" s="5"/>
      <c r="E93" s="24"/>
      <c r="F93" s="28"/>
      <c r="G93" s="5"/>
      <c r="H93" s="5"/>
      <c r="I93" s="46"/>
      <c r="K93" s="24"/>
      <c r="L93" s="5"/>
    </row>
    <row r="94">
      <c r="A94" s="5" t="s">
        <v>609</v>
      </c>
      <c r="B94" s="5">
        <v>1.0</v>
      </c>
      <c r="C94" s="5"/>
      <c r="D94" s="5"/>
      <c r="E94" s="24"/>
      <c r="F94" s="28"/>
      <c r="G94" s="5"/>
      <c r="H94" s="5"/>
      <c r="I94" s="46"/>
      <c r="K94" s="24"/>
      <c r="L94" s="5"/>
    </row>
    <row r="95">
      <c r="A95" s="5" t="s">
        <v>610</v>
      </c>
      <c r="B95" s="5">
        <v>1.0</v>
      </c>
      <c r="C95" s="5"/>
      <c r="D95" s="5"/>
      <c r="E95" s="24"/>
      <c r="F95" s="28"/>
      <c r="G95" s="5"/>
      <c r="H95" s="5"/>
      <c r="I95" s="46"/>
      <c r="K95" s="24"/>
      <c r="L95" s="5"/>
    </row>
    <row r="96">
      <c r="A96" s="5" t="s">
        <v>611</v>
      </c>
      <c r="B96" s="5">
        <v>1.0</v>
      </c>
      <c r="C96" s="5"/>
      <c r="D96" s="5"/>
      <c r="E96" s="24"/>
      <c r="F96" s="28"/>
      <c r="G96" s="5"/>
      <c r="H96" s="5"/>
      <c r="I96" s="46"/>
      <c r="K96" s="24"/>
      <c r="L96" s="5"/>
    </row>
    <row r="97">
      <c r="A97" s="5" t="s">
        <v>612</v>
      </c>
      <c r="B97" s="5">
        <v>1.0</v>
      </c>
      <c r="C97" s="5"/>
      <c r="D97" s="5"/>
      <c r="E97" s="24"/>
      <c r="F97" s="28"/>
      <c r="G97" s="5"/>
      <c r="H97" s="5"/>
      <c r="I97" s="46"/>
      <c r="K97" s="24"/>
      <c r="L97" s="5"/>
    </row>
    <row r="98">
      <c r="A98" s="5" t="s">
        <v>613</v>
      </c>
      <c r="B98" s="5">
        <v>1.0</v>
      </c>
      <c r="C98" s="5"/>
      <c r="D98" s="5"/>
      <c r="E98" s="24"/>
      <c r="F98" s="28"/>
      <c r="G98" s="5"/>
      <c r="H98" s="5"/>
      <c r="I98" s="46"/>
      <c r="K98" s="24"/>
      <c r="L98" s="5"/>
    </row>
    <row r="99">
      <c r="A99" s="5" t="s">
        <v>614</v>
      </c>
      <c r="B99" s="5">
        <v>1.0</v>
      </c>
      <c r="C99" s="5"/>
      <c r="D99" s="5"/>
      <c r="E99" s="24"/>
      <c r="F99" s="28"/>
      <c r="G99" s="5"/>
      <c r="H99" s="5"/>
      <c r="I99" s="46"/>
      <c r="K99" s="24"/>
      <c r="L99" s="5"/>
    </row>
    <row r="100">
      <c r="A100" s="5" t="s">
        <v>615</v>
      </c>
      <c r="B100" s="5">
        <v>1.0</v>
      </c>
      <c r="C100" s="5"/>
      <c r="D100" s="5"/>
      <c r="E100" s="24"/>
      <c r="F100" s="28"/>
      <c r="G100" s="5"/>
      <c r="H100" s="5"/>
      <c r="I100" s="46"/>
      <c r="K100" s="24"/>
      <c r="L100" s="5"/>
    </row>
    <row r="101">
      <c r="A101" s="5" t="s">
        <v>616</v>
      </c>
      <c r="B101" s="5">
        <v>1.0</v>
      </c>
      <c r="C101" s="5"/>
      <c r="D101" s="5"/>
      <c r="E101" s="24"/>
      <c r="F101" s="28"/>
      <c r="G101" s="5"/>
      <c r="H101" s="5"/>
      <c r="I101" s="46"/>
      <c r="K101" s="24"/>
      <c r="L101" s="5"/>
    </row>
    <row r="102">
      <c r="A102" s="5" t="s">
        <v>617</v>
      </c>
      <c r="B102" s="5">
        <v>1.0</v>
      </c>
      <c r="C102" s="5"/>
      <c r="D102" s="5"/>
      <c r="E102" s="24"/>
      <c r="F102" s="28"/>
      <c r="G102" s="5"/>
      <c r="H102" s="5"/>
      <c r="I102" s="46"/>
      <c r="K102" s="24"/>
      <c r="L102" s="5"/>
    </row>
    <row r="103">
      <c r="A103" s="5" t="s">
        <v>618</v>
      </c>
      <c r="B103" s="5">
        <v>1.0</v>
      </c>
      <c r="C103" s="5"/>
      <c r="D103" s="5"/>
      <c r="E103" s="24"/>
      <c r="F103" s="28"/>
      <c r="G103" s="5"/>
      <c r="H103" s="5"/>
      <c r="I103" s="46"/>
      <c r="K103" s="24"/>
      <c r="L103" s="5"/>
    </row>
    <row r="104">
      <c r="A104" s="5" t="s">
        <v>619</v>
      </c>
      <c r="B104" s="5">
        <v>1.0</v>
      </c>
      <c r="C104" s="5"/>
      <c r="D104" s="5"/>
      <c r="E104" s="24"/>
      <c r="F104" s="28"/>
      <c r="G104" s="5"/>
      <c r="H104" s="5"/>
      <c r="I104" s="46"/>
      <c r="K104" s="24"/>
      <c r="L104" s="5"/>
    </row>
    <row r="105">
      <c r="A105" s="5" t="s">
        <v>620</v>
      </c>
      <c r="B105" s="5">
        <v>1.0</v>
      </c>
      <c r="C105" s="5"/>
      <c r="D105" s="5"/>
      <c r="E105" s="24"/>
      <c r="F105" s="28"/>
      <c r="G105" s="5"/>
      <c r="H105" s="5"/>
      <c r="I105" s="46"/>
      <c r="K105" s="24"/>
      <c r="L105" s="5"/>
    </row>
    <row r="106">
      <c r="A106" s="5" t="s">
        <v>621</v>
      </c>
      <c r="B106" s="5">
        <v>1.0</v>
      </c>
      <c r="C106" s="5"/>
      <c r="D106" s="5"/>
      <c r="E106" s="24"/>
      <c r="F106" s="28"/>
      <c r="G106" s="5"/>
      <c r="H106" s="5"/>
      <c r="I106" s="46"/>
      <c r="K106" s="24"/>
      <c r="L106" s="5"/>
    </row>
    <row r="107">
      <c r="A107" s="5" t="s">
        <v>622</v>
      </c>
      <c r="B107" s="5">
        <v>1.0</v>
      </c>
      <c r="C107" s="5"/>
      <c r="D107" s="5"/>
      <c r="E107" s="24"/>
      <c r="F107" s="28"/>
      <c r="G107" s="5"/>
      <c r="H107" s="5"/>
      <c r="I107" s="46"/>
      <c r="K107" s="24"/>
      <c r="L107" s="5"/>
    </row>
    <row r="108">
      <c r="A108" s="5" t="s">
        <v>623</v>
      </c>
      <c r="B108" s="5">
        <v>1.0</v>
      </c>
      <c r="C108" s="5"/>
      <c r="D108" s="5"/>
      <c r="E108" s="24"/>
      <c r="F108" s="28"/>
      <c r="G108" s="5"/>
      <c r="H108" s="5"/>
      <c r="I108" s="46"/>
      <c r="K108" s="24"/>
      <c r="L108" s="5"/>
    </row>
    <row r="109">
      <c r="A109" s="5" t="s">
        <v>624</v>
      </c>
      <c r="B109" s="5">
        <v>1.0</v>
      </c>
      <c r="C109" s="5"/>
      <c r="D109" s="5"/>
      <c r="E109" s="24"/>
      <c r="F109" s="28"/>
      <c r="G109" s="5"/>
      <c r="H109" s="5"/>
      <c r="I109" s="46"/>
      <c r="K109" s="24"/>
      <c r="L109" s="5"/>
    </row>
    <row r="110">
      <c r="A110" s="5" t="s">
        <v>625</v>
      </c>
      <c r="B110" s="5">
        <v>1.0</v>
      </c>
      <c r="C110" s="5"/>
      <c r="D110" s="5"/>
      <c r="E110" s="24"/>
      <c r="F110" s="28"/>
      <c r="G110" s="5"/>
      <c r="H110" s="5"/>
      <c r="I110" s="46"/>
      <c r="K110" s="24"/>
      <c r="L110" s="5"/>
    </row>
    <row r="111">
      <c r="A111" s="5" t="s">
        <v>626</v>
      </c>
      <c r="B111" s="5">
        <v>1.0</v>
      </c>
      <c r="C111" s="5"/>
      <c r="D111" s="5"/>
      <c r="E111" s="24"/>
      <c r="F111" s="28"/>
      <c r="G111" s="5"/>
      <c r="H111" s="5"/>
      <c r="I111" s="46"/>
      <c r="K111" s="24"/>
      <c r="L111" s="5"/>
    </row>
    <row r="112">
      <c r="A112" s="5" t="s">
        <v>627</v>
      </c>
      <c r="B112" s="5">
        <v>1.0</v>
      </c>
      <c r="C112" s="5"/>
      <c r="D112" s="5"/>
      <c r="E112" s="24"/>
      <c r="F112" s="28"/>
      <c r="G112" s="5"/>
      <c r="H112" s="5"/>
      <c r="I112" s="46"/>
      <c r="K112" s="24"/>
      <c r="L112" s="5"/>
    </row>
    <row r="113">
      <c r="A113" s="5" t="s">
        <v>628</v>
      </c>
      <c r="B113" s="5">
        <v>1.0</v>
      </c>
      <c r="C113" s="5"/>
      <c r="D113" s="5"/>
      <c r="E113" s="24"/>
      <c r="F113" s="28"/>
      <c r="G113" s="5"/>
      <c r="H113" s="5"/>
      <c r="I113" s="46"/>
      <c r="K113" s="24"/>
      <c r="L113" s="5"/>
    </row>
    <row r="114">
      <c r="A114" s="5" t="s">
        <v>629</v>
      </c>
      <c r="B114" s="5">
        <v>1.0</v>
      </c>
      <c r="C114" s="5"/>
      <c r="D114" s="5"/>
      <c r="E114" s="24"/>
      <c r="F114" s="28"/>
      <c r="G114" s="5"/>
      <c r="H114" s="5"/>
      <c r="I114" s="46"/>
      <c r="K114" s="24"/>
      <c r="L114" s="5"/>
    </row>
    <row r="115">
      <c r="A115" s="5" t="s">
        <v>630</v>
      </c>
      <c r="B115" s="5">
        <v>1.0</v>
      </c>
      <c r="C115" s="5"/>
      <c r="D115" s="5"/>
      <c r="E115" s="24"/>
      <c r="F115" s="28"/>
      <c r="G115" s="5"/>
      <c r="H115" s="5"/>
      <c r="I115" s="46"/>
      <c r="K115" s="24"/>
      <c r="L115" s="5"/>
    </row>
    <row r="116">
      <c r="A116" s="5" t="s">
        <v>631</v>
      </c>
      <c r="B116" s="5">
        <v>1.0</v>
      </c>
      <c r="C116" s="5"/>
      <c r="D116" s="5"/>
      <c r="E116" s="24"/>
      <c r="F116" s="28"/>
      <c r="G116" s="5"/>
      <c r="H116" s="5"/>
      <c r="I116" s="46"/>
      <c r="K116" s="24"/>
      <c r="L116" s="5"/>
    </row>
    <row r="117">
      <c r="A117" s="5" t="s">
        <v>632</v>
      </c>
      <c r="B117" s="5">
        <v>1.0</v>
      </c>
      <c r="C117" s="5"/>
      <c r="D117" s="5"/>
      <c r="E117" s="24"/>
      <c r="F117" s="28"/>
      <c r="G117" s="5"/>
      <c r="H117" s="5"/>
      <c r="I117" s="46"/>
      <c r="K117" s="24"/>
      <c r="L117" s="5"/>
    </row>
    <row r="118">
      <c r="A118" s="5" t="s">
        <v>633</v>
      </c>
      <c r="B118" s="5">
        <v>1.0</v>
      </c>
      <c r="C118" s="5"/>
      <c r="D118" s="5"/>
      <c r="E118" s="24"/>
      <c r="F118" s="28"/>
      <c r="G118" s="5"/>
      <c r="H118" s="5"/>
      <c r="I118" s="46"/>
      <c r="K118" s="24"/>
      <c r="L118" s="5"/>
    </row>
    <row r="119">
      <c r="A119" s="5" t="s">
        <v>634</v>
      </c>
      <c r="B119" s="5">
        <v>1.0</v>
      </c>
      <c r="C119" s="5"/>
      <c r="D119" s="5"/>
      <c r="E119" s="24"/>
      <c r="F119" s="28"/>
      <c r="G119" s="5"/>
      <c r="H119" s="5"/>
      <c r="I119" s="46"/>
      <c r="K119" s="24"/>
      <c r="L119" s="5"/>
    </row>
    <row r="120">
      <c r="A120" s="5" t="s">
        <v>635</v>
      </c>
      <c r="B120" s="5">
        <v>1.0</v>
      </c>
      <c r="C120" s="5"/>
      <c r="D120" s="5"/>
      <c r="E120" s="24"/>
      <c r="F120" s="28"/>
      <c r="G120" s="5"/>
      <c r="H120" s="5"/>
      <c r="I120" s="46"/>
      <c r="K120" s="24"/>
      <c r="L120" s="5"/>
    </row>
    <row r="121">
      <c r="A121" s="5" t="s">
        <v>636</v>
      </c>
      <c r="B121" s="5">
        <v>1.0</v>
      </c>
      <c r="C121" s="5"/>
      <c r="D121" s="5"/>
      <c r="E121" s="24"/>
      <c r="F121" s="28"/>
      <c r="G121" s="5"/>
      <c r="H121" s="5"/>
      <c r="I121" s="46"/>
      <c r="K121" s="24"/>
      <c r="L121" s="5"/>
    </row>
    <row r="122">
      <c r="A122" s="5" t="s">
        <v>637</v>
      </c>
      <c r="B122" s="5">
        <v>1.0</v>
      </c>
      <c r="C122" s="5"/>
      <c r="D122" s="5"/>
      <c r="E122" s="24"/>
      <c r="F122" s="28"/>
      <c r="G122" s="5"/>
      <c r="H122" s="5"/>
      <c r="I122" s="46"/>
      <c r="K122" s="24"/>
      <c r="L122" s="5"/>
    </row>
    <row r="123">
      <c r="A123" s="5" t="s">
        <v>638</v>
      </c>
      <c r="B123" s="5">
        <v>1.0</v>
      </c>
      <c r="C123" s="5"/>
      <c r="D123" s="5"/>
      <c r="E123" s="24"/>
      <c r="F123" s="28"/>
      <c r="G123" s="5"/>
      <c r="H123" s="5"/>
      <c r="I123" s="46"/>
      <c r="K123" s="24"/>
      <c r="L123" s="5"/>
    </row>
    <row r="124">
      <c r="A124" s="5" t="s">
        <v>639</v>
      </c>
      <c r="B124" s="5">
        <v>1.0</v>
      </c>
      <c r="C124" s="5"/>
      <c r="D124" s="5"/>
      <c r="E124" s="24"/>
      <c r="F124" s="28"/>
      <c r="G124" s="5"/>
      <c r="H124" s="5"/>
      <c r="I124" s="46"/>
      <c r="K124" s="24"/>
      <c r="L124" s="5"/>
    </row>
    <row r="125">
      <c r="A125" s="5" t="s">
        <v>640</v>
      </c>
      <c r="B125" s="5">
        <v>1.0</v>
      </c>
      <c r="C125" s="5"/>
      <c r="D125" s="5"/>
      <c r="E125" s="24"/>
      <c r="F125" s="28"/>
      <c r="G125" s="5"/>
      <c r="H125" s="5"/>
      <c r="I125" s="46"/>
      <c r="K125" s="24"/>
      <c r="L125" s="5"/>
    </row>
    <row r="126">
      <c r="A126" s="5" t="s">
        <v>641</v>
      </c>
      <c r="B126" s="5">
        <v>1.0</v>
      </c>
      <c r="C126" s="5"/>
      <c r="D126" s="5"/>
      <c r="E126" s="24"/>
      <c r="F126" s="28"/>
      <c r="G126" s="5"/>
      <c r="H126" s="5"/>
      <c r="I126" s="46"/>
      <c r="K126" s="24"/>
      <c r="L126" s="5"/>
    </row>
    <row r="127">
      <c r="A127" s="5" t="s">
        <v>642</v>
      </c>
      <c r="B127" s="5">
        <v>1.0</v>
      </c>
      <c r="C127" s="5"/>
      <c r="D127" s="5"/>
      <c r="E127" s="24"/>
      <c r="F127" s="28"/>
      <c r="G127" s="5"/>
      <c r="H127" s="5"/>
      <c r="I127" s="46"/>
      <c r="K127" s="24"/>
      <c r="L127" s="5"/>
    </row>
    <row r="128">
      <c r="A128" s="5" t="s">
        <v>643</v>
      </c>
      <c r="B128" s="5">
        <v>1.0</v>
      </c>
      <c r="C128" s="5"/>
      <c r="D128" s="5"/>
      <c r="E128" s="24"/>
      <c r="F128" s="28"/>
      <c r="G128" s="5"/>
      <c r="H128" s="5"/>
      <c r="I128" s="46"/>
      <c r="K128" s="24"/>
      <c r="L128" s="5"/>
    </row>
    <row r="129">
      <c r="A129" s="5" t="s">
        <v>644</v>
      </c>
      <c r="B129" s="5">
        <v>1.0</v>
      </c>
      <c r="C129" s="5"/>
      <c r="D129" s="5"/>
      <c r="E129" s="24"/>
      <c r="F129" s="28"/>
      <c r="G129" s="5"/>
      <c r="H129" s="5"/>
      <c r="I129" s="46"/>
      <c r="K129" s="24"/>
      <c r="L129" s="5"/>
    </row>
    <row r="130">
      <c r="A130" s="5" t="s">
        <v>645</v>
      </c>
      <c r="B130" s="5">
        <v>1.0</v>
      </c>
      <c r="C130" s="5"/>
      <c r="D130" s="5"/>
      <c r="E130" s="24"/>
      <c r="F130" s="28"/>
      <c r="G130" s="5"/>
      <c r="H130" s="5"/>
      <c r="I130" s="46"/>
      <c r="K130" s="24"/>
      <c r="L130" s="5"/>
    </row>
    <row r="131">
      <c r="A131" s="5" t="s">
        <v>646</v>
      </c>
      <c r="B131" s="5">
        <v>1.0</v>
      </c>
      <c r="C131" s="5"/>
      <c r="D131" s="5"/>
      <c r="E131" s="24"/>
      <c r="F131" s="28"/>
      <c r="G131" s="5"/>
      <c r="H131" s="5"/>
      <c r="I131" s="46"/>
      <c r="K131" s="24"/>
      <c r="L131" s="5"/>
    </row>
    <row r="132">
      <c r="A132" s="5" t="s">
        <v>647</v>
      </c>
      <c r="B132" s="5">
        <v>1.0</v>
      </c>
      <c r="C132" s="5"/>
      <c r="D132" s="5"/>
      <c r="E132" s="24"/>
      <c r="F132" s="28"/>
      <c r="G132" s="5"/>
      <c r="H132" s="5"/>
      <c r="I132" s="46"/>
      <c r="K132" s="24"/>
      <c r="L132" s="5"/>
    </row>
    <row r="133">
      <c r="A133" s="5" t="s">
        <v>648</v>
      </c>
      <c r="B133" s="5">
        <v>1.0</v>
      </c>
      <c r="C133" s="5"/>
      <c r="D133" s="5"/>
      <c r="E133" s="24"/>
      <c r="F133" s="28"/>
      <c r="G133" s="5"/>
      <c r="H133" s="5"/>
      <c r="I133" s="46"/>
      <c r="K133" s="24"/>
      <c r="L133" s="5"/>
    </row>
    <row r="134">
      <c r="A134" s="5" t="s">
        <v>649</v>
      </c>
      <c r="B134" s="5">
        <v>1.0</v>
      </c>
      <c r="C134" s="5"/>
      <c r="D134" s="5"/>
      <c r="E134" s="24"/>
      <c r="F134" s="28"/>
      <c r="G134" s="5"/>
      <c r="H134" s="5"/>
      <c r="I134" s="46"/>
      <c r="K134" s="24"/>
      <c r="L134" s="5"/>
    </row>
    <row r="135">
      <c r="A135" s="5" t="s">
        <v>650</v>
      </c>
      <c r="B135" s="5">
        <v>1.0</v>
      </c>
      <c r="C135" s="5"/>
      <c r="D135" s="5"/>
      <c r="E135" s="24"/>
      <c r="F135" s="28"/>
      <c r="G135" s="5"/>
      <c r="H135" s="5"/>
      <c r="I135" s="46"/>
      <c r="K135" s="24"/>
      <c r="L135" s="5"/>
    </row>
    <row r="136">
      <c r="A136" s="5" t="s">
        <v>651</v>
      </c>
      <c r="B136" s="5">
        <v>1.0</v>
      </c>
      <c r="C136" s="5"/>
      <c r="D136" s="5"/>
      <c r="E136" s="24"/>
      <c r="F136" s="28"/>
      <c r="G136" s="5"/>
      <c r="H136" s="5"/>
      <c r="I136" s="46"/>
      <c r="K136" s="24"/>
      <c r="L136" s="5"/>
    </row>
    <row r="137">
      <c r="A137" s="5" t="s">
        <v>652</v>
      </c>
      <c r="B137" s="5">
        <v>1.0</v>
      </c>
      <c r="C137" s="5"/>
      <c r="D137" s="5"/>
      <c r="E137" s="24"/>
      <c r="F137" s="28"/>
      <c r="G137" s="5"/>
      <c r="H137" s="5"/>
      <c r="I137" s="46"/>
      <c r="K137" s="24"/>
      <c r="L137" s="5"/>
    </row>
    <row r="138">
      <c r="A138" s="5" t="s">
        <v>653</v>
      </c>
      <c r="B138" s="5">
        <v>1.0</v>
      </c>
      <c r="C138" s="5"/>
      <c r="D138" s="5"/>
      <c r="E138" s="24"/>
      <c r="F138" s="28"/>
      <c r="G138" s="5"/>
      <c r="H138" s="5"/>
      <c r="I138" s="46"/>
      <c r="K138" s="24"/>
      <c r="L138" s="5"/>
    </row>
    <row r="139">
      <c r="A139" s="5" t="s">
        <v>654</v>
      </c>
      <c r="B139" s="5">
        <v>1.0</v>
      </c>
      <c r="C139" s="5"/>
      <c r="D139" s="5"/>
      <c r="E139" s="24"/>
      <c r="F139" s="28"/>
      <c r="G139" s="5"/>
      <c r="H139" s="5"/>
      <c r="I139" s="46"/>
      <c r="K139" s="24"/>
      <c r="L139" s="5"/>
    </row>
    <row r="140">
      <c r="A140" s="5" t="s">
        <v>655</v>
      </c>
      <c r="B140" s="5">
        <v>1.0</v>
      </c>
      <c r="C140" s="5"/>
      <c r="D140" s="5"/>
      <c r="E140" s="24"/>
      <c r="F140" s="28"/>
      <c r="G140" s="5"/>
      <c r="H140" s="5"/>
      <c r="I140" s="46"/>
      <c r="K140" s="24"/>
      <c r="L140" s="5"/>
    </row>
    <row r="141">
      <c r="A141" s="5" t="s">
        <v>656</v>
      </c>
      <c r="B141" s="5">
        <v>1.0</v>
      </c>
      <c r="C141" s="5"/>
      <c r="D141" s="5"/>
      <c r="E141" s="24"/>
      <c r="F141" s="28"/>
      <c r="G141" s="5"/>
      <c r="H141" s="5"/>
      <c r="I141" s="46"/>
      <c r="K141" s="24"/>
      <c r="L141" s="5"/>
    </row>
    <row r="142">
      <c r="A142" s="5" t="s">
        <v>657</v>
      </c>
      <c r="B142" s="5">
        <v>1.0</v>
      </c>
      <c r="C142" s="5"/>
      <c r="D142" s="5"/>
      <c r="E142" s="24"/>
      <c r="F142" s="28"/>
      <c r="G142" s="5"/>
      <c r="H142" s="5"/>
      <c r="I142" s="46"/>
      <c r="K142" s="24"/>
      <c r="L142" s="5"/>
    </row>
    <row r="143">
      <c r="A143" s="5" t="s">
        <v>658</v>
      </c>
      <c r="B143" s="5">
        <v>1.0</v>
      </c>
      <c r="C143" s="5"/>
      <c r="D143" s="5"/>
      <c r="E143" s="24"/>
      <c r="F143" s="28"/>
      <c r="G143" s="5"/>
      <c r="H143" s="5"/>
      <c r="I143" s="46"/>
      <c r="K143" s="24"/>
      <c r="L143" s="5"/>
    </row>
    <row r="144">
      <c r="A144" s="5" t="s">
        <v>659</v>
      </c>
      <c r="B144" s="5">
        <v>1.0</v>
      </c>
      <c r="C144" s="5"/>
      <c r="D144" s="5"/>
      <c r="E144" s="24"/>
      <c r="F144" s="28"/>
      <c r="G144" s="5"/>
      <c r="H144" s="5"/>
      <c r="I144" s="46"/>
      <c r="K144" s="24"/>
      <c r="L144" s="5"/>
    </row>
    <row r="145">
      <c r="A145" s="5" t="s">
        <v>660</v>
      </c>
      <c r="B145" s="5">
        <v>1.0</v>
      </c>
      <c r="C145" s="5"/>
      <c r="D145" s="5"/>
      <c r="E145" s="24"/>
      <c r="F145" s="28"/>
      <c r="G145" s="5"/>
      <c r="H145" s="5"/>
      <c r="I145" s="46"/>
      <c r="K145" s="24"/>
      <c r="L145" s="5"/>
    </row>
    <row r="146">
      <c r="A146" s="5" t="s">
        <v>661</v>
      </c>
      <c r="B146" s="5">
        <v>1.0</v>
      </c>
      <c r="C146" s="5"/>
      <c r="D146" s="5"/>
      <c r="E146" s="24"/>
      <c r="F146" s="28"/>
      <c r="G146" s="5"/>
      <c r="H146" s="5"/>
      <c r="I146" s="46"/>
      <c r="K146" s="24"/>
      <c r="L146" s="5"/>
    </row>
    <row r="147">
      <c r="A147" s="5" t="s">
        <v>662</v>
      </c>
      <c r="B147" s="5">
        <v>1.0</v>
      </c>
      <c r="C147" s="5"/>
      <c r="D147" s="5"/>
      <c r="E147" s="24"/>
      <c r="F147" s="28"/>
      <c r="G147" s="5"/>
      <c r="H147" s="5"/>
      <c r="I147" s="46"/>
      <c r="K147" s="24"/>
      <c r="L147" s="5"/>
    </row>
    <row r="148">
      <c r="A148" s="5" t="s">
        <v>663</v>
      </c>
      <c r="B148" s="5">
        <v>1.0</v>
      </c>
      <c r="C148" s="5"/>
      <c r="D148" s="5"/>
      <c r="E148" s="24"/>
      <c r="F148" s="28"/>
      <c r="G148" s="5"/>
      <c r="H148" s="5"/>
      <c r="I148" s="46"/>
      <c r="K148" s="24"/>
      <c r="L148" s="5"/>
    </row>
    <row r="149">
      <c r="A149" s="5" t="s">
        <v>664</v>
      </c>
      <c r="B149" s="5">
        <v>1.0</v>
      </c>
      <c r="C149" s="5"/>
      <c r="D149" s="5"/>
      <c r="E149" s="24"/>
      <c r="F149" s="28"/>
      <c r="G149" s="5"/>
      <c r="H149" s="5"/>
      <c r="I149" s="46"/>
      <c r="K149" s="24"/>
      <c r="L149" s="5"/>
    </row>
    <row r="150">
      <c r="A150" s="5" t="s">
        <v>665</v>
      </c>
      <c r="B150" s="5">
        <v>1.0</v>
      </c>
      <c r="C150" s="5"/>
      <c r="D150" s="5"/>
      <c r="E150" s="24"/>
      <c r="F150" s="28"/>
      <c r="G150" s="5"/>
      <c r="H150" s="5"/>
      <c r="I150" s="46"/>
      <c r="K150" s="24"/>
      <c r="L150" s="5"/>
    </row>
    <row r="151">
      <c r="A151" s="5" t="s">
        <v>666</v>
      </c>
      <c r="B151" s="5">
        <v>1.0</v>
      </c>
      <c r="C151" s="5"/>
      <c r="D151" s="5"/>
      <c r="E151" s="24"/>
      <c r="F151" s="28"/>
      <c r="G151" s="5"/>
      <c r="H151" s="5"/>
      <c r="I151" s="46"/>
      <c r="K151" s="24"/>
      <c r="L151" s="5"/>
    </row>
    <row r="152">
      <c r="A152" s="5" t="s">
        <v>667</v>
      </c>
      <c r="B152" s="5">
        <v>1.0</v>
      </c>
      <c r="C152" s="5"/>
      <c r="D152" s="5"/>
      <c r="E152" s="24"/>
      <c r="F152" s="28"/>
      <c r="G152" s="5"/>
      <c r="H152" s="5"/>
      <c r="I152" s="46"/>
      <c r="K152" s="24"/>
      <c r="L152" s="5"/>
    </row>
    <row r="153">
      <c r="A153" s="5" t="s">
        <v>668</v>
      </c>
      <c r="B153" s="5">
        <v>1.0</v>
      </c>
      <c r="C153" s="5"/>
      <c r="D153" s="5"/>
      <c r="E153" s="24"/>
      <c r="F153" s="28"/>
      <c r="G153" s="5"/>
      <c r="H153" s="5"/>
      <c r="I153" s="46"/>
      <c r="K153" s="24"/>
      <c r="L153" s="5"/>
    </row>
    <row r="154">
      <c r="A154" s="5" t="s">
        <v>669</v>
      </c>
      <c r="B154" s="5">
        <v>1.0</v>
      </c>
      <c r="C154" s="5"/>
      <c r="D154" s="5"/>
      <c r="E154" s="24"/>
      <c r="F154" s="28"/>
      <c r="G154" s="5"/>
      <c r="H154" s="5"/>
      <c r="I154" s="46"/>
      <c r="K154" s="24"/>
      <c r="L154" s="5"/>
    </row>
    <row r="155">
      <c r="A155" s="5" t="s">
        <v>670</v>
      </c>
      <c r="B155" s="5">
        <v>1.0</v>
      </c>
      <c r="C155" s="5"/>
      <c r="D155" s="5"/>
      <c r="E155" s="24"/>
      <c r="F155" s="28"/>
      <c r="G155" s="5"/>
      <c r="H155" s="5"/>
      <c r="I155" s="46"/>
      <c r="K155" s="24"/>
      <c r="L155" s="5"/>
    </row>
    <row r="156">
      <c r="A156" s="5" t="s">
        <v>671</v>
      </c>
      <c r="B156" s="5">
        <v>1.0</v>
      </c>
      <c r="C156" s="5"/>
      <c r="D156" s="5"/>
      <c r="E156" s="24"/>
      <c r="F156" s="28"/>
      <c r="G156" s="5"/>
      <c r="H156" s="5"/>
      <c r="I156" s="46"/>
      <c r="K156" s="24"/>
      <c r="L156" s="5"/>
    </row>
    <row r="157">
      <c r="A157" s="5" t="s">
        <v>672</v>
      </c>
      <c r="B157" s="5">
        <v>1.0</v>
      </c>
      <c r="C157" s="5"/>
      <c r="D157" s="5"/>
      <c r="E157" s="24"/>
      <c r="F157" s="28"/>
      <c r="G157" s="5"/>
      <c r="H157" s="5"/>
      <c r="I157" s="46"/>
      <c r="K157" s="24"/>
      <c r="L157" s="5"/>
    </row>
    <row r="158">
      <c r="A158" s="5" t="s">
        <v>673</v>
      </c>
      <c r="B158" s="5">
        <v>1.0</v>
      </c>
      <c r="C158" s="5"/>
      <c r="D158" s="5"/>
      <c r="E158" s="24"/>
      <c r="F158" s="28"/>
      <c r="G158" s="5"/>
      <c r="H158" s="5"/>
      <c r="I158" s="46"/>
      <c r="K158" s="24"/>
      <c r="L158" s="5"/>
    </row>
    <row r="159">
      <c r="A159" s="5" t="s">
        <v>674</v>
      </c>
      <c r="B159" s="5">
        <v>1.0</v>
      </c>
      <c r="C159" s="5"/>
      <c r="D159" s="5"/>
      <c r="E159" s="24"/>
      <c r="F159" s="28"/>
      <c r="G159" s="5"/>
      <c r="H159" s="5"/>
      <c r="I159" s="46"/>
      <c r="K159" s="24"/>
      <c r="L159" s="5"/>
    </row>
    <row r="160">
      <c r="A160" s="5" t="s">
        <v>675</v>
      </c>
      <c r="B160" s="5">
        <v>1.0</v>
      </c>
      <c r="C160" s="5"/>
      <c r="D160" s="5"/>
      <c r="E160" s="24"/>
      <c r="F160" s="28"/>
      <c r="G160" s="5"/>
      <c r="H160" s="5"/>
      <c r="I160" s="46"/>
      <c r="K160" s="24"/>
      <c r="L160" s="5"/>
    </row>
    <row r="161">
      <c r="A161" s="5" t="s">
        <v>676</v>
      </c>
      <c r="B161" s="5">
        <v>1.0</v>
      </c>
      <c r="C161" s="5"/>
      <c r="D161" s="5"/>
      <c r="E161" s="24"/>
      <c r="F161" s="28"/>
      <c r="G161" s="5"/>
      <c r="H161" s="5"/>
      <c r="I161" s="46"/>
      <c r="K161" s="24"/>
      <c r="L161" s="5"/>
    </row>
    <row r="162">
      <c r="A162" s="5" t="s">
        <v>677</v>
      </c>
      <c r="B162" s="5">
        <v>1.0</v>
      </c>
      <c r="C162" s="5"/>
      <c r="D162" s="5"/>
      <c r="E162" s="24"/>
      <c r="F162" s="28"/>
      <c r="G162" s="5"/>
      <c r="H162" s="5"/>
      <c r="I162" s="46"/>
      <c r="K162" s="24"/>
      <c r="L162" s="5"/>
    </row>
    <row r="163">
      <c r="A163" s="5" t="s">
        <v>678</v>
      </c>
      <c r="B163" s="5">
        <v>1.0</v>
      </c>
      <c r="C163" s="5"/>
      <c r="D163" s="5"/>
      <c r="E163" s="24"/>
      <c r="F163" s="28"/>
      <c r="G163" s="5"/>
      <c r="H163" s="5"/>
      <c r="I163" s="46"/>
      <c r="K163" s="24"/>
      <c r="L163" s="5"/>
    </row>
    <row r="164">
      <c r="A164" s="5" t="s">
        <v>679</v>
      </c>
      <c r="B164" s="5">
        <v>1.0</v>
      </c>
      <c r="C164" s="5"/>
      <c r="D164" s="5"/>
      <c r="E164" s="24"/>
      <c r="F164" s="28"/>
      <c r="G164" s="5"/>
      <c r="H164" s="5"/>
      <c r="I164" s="46"/>
      <c r="K164" s="24"/>
      <c r="L164" s="5"/>
    </row>
    <row r="165">
      <c r="A165" s="5" t="s">
        <v>680</v>
      </c>
      <c r="B165" s="5">
        <v>1.0</v>
      </c>
      <c r="C165" s="5"/>
      <c r="D165" s="5"/>
      <c r="E165" s="24"/>
      <c r="F165" s="28"/>
      <c r="G165" s="5"/>
      <c r="H165" s="5"/>
      <c r="I165" s="46"/>
      <c r="K165" s="24"/>
      <c r="L165" s="5"/>
    </row>
    <row r="166">
      <c r="A166" s="5" t="s">
        <v>681</v>
      </c>
      <c r="B166" s="5">
        <v>1.0</v>
      </c>
      <c r="C166" s="5"/>
      <c r="D166" s="5"/>
      <c r="E166" s="24"/>
      <c r="F166" s="28"/>
      <c r="G166" s="5"/>
      <c r="H166" s="5"/>
      <c r="I166" s="46"/>
      <c r="K166" s="24"/>
      <c r="L166" s="5"/>
    </row>
    <row r="167">
      <c r="A167" s="5" t="s">
        <v>682</v>
      </c>
      <c r="B167" s="5">
        <v>1.0</v>
      </c>
      <c r="C167" s="5"/>
      <c r="D167" s="5"/>
      <c r="E167" s="24"/>
      <c r="F167" s="28"/>
      <c r="G167" s="5"/>
      <c r="H167" s="5"/>
      <c r="I167" s="46"/>
      <c r="K167" s="24"/>
      <c r="L167" s="5"/>
    </row>
    <row r="168">
      <c r="A168" s="5" t="s">
        <v>683</v>
      </c>
      <c r="B168" s="5">
        <v>1.0</v>
      </c>
      <c r="C168" s="5"/>
      <c r="D168" s="5"/>
      <c r="E168" s="24"/>
      <c r="F168" s="28"/>
      <c r="G168" s="5"/>
      <c r="H168" s="5"/>
      <c r="I168" s="46"/>
      <c r="K168" s="24"/>
      <c r="L168" s="5"/>
    </row>
    <row r="169">
      <c r="A169" s="5" t="s">
        <v>684</v>
      </c>
      <c r="B169" s="5">
        <v>1.0</v>
      </c>
      <c r="C169" s="5"/>
      <c r="D169" s="5"/>
      <c r="E169" s="24"/>
      <c r="F169" s="28"/>
      <c r="G169" s="5"/>
      <c r="H169" s="5"/>
      <c r="I169" s="46"/>
      <c r="K169" s="24"/>
      <c r="L169" s="5"/>
    </row>
    <row r="170">
      <c r="A170" s="5" t="s">
        <v>685</v>
      </c>
      <c r="B170" s="5">
        <v>1.0</v>
      </c>
      <c r="C170" s="5"/>
      <c r="D170" s="5"/>
      <c r="E170" s="24"/>
      <c r="F170" s="28"/>
      <c r="G170" s="5"/>
      <c r="H170" s="5"/>
      <c r="I170" s="46"/>
      <c r="K170" s="24"/>
      <c r="L170" s="5"/>
    </row>
    <row r="171">
      <c r="A171" s="5" t="s">
        <v>686</v>
      </c>
      <c r="B171" s="5">
        <v>1.0</v>
      </c>
      <c r="C171" s="5"/>
      <c r="D171" s="5"/>
      <c r="E171" s="24"/>
      <c r="F171" s="28"/>
      <c r="G171" s="5"/>
      <c r="H171" s="5"/>
      <c r="I171" s="46"/>
      <c r="K171" s="24"/>
      <c r="L171" s="5"/>
    </row>
    <row r="172">
      <c r="A172" s="5" t="s">
        <v>687</v>
      </c>
      <c r="B172" s="5">
        <v>1.0</v>
      </c>
      <c r="C172" s="5"/>
      <c r="D172" s="5"/>
      <c r="E172" s="24"/>
      <c r="F172" s="28"/>
      <c r="G172" s="5"/>
      <c r="H172" s="5"/>
      <c r="I172" s="46"/>
      <c r="K172" s="24"/>
      <c r="L172" s="5"/>
    </row>
    <row r="173">
      <c r="A173" s="5" t="s">
        <v>688</v>
      </c>
      <c r="B173" s="5">
        <v>1.0</v>
      </c>
      <c r="C173" s="5"/>
      <c r="D173" s="5"/>
      <c r="E173" s="24"/>
      <c r="F173" s="28"/>
      <c r="G173" s="5"/>
      <c r="H173" s="5"/>
      <c r="I173" s="46"/>
      <c r="K173" s="24"/>
      <c r="L173" s="5"/>
    </row>
    <row r="174">
      <c r="A174" s="5" t="s">
        <v>689</v>
      </c>
      <c r="B174" s="5">
        <v>1.0</v>
      </c>
      <c r="C174" s="5"/>
      <c r="D174" s="5"/>
      <c r="E174" s="24"/>
      <c r="F174" s="28"/>
      <c r="G174" s="5"/>
      <c r="H174" s="5"/>
      <c r="I174" s="46"/>
      <c r="K174" s="24"/>
      <c r="L174" s="5"/>
    </row>
    <row r="175">
      <c r="A175" s="5" t="s">
        <v>690</v>
      </c>
      <c r="B175" s="5">
        <v>1.0</v>
      </c>
      <c r="C175" s="5"/>
      <c r="D175" s="5"/>
      <c r="E175" s="24"/>
      <c r="F175" s="28"/>
      <c r="G175" s="5"/>
      <c r="H175" s="5"/>
      <c r="I175" s="46"/>
      <c r="K175" s="24"/>
      <c r="L175" s="5"/>
    </row>
    <row r="176">
      <c r="A176" s="5" t="s">
        <v>691</v>
      </c>
      <c r="B176" s="5">
        <v>1.0</v>
      </c>
      <c r="C176" s="5"/>
      <c r="D176" s="5"/>
      <c r="E176" s="24"/>
      <c r="F176" s="28"/>
      <c r="G176" s="5"/>
      <c r="H176" s="5"/>
      <c r="I176" s="46"/>
      <c r="K176" s="24"/>
      <c r="L176" s="5"/>
    </row>
    <row r="177">
      <c r="A177" s="5" t="s">
        <v>692</v>
      </c>
      <c r="B177" s="5">
        <v>1.0</v>
      </c>
      <c r="C177" s="5"/>
      <c r="D177" s="5"/>
      <c r="E177" s="24"/>
      <c r="F177" s="28"/>
      <c r="G177" s="5"/>
      <c r="H177" s="5"/>
      <c r="I177" s="46"/>
      <c r="K177" s="24"/>
      <c r="L177" s="5"/>
    </row>
    <row r="178">
      <c r="A178" s="5" t="s">
        <v>693</v>
      </c>
      <c r="B178" s="5">
        <v>1.0</v>
      </c>
      <c r="C178" s="5"/>
      <c r="D178" s="5"/>
      <c r="E178" s="24"/>
      <c r="F178" s="28"/>
      <c r="G178" s="5"/>
      <c r="H178" s="5"/>
      <c r="I178" s="46"/>
      <c r="K178" s="24"/>
      <c r="L178" s="5"/>
    </row>
    <row r="179">
      <c r="A179" s="5" t="s">
        <v>694</v>
      </c>
      <c r="B179" s="5">
        <v>1.0</v>
      </c>
      <c r="C179" s="5"/>
      <c r="D179" s="5"/>
      <c r="E179" s="24"/>
      <c r="F179" s="28"/>
      <c r="G179" s="5"/>
      <c r="H179" s="5"/>
      <c r="I179" s="46"/>
      <c r="K179" s="24"/>
      <c r="L179" s="5"/>
    </row>
    <row r="180">
      <c r="A180" s="5" t="s">
        <v>695</v>
      </c>
      <c r="B180" s="5">
        <v>1.0</v>
      </c>
      <c r="C180" s="5"/>
      <c r="D180" s="5"/>
      <c r="E180" s="24"/>
      <c r="F180" s="28"/>
      <c r="G180" s="5"/>
      <c r="H180" s="5"/>
      <c r="I180" s="46"/>
      <c r="K180" s="24"/>
      <c r="L180" s="5"/>
    </row>
    <row r="181">
      <c r="A181" s="5" t="s">
        <v>696</v>
      </c>
      <c r="B181" s="5">
        <v>1.0</v>
      </c>
      <c r="C181" s="5"/>
      <c r="D181" s="5"/>
      <c r="E181" s="24"/>
      <c r="F181" s="28"/>
      <c r="G181" s="5"/>
      <c r="H181" s="5"/>
      <c r="I181" s="46"/>
      <c r="K181" s="24"/>
      <c r="L181" s="5"/>
    </row>
    <row r="182">
      <c r="A182" s="5" t="s">
        <v>697</v>
      </c>
      <c r="B182" s="5">
        <v>1.0</v>
      </c>
      <c r="C182" s="5"/>
      <c r="D182" s="5"/>
      <c r="E182" s="24"/>
      <c r="F182" s="28"/>
      <c r="G182" s="5"/>
      <c r="H182" s="5"/>
      <c r="I182" s="46"/>
      <c r="K182" s="24"/>
      <c r="L182" s="5"/>
    </row>
    <row r="183">
      <c r="A183" s="5" t="s">
        <v>698</v>
      </c>
      <c r="B183" s="5">
        <v>1.0</v>
      </c>
      <c r="C183" s="5"/>
      <c r="D183" s="5"/>
      <c r="E183" s="24"/>
      <c r="F183" s="28"/>
      <c r="G183" s="5"/>
      <c r="H183" s="5"/>
      <c r="I183" s="46"/>
      <c r="K183" s="24"/>
      <c r="L183" s="5"/>
    </row>
    <row r="184">
      <c r="A184" s="5" t="s">
        <v>699</v>
      </c>
      <c r="B184" s="5">
        <v>1.0</v>
      </c>
      <c r="C184" s="5"/>
      <c r="D184" s="5"/>
      <c r="E184" s="24"/>
      <c r="F184" s="28"/>
      <c r="G184" s="5"/>
      <c r="H184" s="5"/>
      <c r="I184" s="46"/>
      <c r="K184" s="24"/>
      <c r="L184" s="5"/>
    </row>
    <row r="185">
      <c r="A185" s="5" t="s">
        <v>700</v>
      </c>
      <c r="B185" s="5">
        <v>1.0</v>
      </c>
      <c r="C185" s="5"/>
      <c r="D185" s="5"/>
      <c r="E185" s="24"/>
      <c r="F185" s="28"/>
      <c r="G185" s="5"/>
      <c r="H185" s="5"/>
      <c r="I185" s="46"/>
      <c r="K185" s="24"/>
      <c r="L185" s="5"/>
    </row>
    <row r="186">
      <c r="A186" s="5" t="s">
        <v>701</v>
      </c>
      <c r="B186" s="5">
        <v>1.0</v>
      </c>
      <c r="C186" s="5"/>
      <c r="D186" s="5"/>
      <c r="E186" s="24"/>
      <c r="F186" s="28"/>
      <c r="G186" s="5"/>
      <c r="H186" s="5"/>
      <c r="I186" s="46"/>
      <c r="K186" s="24"/>
      <c r="L186" s="5"/>
    </row>
    <row r="187">
      <c r="A187" s="5" t="s">
        <v>702</v>
      </c>
      <c r="B187" s="5">
        <v>1.0</v>
      </c>
      <c r="C187" s="5"/>
      <c r="D187" s="5"/>
      <c r="E187" s="24"/>
      <c r="F187" s="28"/>
      <c r="G187" s="5"/>
      <c r="H187" s="5"/>
      <c r="I187" s="46"/>
      <c r="K187" s="24"/>
      <c r="L187" s="5"/>
    </row>
    <row r="188">
      <c r="A188" s="5" t="s">
        <v>703</v>
      </c>
      <c r="B188" s="5">
        <v>1.0</v>
      </c>
      <c r="C188" s="5"/>
      <c r="D188" s="5"/>
      <c r="E188" s="24"/>
      <c r="F188" s="28"/>
      <c r="G188" s="5"/>
      <c r="H188" s="5"/>
      <c r="I188" s="46"/>
      <c r="K188" s="24"/>
      <c r="L188" s="5"/>
    </row>
    <row r="189">
      <c r="A189" s="5" t="s">
        <v>704</v>
      </c>
      <c r="B189" s="5">
        <v>1.0</v>
      </c>
      <c r="C189" s="5"/>
      <c r="D189" s="5"/>
      <c r="E189" s="24"/>
      <c r="F189" s="28"/>
      <c r="G189" s="5"/>
      <c r="H189" s="5"/>
      <c r="I189" s="46"/>
      <c r="K189" s="24"/>
      <c r="L189" s="5"/>
    </row>
    <row r="190">
      <c r="A190" s="5" t="s">
        <v>705</v>
      </c>
      <c r="B190" s="5">
        <v>1.0</v>
      </c>
      <c r="C190" s="5"/>
      <c r="D190" s="5"/>
      <c r="E190" s="24"/>
      <c r="F190" s="28"/>
      <c r="G190" s="5"/>
      <c r="H190" s="5"/>
      <c r="I190" s="46"/>
      <c r="K190" s="24"/>
      <c r="L190" s="5"/>
    </row>
    <row r="191">
      <c r="A191" s="5" t="s">
        <v>706</v>
      </c>
      <c r="B191" s="5">
        <v>1.0</v>
      </c>
      <c r="C191" s="5"/>
      <c r="D191" s="5"/>
      <c r="E191" s="24"/>
      <c r="F191" s="28"/>
      <c r="G191" s="5"/>
      <c r="H191" s="5"/>
      <c r="I191" s="46"/>
      <c r="K191" s="24"/>
      <c r="L191" s="5"/>
    </row>
    <row r="192">
      <c r="A192" s="5" t="s">
        <v>707</v>
      </c>
      <c r="B192" s="5">
        <v>1.0</v>
      </c>
      <c r="C192" s="5"/>
      <c r="D192" s="5"/>
      <c r="E192" s="24"/>
      <c r="F192" s="28"/>
      <c r="G192" s="5"/>
      <c r="H192" s="5"/>
      <c r="I192" s="46"/>
      <c r="K192" s="24"/>
      <c r="L192" s="5"/>
    </row>
    <row r="193">
      <c r="A193" s="5" t="s">
        <v>708</v>
      </c>
      <c r="B193" s="5">
        <v>1.0</v>
      </c>
      <c r="C193" s="5"/>
      <c r="D193" s="5"/>
      <c r="E193" s="24"/>
      <c r="F193" s="28"/>
      <c r="G193" s="5"/>
      <c r="H193" s="5"/>
      <c r="I193" s="46"/>
      <c r="K193" s="24"/>
      <c r="L193" s="5"/>
    </row>
    <row r="194">
      <c r="A194" s="5" t="s">
        <v>709</v>
      </c>
      <c r="B194" s="5">
        <v>1.0</v>
      </c>
      <c r="C194" s="5"/>
      <c r="D194" s="5"/>
      <c r="E194" s="24"/>
      <c r="F194" s="28"/>
      <c r="G194" s="5"/>
      <c r="H194" s="5"/>
      <c r="I194" s="46"/>
      <c r="K194" s="24"/>
      <c r="L194" s="5"/>
    </row>
    <row r="195">
      <c r="A195" s="5" t="s">
        <v>710</v>
      </c>
      <c r="B195" s="5">
        <v>1.0</v>
      </c>
      <c r="C195" s="5"/>
      <c r="D195" s="5"/>
      <c r="E195" s="24"/>
      <c r="F195" s="28"/>
      <c r="G195" s="5"/>
      <c r="H195" s="5"/>
      <c r="I195" s="46"/>
      <c r="K195" s="24"/>
      <c r="L195" s="5"/>
    </row>
    <row r="196">
      <c r="A196" s="5" t="s">
        <v>711</v>
      </c>
      <c r="B196" s="5">
        <v>1.0</v>
      </c>
      <c r="C196" s="5"/>
      <c r="D196" s="5"/>
      <c r="E196" s="24"/>
      <c r="F196" s="28"/>
      <c r="G196" s="5"/>
      <c r="H196" s="5"/>
      <c r="I196" s="46"/>
      <c r="K196" s="24"/>
      <c r="L196" s="5"/>
    </row>
    <row r="197">
      <c r="A197" s="5" t="s">
        <v>712</v>
      </c>
      <c r="B197" s="5">
        <v>1.0</v>
      </c>
      <c r="C197" s="5"/>
      <c r="D197" s="5"/>
      <c r="E197" s="24"/>
      <c r="F197" s="28"/>
      <c r="G197" s="5"/>
      <c r="H197" s="5"/>
      <c r="I197" s="46"/>
      <c r="K197" s="24"/>
      <c r="L197" s="5"/>
    </row>
    <row r="198">
      <c r="A198" s="5" t="s">
        <v>713</v>
      </c>
      <c r="B198" s="5">
        <v>1.0</v>
      </c>
      <c r="C198" s="5"/>
      <c r="D198" s="5"/>
      <c r="E198" s="24"/>
      <c r="F198" s="28"/>
      <c r="G198" s="5"/>
      <c r="H198" s="5"/>
      <c r="I198" s="46"/>
      <c r="K198" s="24"/>
      <c r="L198" s="5"/>
    </row>
    <row r="199">
      <c r="A199" s="5" t="s">
        <v>714</v>
      </c>
      <c r="B199" s="5">
        <v>1.0</v>
      </c>
      <c r="C199" s="5"/>
      <c r="D199" s="5"/>
      <c r="E199" s="24"/>
      <c r="F199" s="28"/>
      <c r="G199" s="5"/>
      <c r="H199" s="5"/>
      <c r="I199" s="46"/>
      <c r="K199" s="24"/>
      <c r="L199" s="5"/>
    </row>
    <row r="200">
      <c r="A200" s="5" t="s">
        <v>715</v>
      </c>
      <c r="B200" s="5">
        <v>1.0</v>
      </c>
      <c r="C200" s="5"/>
      <c r="D200" s="5"/>
      <c r="E200" s="24"/>
      <c r="F200" s="28"/>
      <c r="G200" s="5"/>
      <c r="H200" s="5"/>
      <c r="I200" s="46"/>
      <c r="K200" s="24"/>
      <c r="L200" s="5"/>
    </row>
    <row r="201">
      <c r="A201" s="5" t="s">
        <v>716</v>
      </c>
      <c r="B201" s="5">
        <v>1.0</v>
      </c>
      <c r="C201" s="5"/>
      <c r="D201" s="5"/>
      <c r="E201" s="24"/>
      <c r="F201" s="28"/>
      <c r="G201" s="5"/>
      <c r="H201" s="5"/>
      <c r="I201" s="46"/>
      <c r="K201" s="24"/>
      <c r="L201" s="5"/>
    </row>
    <row r="202">
      <c r="A202" s="5" t="s">
        <v>717</v>
      </c>
      <c r="B202" s="5">
        <v>1.0</v>
      </c>
      <c r="C202" s="5"/>
      <c r="D202" s="5"/>
      <c r="E202" s="24"/>
      <c r="F202" s="28"/>
      <c r="G202" s="5"/>
      <c r="H202" s="5"/>
      <c r="I202" s="46"/>
      <c r="K202" s="24"/>
      <c r="L202" s="5"/>
    </row>
    <row r="203">
      <c r="A203" s="5" t="s">
        <v>718</v>
      </c>
      <c r="B203" s="5">
        <v>1.0</v>
      </c>
      <c r="C203" s="5"/>
      <c r="D203" s="5"/>
      <c r="E203" s="24"/>
      <c r="F203" s="28"/>
      <c r="G203" s="5"/>
      <c r="H203" s="5"/>
      <c r="I203" s="46"/>
      <c r="K203" s="24"/>
      <c r="L203" s="5"/>
    </row>
    <row r="204">
      <c r="A204" s="5" t="s">
        <v>719</v>
      </c>
      <c r="B204" s="5">
        <v>1.0</v>
      </c>
      <c r="C204" s="5"/>
      <c r="D204" s="5"/>
      <c r="E204" s="24"/>
      <c r="F204" s="28"/>
      <c r="G204" s="5"/>
      <c r="H204" s="5"/>
      <c r="I204" s="46"/>
      <c r="K204" s="24"/>
      <c r="L204" s="5"/>
    </row>
    <row r="205">
      <c r="A205" s="5" t="s">
        <v>720</v>
      </c>
      <c r="B205" s="5">
        <v>1.0</v>
      </c>
      <c r="C205" s="5"/>
      <c r="D205" s="5"/>
      <c r="E205" s="24"/>
      <c r="F205" s="28"/>
      <c r="G205" s="5"/>
      <c r="H205" s="5"/>
      <c r="I205" s="46"/>
      <c r="K205" s="24"/>
      <c r="L205" s="5"/>
    </row>
    <row r="206">
      <c r="A206" s="5" t="s">
        <v>721</v>
      </c>
      <c r="B206" s="5">
        <v>1.0</v>
      </c>
      <c r="C206" s="5"/>
      <c r="D206" s="5"/>
      <c r="E206" s="24"/>
      <c r="F206" s="28"/>
      <c r="G206" s="5"/>
      <c r="H206" s="5"/>
      <c r="I206" s="46"/>
      <c r="K206" s="24"/>
      <c r="L206" s="5"/>
    </row>
    <row r="207">
      <c r="A207" s="5" t="s">
        <v>722</v>
      </c>
      <c r="B207" s="5">
        <v>1.0</v>
      </c>
      <c r="C207" s="5"/>
      <c r="D207" s="5"/>
      <c r="E207" s="24"/>
      <c r="F207" s="28"/>
      <c r="G207" s="5"/>
      <c r="H207" s="5"/>
      <c r="I207" s="46"/>
      <c r="K207" s="24"/>
      <c r="L207" s="5"/>
    </row>
    <row r="208">
      <c r="A208" s="5" t="s">
        <v>723</v>
      </c>
      <c r="B208" s="5">
        <v>1.0</v>
      </c>
      <c r="C208" s="5"/>
      <c r="D208" s="5"/>
      <c r="E208" s="24"/>
      <c r="F208" s="28"/>
      <c r="G208" s="5"/>
      <c r="H208" s="5"/>
      <c r="I208" s="46"/>
      <c r="K208" s="24"/>
      <c r="L208" s="5"/>
    </row>
    <row r="209">
      <c r="A209" s="5" t="s">
        <v>724</v>
      </c>
      <c r="B209" s="5">
        <v>1.0</v>
      </c>
      <c r="C209" s="5"/>
      <c r="D209" s="5"/>
      <c r="E209" s="24"/>
      <c r="F209" s="28"/>
      <c r="G209" s="5"/>
      <c r="H209" s="5"/>
      <c r="I209" s="46"/>
      <c r="K209" s="24"/>
      <c r="L209" s="5"/>
    </row>
    <row r="210">
      <c r="A210" s="5" t="s">
        <v>725</v>
      </c>
      <c r="B210" s="5">
        <v>1.0</v>
      </c>
      <c r="C210" s="5"/>
      <c r="D210" s="5"/>
      <c r="E210" s="24"/>
      <c r="F210" s="28"/>
      <c r="G210" s="5"/>
      <c r="H210" s="5"/>
      <c r="I210" s="46"/>
      <c r="K210" s="24"/>
      <c r="L210" s="5"/>
    </row>
    <row r="211">
      <c r="A211" s="5" t="s">
        <v>726</v>
      </c>
      <c r="B211" s="5">
        <v>1.0</v>
      </c>
      <c r="C211" s="5"/>
      <c r="D211" s="5"/>
      <c r="E211" s="24"/>
      <c r="F211" s="28"/>
      <c r="G211" s="5"/>
      <c r="H211" s="5"/>
      <c r="I211" s="46"/>
      <c r="K211" s="24"/>
      <c r="L211" s="5"/>
    </row>
    <row r="212">
      <c r="A212" s="5" t="s">
        <v>727</v>
      </c>
      <c r="B212" s="5">
        <v>1.0</v>
      </c>
      <c r="C212" s="5"/>
      <c r="D212" s="5"/>
      <c r="E212" s="24"/>
      <c r="F212" s="28"/>
      <c r="G212" s="5"/>
      <c r="H212" s="5"/>
      <c r="I212" s="46"/>
      <c r="K212" s="24"/>
      <c r="L212" s="5"/>
    </row>
    <row r="213">
      <c r="A213" s="5" t="s">
        <v>728</v>
      </c>
      <c r="B213" s="5">
        <v>1.0</v>
      </c>
      <c r="C213" s="5"/>
      <c r="D213" s="5"/>
      <c r="E213" s="24"/>
      <c r="F213" s="28"/>
      <c r="G213" s="5"/>
      <c r="H213" s="5"/>
      <c r="I213" s="46"/>
      <c r="K213" s="24"/>
      <c r="L213" s="5"/>
    </row>
    <row r="214">
      <c r="A214" s="5" t="s">
        <v>729</v>
      </c>
      <c r="B214" s="5">
        <v>1.0</v>
      </c>
      <c r="C214" s="5"/>
      <c r="D214" s="5"/>
      <c r="E214" s="24"/>
      <c r="F214" s="28"/>
      <c r="G214" s="5"/>
      <c r="H214" s="5"/>
      <c r="I214" s="46"/>
      <c r="K214" s="24"/>
      <c r="L214" s="5"/>
    </row>
    <row r="215">
      <c r="A215" s="5" t="s">
        <v>730</v>
      </c>
      <c r="B215" s="5">
        <v>1.0</v>
      </c>
      <c r="C215" s="5"/>
      <c r="D215" s="5"/>
      <c r="E215" s="46"/>
      <c r="F215" s="67"/>
      <c r="G215" s="5"/>
      <c r="H215" s="5"/>
      <c r="I215" s="46"/>
      <c r="K215" s="24"/>
      <c r="L215" s="5"/>
    </row>
    <row r="216">
      <c r="A216" s="5" t="s">
        <v>731</v>
      </c>
      <c r="B216" s="5">
        <v>1.0</v>
      </c>
      <c r="C216" s="5"/>
      <c r="D216" s="5"/>
      <c r="E216" s="24"/>
      <c r="F216" s="28"/>
      <c r="G216" s="5"/>
      <c r="H216" s="5"/>
      <c r="I216" s="46"/>
      <c r="K216" s="24"/>
      <c r="L216" s="5"/>
    </row>
    <row r="217">
      <c r="A217" s="5" t="s">
        <v>732</v>
      </c>
      <c r="B217" s="5">
        <v>1.0</v>
      </c>
      <c r="C217" s="5"/>
      <c r="D217" s="5"/>
      <c r="E217" s="24"/>
      <c r="F217" s="28"/>
      <c r="G217" s="5"/>
      <c r="H217" s="5"/>
      <c r="I217" s="46"/>
      <c r="K217" s="24"/>
      <c r="L217" s="5"/>
    </row>
    <row r="218">
      <c r="A218" s="5" t="s">
        <v>733</v>
      </c>
      <c r="B218" s="5">
        <v>1.0</v>
      </c>
      <c r="C218" s="5"/>
      <c r="D218" s="5"/>
      <c r="E218" s="24"/>
      <c r="F218" s="28"/>
      <c r="G218" s="5"/>
      <c r="H218" s="5"/>
      <c r="I218" s="46"/>
      <c r="K218" s="24"/>
      <c r="L218" s="5"/>
    </row>
    <row r="219">
      <c r="A219" s="5" t="s">
        <v>734</v>
      </c>
      <c r="B219" s="5">
        <v>1.0</v>
      </c>
      <c r="C219" s="5"/>
      <c r="D219" s="5"/>
      <c r="E219" s="24"/>
      <c r="F219" s="28"/>
      <c r="G219" s="5"/>
      <c r="H219" s="5"/>
      <c r="I219" s="46"/>
      <c r="K219" s="24"/>
      <c r="L219" s="5"/>
    </row>
    <row r="220">
      <c r="A220" s="5" t="s">
        <v>735</v>
      </c>
      <c r="B220" s="5">
        <v>1.0</v>
      </c>
      <c r="C220" s="5"/>
      <c r="D220" s="5"/>
      <c r="E220" s="24"/>
      <c r="F220" s="28"/>
      <c r="G220" s="5"/>
      <c r="H220" s="5"/>
      <c r="I220" s="46"/>
      <c r="K220" s="24"/>
      <c r="L220" s="5"/>
    </row>
    <row r="221">
      <c r="A221" s="5" t="s">
        <v>736</v>
      </c>
      <c r="B221" s="5">
        <v>1.0</v>
      </c>
      <c r="C221" s="5"/>
      <c r="D221" s="5"/>
      <c r="E221" s="24"/>
      <c r="F221" s="28"/>
      <c r="G221" s="5"/>
      <c r="H221" s="5"/>
      <c r="I221" s="46"/>
      <c r="K221" s="24"/>
      <c r="L221" s="5"/>
    </row>
    <row r="222">
      <c r="A222" s="5" t="s">
        <v>737</v>
      </c>
      <c r="B222" s="5">
        <v>1.0</v>
      </c>
      <c r="C222" s="5"/>
      <c r="D222" s="5"/>
      <c r="E222" s="24"/>
      <c r="F222" s="28"/>
      <c r="G222" s="5"/>
      <c r="H222" s="5"/>
      <c r="I222" s="46"/>
      <c r="K222" s="24"/>
      <c r="L222" s="5"/>
    </row>
    <row r="223">
      <c r="A223" s="5" t="s">
        <v>738</v>
      </c>
      <c r="B223" s="5">
        <v>1.0</v>
      </c>
      <c r="C223" s="5"/>
      <c r="D223" s="5"/>
      <c r="E223" s="24"/>
      <c r="F223" s="28"/>
      <c r="G223" s="5"/>
      <c r="H223" s="5"/>
      <c r="I223" s="46"/>
      <c r="K223" s="24"/>
      <c r="L223" s="5"/>
    </row>
    <row r="224">
      <c r="A224" s="5" t="s">
        <v>739</v>
      </c>
      <c r="B224" s="5">
        <v>1.0</v>
      </c>
      <c r="C224" s="5"/>
      <c r="D224" s="5"/>
      <c r="E224" s="24"/>
      <c r="F224" s="28"/>
      <c r="G224" s="5"/>
      <c r="H224" s="5"/>
      <c r="I224" s="46"/>
      <c r="K224" s="24"/>
      <c r="L224" s="5"/>
    </row>
    <row r="225">
      <c r="A225" s="5" t="s">
        <v>740</v>
      </c>
      <c r="B225" s="5">
        <v>1.0</v>
      </c>
      <c r="C225" s="5"/>
      <c r="D225" s="5"/>
      <c r="E225" s="24"/>
      <c r="F225" s="28"/>
      <c r="G225" s="5"/>
      <c r="H225" s="5"/>
      <c r="I225" s="46"/>
      <c r="K225" s="24"/>
      <c r="L225" s="5"/>
    </row>
    <row r="226">
      <c r="A226" s="5" t="s">
        <v>741</v>
      </c>
      <c r="B226" s="5">
        <v>1.0</v>
      </c>
      <c r="C226" s="5"/>
      <c r="D226" s="5"/>
      <c r="E226" s="24"/>
      <c r="F226" s="28"/>
      <c r="G226" s="5"/>
      <c r="H226" s="5"/>
      <c r="I226" s="46"/>
      <c r="K226" s="24"/>
      <c r="L226" s="5"/>
    </row>
    <row r="227">
      <c r="A227" s="5" t="s">
        <v>742</v>
      </c>
      <c r="B227" s="5">
        <v>1.0</v>
      </c>
      <c r="C227" s="5"/>
      <c r="D227" s="5"/>
      <c r="E227" s="24"/>
      <c r="F227" s="28"/>
      <c r="G227" s="5"/>
      <c r="H227" s="5"/>
      <c r="I227" s="46"/>
      <c r="K227" s="24"/>
      <c r="L227" s="5"/>
    </row>
    <row r="228">
      <c r="A228" s="5" t="s">
        <v>743</v>
      </c>
      <c r="B228" s="5">
        <v>1.0</v>
      </c>
      <c r="C228" s="5"/>
      <c r="D228" s="5"/>
      <c r="E228" s="24"/>
      <c r="F228" s="28"/>
      <c r="G228" s="5"/>
      <c r="H228" s="5"/>
      <c r="I228" s="46"/>
      <c r="K228" s="24"/>
      <c r="L228" s="5"/>
    </row>
    <row r="229">
      <c r="A229" s="5" t="s">
        <v>744</v>
      </c>
      <c r="B229" s="5">
        <v>1.0</v>
      </c>
      <c r="C229" s="5"/>
      <c r="D229" s="5"/>
      <c r="E229" s="24"/>
      <c r="F229" s="28"/>
      <c r="G229" s="5"/>
      <c r="H229" s="5"/>
      <c r="I229" s="46"/>
      <c r="K229" s="24"/>
      <c r="L229" s="5"/>
    </row>
    <row r="230">
      <c r="A230" s="5" t="s">
        <v>745</v>
      </c>
      <c r="B230" s="5">
        <v>1.0</v>
      </c>
      <c r="C230" s="5"/>
      <c r="D230" s="5"/>
      <c r="E230" s="24"/>
      <c r="F230" s="28"/>
      <c r="G230" s="5"/>
      <c r="H230" s="5"/>
      <c r="I230" s="46"/>
      <c r="K230" s="24"/>
      <c r="L230" s="5"/>
    </row>
    <row r="231">
      <c r="A231" s="5" t="s">
        <v>746</v>
      </c>
      <c r="B231" s="5">
        <v>1.0</v>
      </c>
      <c r="C231" s="5"/>
      <c r="D231" s="5"/>
      <c r="E231" s="24"/>
      <c r="F231" s="28"/>
      <c r="G231" s="5"/>
      <c r="H231" s="5"/>
      <c r="I231" s="46"/>
      <c r="K231" s="24"/>
      <c r="L231" s="5"/>
    </row>
    <row r="232">
      <c r="A232" s="5" t="s">
        <v>747</v>
      </c>
      <c r="B232" s="5">
        <v>1.0</v>
      </c>
      <c r="C232" s="5"/>
      <c r="D232" s="5"/>
      <c r="E232" s="24"/>
      <c r="F232" s="28"/>
      <c r="G232" s="5"/>
      <c r="H232" s="5"/>
      <c r="I232" s="46"/>
      <c r="K232" s="24"/>
      <c r="L232" s="5"/>
    </row>
    <row r="233">
      <c r="A233" s="5" t="s">
        <v>748</v>
      </c>
      <c r="B233" s="5">
        <v>1.0</v>
      </c>
      <c r="C233" s="5"/>
      <c r="D233" s="5"/>
      <c r="E233" s="24"/>
      <c r="F233" s="28"/>
      <c r="G233" s="5"/>
      <c r="H233" s="5"/>
      <c r="I233" s="46"/>
      <c r="K233" s="24"/>
      <c r="L233" s="5"/>
    </row>
    <row r="234">
      <c r="A234" s="5" t="s">
        <v>749</v>
      </c>
      <c r="B234" s="5">
        <v>1.0</v>
      </c>
      <c r="C234" s="5"/>
      <c r="D234" s="5"/>
      <c r="E234" s="24"/>
      <c r="F234" s="28"/>
      <c r="G234" s="5"/>
      <c r="H234" s="5"/>
      <c r="I234" s="46"/>
      <c r="K234" s="24"/>
      <c r="L234" s="5"/>
    </row>
    <row r="235">
      <c r="A235" s="5" t="s">
        <v>750</v>
      </c>
      <c r="B235" s="5">
        <v>1.0</v>
      </c>
      <c r="C235" s="5"/>
      <c r="D235" s="5"/>
      <c r="E235" s="24"/>
      <c r="F235" s="28"/>
      <c r="G235" s="5"/>
      <c r="H235" s="5"/>
      <c r="I235" s="46"/>
      <c r="K235" s="24"/>
      <c r="L235" s="5"/>
    </row>
    <row r="236">
      <c r="A236" s="5" t="s">
        <v>751</v>
      </c>
      <c r="B236" s="5">
        <v>1.0</v>
      </c>
      <c r="C236" s="5"/>
      <c r="D236" s="5"/>
      <c r="E236" s="24"/>
      <c r="F236" s="28"/>
      <c r="G236" s="5"/>
      <c r="H236" s="5"/>
      <c r="I236" s="46"/>
      <c r="K236" s="24"/>
      <c r="L236" s="5"/>
    </row>
    <row r="237">
      <c r="A237" s="5" t="s">
        <v>752</v>
      </c>
      <c r="B237" s="5">
        <v>1.0</v>
      </c>
      <c r="C237" s="5"/>
      <c r="D237" s="5"/>
      <c r="E237" s="24"/>
      <c r="F237" s="28"/>
      <c r="G237" s="5"/>
      <c r="H237" s="5"/>
      <c r="I237" s="46"/>
      <c r="K237" s="24"/>
      <c r="L237" s="5"/>
    </row>
    <row r="238">
      <c r="A238" s="5" t="s">
        <v>753</v>
      </c>
      <c r="B238" s="5">
        <v>1.0</v>
      </c>
      <c r="C238" s="5"/>
      <c r="D238" s="5"/>
      <c r="E238" s="24"/>
      <c r="F238" s="28"/>
      <c r="G238" s="5"/>
      <c r="H238" s="5"/>
      <c r="I238" s="46"/>
      <c r="K238" s="24"/>
      <c r="L238" s="5"/>
    </row>
    <row r="239">
      <c r="A239" s="5" t="s">
        <v>754</v>
      </c>
      <c r="B239" s="5">
        <v>1.0</v>
      </c>
      <c r="C239" s="5"/>
      <c r="D239" s="5"/>
      <c r="E239" s="24"/>
      <c r="F239" s="28"/>
      <c r="G239" s="5"/>
      <c r="H239" s="5"/>
      <c r="I239" s="46"/>
      <c r="K239" s="24"/>
      <c r="L239" s="5"/>
    </row>
    <row r="240">
      <c r="A240" s="5" t="s">
        <v>755</v>
      </c>
      <c r="B240" s="5">
        <v>1.0</v>
      </c>
      <c r="C240" s="5"/>
      <c r="D240" s="5"/>
      <c r="E240" s="24"/>
      <c r="F240" s="28"/>
      <c r="G240" s="5"/>
      <c r="H240" s="5"/>
      <c r="I240" s="46"/>
      <c r="K240" s="24"/>
      <c r="L240" s="5"/>
    </row>
    <row r="241">
      <c r="A241" s="5" t="s">
        <v>756</v>
      </c>
      <c r="B241" s="5">
        <v>1.0</v>
      </c>
      <c r="C241" s="5"/>
      <c r="D241" s="5"/>
      <c r="E241" s="24"/>
      <c r="F241" s="28"/>
      <c r="G241" s="5"/>
      <c r="H241" s="5"/>
      <c r="I241" s="46"/>
      <c r="K241" s="24"/>
      <c r="L241" s="5"/>
    </row>
    <row r="242">
      <c r="A242" s="5" t="s">
        <v>757</v>
      </c>
      <c r="B242" s="5">
        <v>1.0</v>
      </c>
      <c r="C242" s="5"/>
      <c r="D242" s="5"/>
      <c r="E242" s="24"/>
      <c r="F242" s="28"/>
      <c r="G242" s="5"/>
      <c r="H242" s="5"/>
      <c r="I242" s="46"/>
      <c r="K242" s="24"/>
      <c r="L242" s="5"/>
    </row>
    <row r="243">
      <c r="A243" s="5" t="s">
        <v>758</v>
      </c>
      <c r="B243" s="5">
        <v>1.0</v>
      </c>
      <c r="C243" s="5"/>
      <c r="D243" s="5"/>
      <c r="E243" s="24"/>
      <c r="F243" s="28"/>
      <c r="G243" s="5"/>
      <c r="H243" s="5"/>
      <c r="I243" s="46"/>
      <c r="K243" s="24"/>
      <c r="L243" s="5"/>
    </row>
    <row r="244">
      <c r="A244" s="5" t="s">
        <v>759</v>
      </c>
      <c r="B244" s="5">
        <v>1.0</v>
      </c>
      <c r="C244" s="5"/>
      <c r="D244" s="5"/>
      <c r="E244" s="24"/>
      <c r="F244" s="28"/>
      <c r="G244" s="5"/>
      <c r="H244" s="5"/>
      <c r="I244" s="46"/>
      <c r="K244" s="24"/>
      <c r="L244" s="5"/>
    </row>
    <row r="245">
      <c r="A245" s="5" t="s">
        <v>760</v>
      </c>
      <c r="B245" s="5">
        <v>1.0</v>
      </c>
      <c r="C245" s="5"/>
      <c r="D245" s="5"/>
      <c r="E245" s="24"/>
      <c r="F245" s="28"/>
      <c r="G245" s="5"/>
      <c r="H245" s="5"/>
      <c r="I245" s="46"/>
      <c r="K245" s="24"/>
      <c r="L245" s="5"/>
    </row>
    <row r="246">
      <c r="A246" s="5" t="s">
        <v>761</v>
      </c>
      <c r="B246" s="5">
        <v>1.0</v>
      </c>
      <c r="C246" s="5"/>
      <c r="D246" s="5"/>
      <c r="E246" s="24"/>
      <c r="F246" s="28"/>
      <c r="G246" s="5"/>
      <c r="H246" s="5"/>
      <c r="I246" s="46"/>
      <c r="K246" s="24"/>
      <c r="L246" s="5"/>
    </row>
    <row r="247">
      <c r="A247" s="5" t="s">
        <v>762</v>
      </c>
      <c r="B247" s="5">
        <v>1.0</v>
      </c>
      <c r="C247" s="5"/>
      <c r="D247" s="5"/>
      <c r="E247" s="24"/>
      <c r="F247" s="28"/>
      <c r="G247" s="5"/>
      <c r="H247" s="5"/>
      <c r="I247" s="46"/>
      <c r="K247" s="24"/>
      <c r="L247" s="5"/>
    </row>
    <row r="248">
      <c r="A248" s="5" t="s">
        <v>763</v>
      </c>
      <c r="B248" s="5">
        <v>1.0</v>
      </c>
      <c r="C248" s="5"/>
      <c r="D248" s="5"/>
      <c r="E248" s="24"/>
      <c r="F248" s="28"/>
      <c r="G248" s="5"/>
      <c r="H248" s="5"/>
      <c r="I248" s="46"/>
      <c r="K248" s="24"/>
      <c r="L248" s="5"/>
    </row>
    <row r="249">
      <c r="A249" s="5" t="s">
        <v>764</v>
      </c>
      <c r="B249" s="5">
        <v>1.0</v>
      </c>
      <c r="C249" s="5"/>
      <c r="D249" s="5"/>
      <c r="E249" s="24"/>
      <c r="F249" s="28"/>
      <c r="G249" s="5"/>
      <c r="H249" s="5"/>
      <c r="I249" s="46"/>
      <c r="K249" s="24"/>
      <c r="L249" s="5"/>
    </row>
    <row r="250">
      <c r="A250" s="5" t="s">
        <v>765</v>
      </c>
      <c r="B250" s="5">
        <v>1.0</v>
      </c>
      <c r="C250" s="5"/>
      <c r="D250" s="5"/>
      <c r="E250" s="24"/>
      <c r="F250" s="28"/>
      <c r="G250" s="5"/>
      <c r="H250" s="5"/>
      <c r="I250" s="46"/>
      <c r="K250" s="24"/>
      <c r="L250" s="5"/>
    </row>
    <row r="251">
      <c r="A251" s="5" t="s">
        <v>766</v>
      </c>
      <c r="B251" s="5">
        <v>1.0</v>
      </c>
      <c r="C251" s="5"/>
      <c r="D251" s="5"/>
      <c r="E251" s="24"/>
      <c r="F251" s="28"/>
      <c r="G251" s="5"/>
      <c r="H251" s="5"/>
      <c r="I251" s="46"/>
      <c r="K251" s="24"/>
      <c r="L251" s="5"/>
    </row>
    <row r="252">
      <c r="A252" s="5" t="s">
        <v>767</v>
      </c>
      <c r="B252" s="5">
        <v>1.0</v>
      </c>
      <c r="C252" s="5"/>
      <c r="D252" s="5"/>
      <c r="E252" s="24"/>
      <c r="F252" s="28"/>
      <c r="G252" s="5"/>
      <c r="H252" s="5"/>
      <c r="I252" s="46"/>
      <c r="K252" s="24"/>
      <c r="L252" s="5"/>
    </row>
    <row r="253">
      <c r="A253" s="5" t="s">
        <v>768</v>
      </c>
      <c r="B253" s="5">
        <v>1.0</v>
      </c>
      <c r="C253" s="5"/>
      <c r="D253" s="5"/>
      <c r="E253" s="24"/>
      <c r="F253" s="28"/>
      <c r="G253" s="5"/>
      <c r="H253" s="5"/>
      <c r="I253" s="46"/>
      <c r="K253" s="24"/>
      <c r="L253" s="5"/>
    </row>
    <row r="254">
      <c r="A254" s="5" t="s">
        <v>769</v>
      </c>
      <c r="B254" s="5">
        <v>1.0</v>
      </c>
      <c r="C254" s="5"/>
      <c r="D254" s="5"/>
      <c r="E254" s="24"/>
      <c r="F254" s="28"/>
      <c r="G254" s="5"/>
      <c r="H254" s="5"/>
      <c r="I254" s="46"/>
      <c r="K254" s="24"/>
      <c r="L254" s="5"/>
    </row>
    <row r="255">
      <c r="A255" s="5" t="s">
        <v>770</v>
      </c>
      <c r="B255" s="5">
        <v>1.0</v>
      </c>
      <c r="C255" s="5"/>
      <c r="D255" s="5"/>
      <c r="E255" s="24"/>
      <c r="F255" s="28"/>
      <c r="G255" s="5"/>
      <c r="H255" s="5"/>
      <c r="I255" s="46"/>
      <c r="K255" s="24"/>
      <c r="L255" s="5"/>
    </row>
    <row r="256">
      <c r="A256" s="5" t="s">
        <v>771</v>
      </c>
      <c r="B256" s="5">
        <v>1.0</v>
      </c>
      <c r="C256" s="5"/>
      <c r="D256" s="5"/>
      <c r="E256" s="24"/>
      <c r="F256" s="28"/>
      <c r="G256" s="5"/>
      <c r="H256" s="5"/>
      <c r="I256" s="46"/>
      <c r="K256" s="24"/>
      <c r="L256" s="5"/>
    </row>
    <row r="257">
      <c r="A257" s="5" t="s">
        <v>772</v>
      </c>
      <c r="B257" s="5">
        <v>1.0</v>
      </c>
      <c r="C257" s="5"/>
      <c r="D257" s="5"/>
      <c r="E257" s="24"/>
      <c r="F257" s="28"/>
      <c r="G257" s="5"/>
      <c r="H257" s="5"/>
      <c r="I257" s="46"/>
      <c r="K257" s="24"/>
      <c r="L257" s="5"/>
    </row>
    <row r="258">
      <c r="A258" s="5" t="s">
        <v>773</v>
      </c>
      <c r="B258" s="5">
        <v>1.0</v>
      </c>
      <c r="C258" s="5"/>
      <c r="D258" s="5"/>
      <c r="E258" s="24"/>
      <c r="F258" s="28"/>
      <c r="G258" s="5"/>
      <c r="H258" s="5"/>
      <c r="I258" s="46"/>
      <c r="K258" s="24"/>
      <c r="L258" s="5"/>
    </row>
    <row r="259">
      <c r="A259" s="5" t="s">
        <v>774</v>
      </c>
      <c r="B259" s="5">
        <v>1.0</v>
      </c>
      <c r="C259" s="5"/>
      <c r="D259" s="5"/>
      <c r="E259" s="24"/>
      <c r="F259" s="28"/>
      <c r="G259" s="5"/>
      <c r="H259" s="5"/>
      <c r="I259" s="46"/>
      <c r="K259" s="24"/>
      <c r="L259" s="5"/>
    </row>
    <row r="260">
      <c r="A260" s="5" t="s">
        <v>775</v>
      </c>
      <c r="B260" s="5">
        <v>1.0</v>
      </c>
      <c r="C260" s="5"/>
      <c r="D260" s="5"/>
      <c r="E260" s="24"/>
      <c r="F260" s="28"/>
      <c r="G260" s="5"/>
      <c r="H260" s="5"/>
      <c r="I260" s="46"/>
      <c r="K260" s="24"/>
      <c r="L260" s="5"/>
    </row>
    <row r="261">
      <c r="A261" s="5" t="s">
        <v>776</v>
      </c>
      <c r="B261" s="5">
        <v>1.0</v>
      </c>
      <c r="C261" s="5"/>
      <c r="D261" s="5"/>
      <c r="E261" s="24"/>
      <c r="F261" s="28"/>
      <c r="G261" s="5"/>
      <c r="H261" s="5"/>
      <c r="I261" s="46"/>
      <c r="K261" s="24"/>
      <c r="L261" s="5"/>
    </row>
    <row r="262">
      <c r="A262" s="5" t="s">
        <v>777</v>
      </c>
      <c r="B262" s="5">
        <v>1.0</v>
      </c>
      <c r="C262" s="5"/>
      <c r="D262" s="5"/>
      <c r="E262" s="24"/>
      <c r="F262" s="28"/>
      <c r="G262" s="5"/>
      <c r="H262" s="5"/>
      <c r="I262" s="46"/>
      <c r="K262" s="24"/>
      <c r="L262" s="5"/>
    </row>
    <row r="263">
      <c r="A263" s="5" t="s">
        <v>778</v>
      </c>
      <c r="B263" s="5">
        <v>1.0</v>
      </c>
      <c r="C263" s="5"/>
      <c r="D263" s="5"/>
      <c r="E263" s="24"/>
      <c r="F263" s="28"/>
      <c r="G263" s="5"/>
      <c r="H263" s="5"/>
      <c r="I263" s="46"/>
      <c r="K263" s="24"/>
      <c r="L263" s="5"/>
    </row>
    <row r="264">
      <c r="A264" s="5" t="s">
        <v>779</v>
      </c>
      <c r="B264" s="5">
        <v>1.0</v>
      </c>
      <c r="C264" s="5"/>
      <c r="D264" s="5"/>
      <c r="E264" s="24"/>
      <c r="F264" s="28"/>
      <c r="G264" s="5"/>
      <c r="H264" s="5"/>
      <c r="I264" s="46"/>
      <c r="K264" s="24"/>
      <c r="L264" s="5"/>
    </row>
    <row r="265">
      <c r="A265" s="5" t="s">
        <v>780</v>
      </c>
      <c r="B265" s="5">
        <v>1.0</v>
      </c>
      <c r="C265" s="5"/>
      <c r="D265" s="5"/>
      <c r="E265" s="24"/>
      <c r="F265" s="28"/>
      <c r="G265" s="5"/>
      <c r="H265" s="5"/>
      <c r="I265" s="46"/>
      <c r="K265" s="24"/>
      <c r="L265" s="5"/>
    </row>
    <row r="266">
      <c r="A266" s="5" t="s">
        <v>781</v>
      </c>
      <c r="B266" s="5">
        <v>1.0</v>
      </c>
      <c r="C266" s="5"/>
      <c r="D266" s="5"/>
      <c r="E266" s="24"/>
      <c r="F266" s="28"/>
      <c r="G266" s="5"/>
      <c r="H266" s="5"/>
      <c r="I266" s="46"/>
      <c r="K266" s="24"/>
      <c r="L266" s="5"/>
    </row>
    <row r="267">
      <c r="A267" s="5" t="s">
        <v>782</v>
      </c>
      <c r="B267" s="5">
        <v>1.0</v>
      </c>
      <c r="C267" s="5"/>
      <c r="D267" s="5"/>
      <c r="E267" s="24"/>
      <c r="F267" s="28"/>
      <c r="G267" s="5"/>
      <c r="H267" s="5"/>
      <c r="I267" s="46"/>
      <c r="K267" s="24"/>
      <c r="L267" s="5"/>
    </row>
    <row r="268">
      <c r="A268" s="5" t="s">
        <v>783</v>
      </c>
      <c r="B268" s="5">
        <v>1.0</v>
      </c>
      <c r="C268" s="5"/>
      <c r="D268" s="5"/>
      <c r="E268" s="24"/>
      <c r="F268" s="28"/>
      <c r="G268" s="5"/>
      <c r="H268" s="5"/>
      <c r="I268" s="46"/>
      <c r="K268" s="24"/>
      <c r="L268" s="5"/>
    </row>
    <row r="269">
      <c r="A269" s="5" t="s">
        <v>784</v>
      </c>
      <c r="B269" s="5">
        <v>1.0</v>
      </c>
      <c r="C269" s="5"/>
      <c r="D269" s="5"/>
      <c r="E269" s="24"/>
      <c r="F269" s="28"/>
      <c r="G269" s="5"/>
      <c r="H269" s="5"/>
      <c r="I269" s="46"/>
      <c r="K269" s="24"/>
      <c r="L269" s="5"/>
    </row>
    <row r="270">
      <c r="A270" s="5" t="s">
        <v>785</v>
      </c>
      <c r="B270" s="5">
        <v>1.0</v>
      </c>
      <c r="C270" s="5"/>
      <c r="D270" s="5"/>
      <c r="E270" s="24"/>
      <c r="F270" s="28"/>
      <c r="G270" s="5"/>
      <c r="H270" s="5"/>
      <c r="I270" s="46"/>
      <c r="K270" s="24"/>
      <c r="L270" s="5"/>
    </row>
    <row r="271">
      <c r="A271" s="5" t="s">
        <v>786</v>
      </c>
      <c r="B271" s="5">
        <v>1.0</v>
      </c>
      <c r="C271" s="5"/>
      <c r="D271" s="5"/>
      <c r="E271" s="24"/>
      <c r="F271" s="28"/>
      <c r="G271" s="5"/>
      <c r="H271" s="5"/>
      <c r="I271" s="46"/>
      <c r="K271" s="24"/>
      <c r="L271" s="5"/>
    </row>
    <row r="272">
      <c r="A272" s="5" t="s">
        <v>787</v>
      </c>
      <c r="B272" s="5">
        <v>1.0</v>
      </c>
      <c r="C272" s="5"/>
      <c r="D272" s="5"/>
      <c r="E272" s="24"/>
      <c r="F272" s="28"/>
      <c r="G272" s="5"/>
      <c r="H272" s="5"/>
      <c r="I272" s="46"/>
      <c r="K272" s="24"/>
      <c r="L272" s="5"/>
    </row>
    <row r="273">
      <c r="A273" s="5" t="s">
        <v>788</v>
      </c>
      <c r="B273" s="5">
        <v>1.0</v>
      </c>
      <c r="C273" s="5"/>
      <c r="D273" s="5"/>
      <c r="E273" s="24"/>
      <c r="F273" s="28"/>
      <c r="G273" s="5"/>
      <c r="H273" s="5"/>
      <c r="I273" s="46"/>
      <c r="K273" s="24"/>
      <c r="L273" s="5"/>
    </row>
    <row r="274">
      <c r="A274" s="5" t="s">
        <v>789</v>
      </c>
      <c r="B274" s="5">
        <v>1.0</v>
      </c>
      <c r="C274" s="5"/>
      <c r="D274" s="5"/>
      <c r="E274" s="24"/>
      <c r="F274" s="28"/>
      <c r="G274" s="5"/>
      <c r="H274" s="5"/>
      <c r="I274" s="46"/>
      <c r="K274" s="24"/>
      <c r="L274" s="5"/>
    </row>
    <row r="275">
      <c r="A275" s="5" t="s">
        <v>790</v>
      </c>
      <c r="B275" s="5">
        <v>1.0</v>
      </c>
      <c r="C275" s="5"/>
      <c r="D275" s="5"/>
      <c r="E275" s="24"/>
      <c r="F275" s="28"/>
      <c r="G275" s="5"/>
      <c r="H275" s="5"/>
      <c r="I275" s="46"/>
      <c r="K275" s="24"/>
      <c r="L275" s="5"/>
    </row>
    <row r="276">
      <c r="A276" s="5" t="s">
        <v>791</v>
      </c>
      <c r="B276" s="5">
        <v>1.0</v>
      </c>
      <c r="C276" s="5"/>
      <c r="D276" s="5"/>
      <c r="E276" s="24"/>
      <c r="F276" s="28"/>
      <c r="G276" s="5"/>
      <c r="H276" s="5"/>
      <c r="I276" s="46"/>
      <c r="K276" s="24"/>
      <c r="L276" s="5"/>
    </row>
    <row r="277">
      <c r="A277" s="5" t="s">
        <v>792</v>
      </c>
      <c r="B277" s="5">
        <v>1.0</v>
      </c>
      <c r="C277" s="5"/>
      <c r="D277" s="5"/>
      <c r="E277" s="24"/>
      <c r="F277" s="28"/>
      <c r="G277" s="5"/>
      <c r="H277" s="5"/>
      <c r="I277" s="46"/>
      <c r="K277" s="24"/>
      <c r="L277" s="5"/>
    </row>
    <row r="278">
      <c r="A278" s="5" t="s">
        <v>793</v>
      </c>
      <c r="B278" s="5">
        <v>1.0</v>
      </c>
      <c r="C278" s="5"/>
      <c r="D278" s="5"/>
      <c r="E278" s="24"/>
      <c r="F278" s="28"/>
      <c r="G278" s="5"/>
      <c r="H278" s="5"/>
      <c r="I278" s="46"/>
      <c r="K278" s="24"/>
      <c r="L278" s="5"/>
    </row>
    <row r="279">
      <c r="A279" s="5" t="s">
        <v>794</v>
      </c>
      <c r="B279" s="5">
        <v>1.0</v>
      </c>
      <c r="C279" s="5"/>
      <c r="D279" s="5"/>
      <c r="E279" s="24"/>
      <c r="F279" s="28"/>
      <c r="G279" s="5"/>
      <c r="H279" s="5"/>
      <c r="I279" s="46"/>
      <c r="K279" s="24"/>
      <c r="L279" s="5"/>
    </row>
    <row r="280">
      <c r="A280" s="5" t="s">
        <v>795</v>
      </c>
      <c r="B280" s="5">
        <v>1.0</v>
      </c>
      <c r="C280" s="5"/>
      <c r="D280" s="5"/>
      <c r="E280" s="24"/>
      <c r="F280" s="28"/>
      <c r="G280" s="5"/>
      <c r="H280" s="5"/>
      <c r="I280" s="46"/>
      <c r="K280" s="24"/>
      <c r="L280" s="5"/>
    </row>
    <row r="281">
      <c r="A281" s="5" t="s">
        <v>796</v>
      </c>
      <c r="B281" s="5">
        <v>1.0</v>
      </c>
      <c r="C281" s="5"/>
      <c r="D281" s="5"/>
      <c r="E281" s="24"/>
      <c r="F281" s="28"/>
      <c r="G281" s="5"/>
      <c r="H281" s="5"/>
      <c r="I281" s="46"/>
      <c r="K281" s="24"/>
      <c r="L281" s="5"/>
    </row>
    <row r="282">
      <c r="A282" s="5" t="s">
        <v>797</v>
      </c>
      <c r="B282" s="5">
        <v>1.0</v>
      </c>
      <c r="C282" s="5"/>
      <c r="D282" s="5"/>
      <c r="E282" s="24"/>
      <c r="F282" s="28"/>
      <c r="G282" s="5"/>
      <c r="H282" s="5"/>
      <c r="I282" s="46"/>
      <c r="K282" s="24"/>
      <c r="L282" s="5"/>
    </row>
    <row r="283">
      <c r="A283" s="5" t="s">
        <v>798</v>
      </c>
      <c r="B283" s="5">
        <v>1.0</v>
      </c>
      <c r="C283" s="5"/>
      <c r="D283" s="5"/>
      <c r="E283" s="46"/>
      <c r="F283" s="67"/>
      <c r="G283" s="5"/>
      <c r="H283" s="5"/>
      <c r="I283" s="46"/>
      <c r="K283" s="24"/>
      <c r="L283" s="5"/>
    </row>
    <row r="284">
      <c r="A284" s="5" t="s">
        <v>799</v>
      </c>
      <c r="B284" s="5">
        <v>1.0</v>
      </c>
      <c r="C284" s="5"/>
      <c r="D284" s="5"/>
      <c r="E284" s="24"/>
      <c r="F284" s="28"/>
      <c r="G284" s="5"/>
      <c r="H284" s="5"/>
      <c r="I284" s="46"/>
      <c r="K284" s="24"/>
      <c r="L284" s="5"/>
    </row>
    <row r="285">
      <c r="A285" s="5" t="s">
        <v>800</v>
      </c>
      <c r="B285" s="5">
        <v>1.0</v>
      </c>
      <c r="C285" s="5"/>
      <c r="D285" s="5"/>
      <c r="E285" s="24"/>
      <c r="F285" s="28"/>
      <c r="G285" s="5"/>
      <c r="H285" s="5"/>
      <c r="I285" s="46"/>
      <c r="K285" s="24"/>
      <c r="L285" s="5"/>
    </row>
    <row r="286">
      <c r="A286" s="5" t="s">
        <v>801</v>
      </c>
      <c r="B286" s="5">
        <v>1.0</v>
      </c>
      <c r="C286" s="5"/>
      <c r="D286" s="5"/>
      <c r="E286" s="24"/>
      <c r="F286" s="28"/>
      <c r="G286" s="5"/>
      <c r="H286" s="5"/>
      <c r="I286" s="46"/>
      <c r="K286" s="24"/>
      <c r="L286" s="5"/>
    </row>
    <row r="287">
      <c r="A287" s="5" t="s">
        <v>802</v>
      </c>
      <c r="B287" s="5">
        <v>1.0</v>
      </c>
      <c r="C287" s="5"/>
      <c r="D287" s="5"/>
      <c r="E287" s="24"/>
      <c r="F287" s="28"/>
      <c r="G287" s="5"/>
      <c r="H287" s="5"/>
      <c r="I287" s="46"/>
      <c r="K287" s="24"/>
      <c r="L287" s="5"/>
    </row>
    <row r="288">
      <c r="A288" s="5" t="s">
        <v>803</v>
      </c>
      <c r="B288" s="5">
        <v>1.0</v>
      </c>
      <c r="C288" s="5"/>
      <c r="D288" s="5"/>
      <c r="E288" s="24"/>
      <c r="F288" s="28"/>
      <c r="G288" s="5"/>
      <c r="H288" s="5"/>
      <c r="I288" s="46"/>
      <c r="K288" s="24"/>
      <c r="L288" s="5"/>
    </row>
    <row r="289">
      <c r="A289" s="5" t="s">
        <v>804</v>
      </c>
      <c r="B289" s="5">
        <v>1.0</v>
      </c>
      <c r="C289" s="5"/>
      <c r="D289" s="5"/>
      <c r="E289" s="24"/>
      <c r="F289" s="28"/>
      <c r="G289" s="5"/>
      <c r="H289" s="5"/>
      <c r="I289" s="46"/>
      <c r="K289" s="24"/>
      <c r="L289" s="5"/>
    </row>
    <row r="290">
      <c r="A290" s="5" t="s">
        <v>805</v>
      </c>
      <c r="B290" s="5">
        <v>1.0</v>
      </c>
      <c r="C290" s="5"/>
      <c r="D290" s="5"/>
      <c r="E290" s="24"/>
      <c r="F290" s="28"/>
      <c r="G290" s="5"/>
      <c r="H290" s="5"/>
      <c r="I290" s="46"/>
      <c r="K290" s="24"/>
      <c r="L290" s="5"/>
    </row>
    <row r="291">
      <c r="A291" s="5" t="s">
        <v>806</v>
      </c>
      <c r="B291" s="5">
        <v>1.0</v>
      </c>
      <c r="C291" s="5"/>
      <c r="D291" s="5"/>
      <c r="E291" s="24"/>
      <c r="F291" s="28"/>
      <c r="G291" s="5"/>
      <c r="H291" s="5"/>
      <c r="I291" s="46"/>
      <c r="K291" s="24"/>
      <c r="L291" s="5"/>
    </row>
    <row r="292">
      <c r="A292" s="5" t="s">
        <v>807</v>
      </c>
      <c r="B292" s="5">
        <v>1.0</v>
      </c>
      <c r="C292" s="5"/>
      <c r="D292" s="5"/>
      <c r="E292" s="24"/>
      <c r="F292" s="28"/>
      <c r="G292" s="5"/>
      <c r="H292" s="5"/>
      <c r="I292" s="46"/>
      <c r="K292" s="24"/>
      <c r="L292" s="5"/>
    </row>
    <row r="293">
      <c r="A293" s="5" t="s">
        <v>808</v>
      </c>
      <c r="B293" s="5">
        <v>1.0</v>
      </c>
      <c r="C293" s="5"/>
      <c r="D293" s="5"/>
      <c r="E293" s="24"/>
      <c r="F293" s="28"/>
      <c r="G293" s="5"/>
      <c r="H293" s="5"/>
      <c r="I293" s="46"/>
      <c r="K293" s="24"/>
      <c r="L293" s="5"/>
    </row>
    <row r="294">
      <c r="A294" s="5" t="s">
        <v>809</v>
      </c>
      <c r="B294" s="5">
        <v>1.0</v>
      </c>
      <c r="C294" s="5"/>
      <c r="D294" s="5"/>
      <c r="E294" s="24"/>
      <c r="F294" s="28"/>
      <c r="G294" s="5"/>
      <c r="H294" s="5"/>
      <c r="I294" s="46"/>
      <c r="K294" s="24"/>
      <c r="L294" s="5"/>
    </row>
    <row r="295">
      <c r="A295" s="5" t="s">
        <v>810</v>
      </c>
      <c r="B295" s="5">
        <v>1.0</v>
      </c>
      <c r="C295" s="5"/>
      <c r="D295" s="5"/>
      <c r="E295" s="24"/>
      <c r="F295" s="28"/>
      <c r="G295" s="5"/>
      <c r="H295" s="5"/>
      <c r="I295" s="46"/>
      <c r="K295" s="24"/>
      <c r="L295" s="5"/>
    </row>
    <row r="296">
      <c r="A296" s="5" t="s">
        <v>811</v>
      </c>
      <c r="B296" s="5">
        <v>1.0</v>
      </c>
      <c r="C296" s="5"/>
      <c r="D296" s="5"/>
      <c r="E296" s="24"/>
      <c r="F296" s="28"/>
      <c r="G296" s="5"/>
      <c r="H296" s="5"/>
      <c r="I296" s="46"/>
      <c r="K296" s="24"/>
      <c r="L296" s="5"/>
    </row>
    <row r="297">
      <c r="A297" s="5" t="s">
        <v>812</v>
      </c>
      <c r="B297" s="5">
        <v>1.0</v>
      </c>
      <c r="C297" s="5"/>
      <c r="D297" s="5"/>
      <c r="E297" s="24"/>
      <c r="F297" s="28"/>
      <c r="G297" s="5"/>
      <c r="H297" s="5"/>
      <c r="I297" s="46"/>
      <c r="K297" s="24"/>
      <c r="L297" s="5"/>
    </row>
    <row r="298">
      <c r="A298" s="5" t="s">
        <v>813</v>
      </c>
      <c r="B298" s="5">
        <v>1.0</v>
      </c>
      <c r="C298" s="5"/>
      <c r="D298" s="5"/>
      <c r="E298" s="24"/>
      <c r="F298" s="28"/>
      <c r="G298" s="5"/>
      <c r="H298" s="5"/>
      <c r="I298" s="46"/>
      <c r="K298" s="24"/>
      <c r="L298" s="5"/>
    </row>
    <row r="299">
      <c r="A299" s="5" t="s">
        <v>814</v>
      </c>
      <c r="B299" s="5">
        <v>1.0</v>
      </c>
      <c r="C299" s="5"/>
      <c r="D299" s="5"/>
      <c r="E299" s="24"/>
      <c r="F299" s="28"/>
      <c r="G299" s="5"/>
      <c r="H299" s="5"/>
      <c r="I299" s="46"/>
      <c r="K299" s="24"/>
      <c r="L299" s="5"/>
    </row>
    <row r="300">
      <c r="A300" s="5" t="s">
        <v>815</v>
      </c>
      <c r="B300" s="5">
        <v>1.0</v>
      </c>
      <c r="C300" s="5"/>
      <c r="D300" s="5"/>
      <c r="E300" s="24"/>
      <c r="F300" s="28"/>
      <c r="G300" s="5"/>
      <c r="H300" s="5"/>
      <c r="I300" s="46"/>
      <c r="K300" s="24"/>
      <c r="L300" s="5"/>
    </row>
    <row r="301">
      <c r="A301" s="5" t="s">
        <v>816</v>
      </c>
      <c r="B301" s="5">
        <v>1.0</v>
      </c>
      <c r="C301" s="5"/>
      <c r="D301" s="5"/>
      <c r="E301" s="24"/>
      <c r="F301" s="28"/>
      <c r="G301" s="5"/>
      <c r="H301" s="5"/>
      <c r="I301" s="46"/>
      <c r="K301" s="24"/>
      <c r="L301" s="5"/>
    </row>
    <row r="302">
      <c r="A302" s="5" t="s">
        <v>817</v>
      </c>
      <c r="B302" s="5">
        <v>1.0</v>
      </c>
      <c r="C302" s="5"/>
      <c r="D302" s="5"/>
      <c r="E302" s="24"/>
      <c r="F302" s="28"/>
      <c r="G302" s="5"/>
      <c r="H302" s="5"/>
      <c r="I302" s="46"/>
      <c r="K302" s="24"/>
      <c r="L302" s="5"/>
    </row>
    <row r="303">
      <c r="A303" s="5" t="s">
        <v>818</v>
      </c>
      <c r="B303" s="5">
        <v>1.0</v>
      </c>
      <c r="C303" s="5"/>
      <c r="D303" s="5"/>
      <c r="E303" s="24"/>
      <c r="F303" s="28"/>
      <c r="G303" s="5"/>
      <c r="H303" s="5"/>
      <c r="I303" s="46"/>
      <c r="K303" s="24"/>
      <c r="L303" s="5"/>
    </row>
    <row r="304">
      <c r="A304" s="5" t="s">
        <v>819</v>
      </c>
      <c r="B304" s="5">
        <v>1.0</v>
      </c>
      <c r="C304" s="5"/>
      <c r="D304" s="5"/>
      <c r="E304" s="24"/>
      <c r="F304" s="28"/>
      <c r="G304" s="5"/>
      <c r="H304" s="5"/>
      <c r="I304" s="46"/>
      <c r="K304" s="24"/>
      <c r="L304" s="5"/>
    </row>
    <row r="305">
      <c r="A305" s="5" t="s">
        <v>820</v>
      </c>
      <c r="B305" s="5">
        <v>1.0</v>
      </c>
      <c r="C305" s="5"/>
      <c r="D305" s="5"/>
      <c r="E305" s="24"/>
      <c r="F305" s="28"/>
      <c r="G305" s="5"/>
      <c r="H305" s="5"/>
      <c r="I305" s="46"/>
      <c r="K305" s="24"/>
      <c r="L305" s="5"/>
    </row>
    <row r="306">
      <c r="A306" s="5" t="s">
        <v>821</v>
      </c>
      <c r="B306" s="5">
        <v>1.0</v>
      </c>
      <c r="C306" s="5"/>
      <c r="D306" s="5"/>
      <c r="E306" s="24"/>
      <c r="F306" s="28"/>
      <c r="G306" s="5"/>
      <c r="H306" s="5"/>
      <c r="I306" s="46"/>
      <c r="K306" s="24"/>
      <c r="L306" s="5"/>
    </row>
    <row r="307">
      <c r="A307" s="5" t="s">
        <v>822</v>
      </c>
      <c r="B307" s="5">
        <v>1.0</v>
      </c>
      <c r="C307" s="5"/>
      <c r="D307" s="5"/>
      <c r="E307" s="24"/>
      <c r="F307" s="28"/>
      <c r="G307" s="5"/>
      <c r="H307" s="5"/>
      <c r="I307" s="46"/>
      <c r="K307" s="24"/>
      <c r="L307" s="5"/>
    </row>
    <row r="308">
      <c r="A308" s="5" t="s">
        <v>823</v>
      </c>
      <c r="B308" s="5">
        <v>1.0</v>
      </c>
      <c r="C308" s="5"/>
      <c r="D308" s="5"/>
      <c r="E308" s="24"/>
      <c r="F308" s="28"/>
      <c r="G308" s="5"/>
      <c r="H308" s="5"/>
      <c r="I308" s="46"/>
      <c r="K308" s="24"/>
      <c r="L308" s="5"/>
    </row>
    <row r="309">
      <c r="A309" s="5" t="s">
        <v>824</v>
      </c>
      <c r="B309" s="5">
        <v>1.0</v>
      </c>
      <c r="C309" s="5"/>
      <c r="D309" s="5"/>
      <c r="E309" s="24"/>
      <c r="F309" s="28"/>
      <c r="G309" s="5"/>
      <c r="H309" s="5"/>
      <c r="I309" s="46"/>
      <c r="K309" s="24"/>
      <c r="L309" s="5"/>
    </row>
    <row r="310">
      <c r="A310" s="5" t="s">
        <v>825</v>
      </c>
      <c r="B310" s="5">
        <v>1.0</v>
      </c>
      <c r="C310" s="5"/>
      <c r="D310" s="5"/>
      <c r="E310" s="46"/>
      <c r="F310" s="67"/>
      <c r="G310" s="5"/>
      <c r="H310" s="5"/>
      <c r="I310" s="46"/>
      <c r="K310" s="24"/>
      <c r="L310" s="5"/>
    </row>
    <row r="311">
      <c r="A311" s="5" t="s">
        <v>826</v>
      </c>
      <c r="B311" s="5">
        <v>1.0</v>
      </c>
      <c r="C311" s="5"/>
      <c r="D311" s="5"/>
      <c r="E311" s="24"/>
      <c r="F311" s="28"/>
      <c r="G311" s="5"/>
      <c r="H311" s="5"/>
      <c r="I311" s="46"/>
      <c r="K311" s="24"/>
      <c r="L311" s="5"/>
    </row>
    <row r="312">
      <c r="A312" s="5" t="s">
        <v>827</v>
      </c>
      <c r="B312" s="5">
        <v>1.0</v>
      </c>
      <c r="C312" s="5"/>
      <c r="D312" s="5"/>
      <c r="E312" s="24"/>
      <c r="F312" s="28"/>
      <c r="G312" s="5"/>
      <c r="H312" s="5"/>
      <c r="I312" s="46"/>
      <c r="K312" s="24"/>
      <c r="L312" s="5"/>
    </row>
    <row r="313">
      <c r="A313" s="5" t="s">
        <v>828</v>
      </c>
      <c r="B313" s="5">
        <v>1.0</v>
      </c>
      <c r="C313" s="5"/>
      <c r="D313" s="5"/>
      <c r="E313" s="24"/>
      <c r="F313" s="28"/>
      <c r="G313" s="5"/>
      <c r="H313" s="5"/>
      <c r="I313" s="46"/>
      <c r="K313" s="24"/>
      <c r="L313" s="5"/>
    </row>
    <row r="314">
      <c r="A314" s="5" t="s">
        <v>829</v>
      </c>
      <c r="B314" s="5">
        <v>1.0</v>
      </c>
      <c r="C314" s="5"/>
      <c r="D314" s="5"/>
      <c r="E314" s="24"/>
      <c r="F314" s="28"/>
      <c r="G314" s="5"/>
      <c r="H314" s="5"/>
      <c r="I314" s="46"/>
      <c r="K314" s="24"/>
      <c r="L314" s="5"/>
    </row>
    <row r="315">
      <c r="A315" s="5" t="s">
        <v>830</v>
      </c>
      <c r="B315" s="5">
        <v>1.0</v>
      </c>
      <c r="C315" s="5"/>
      <c r="D315" s="5"/>
      <c r="E315" s="24"/>
      <c r="F315" s="28"/>
      <c r="G315" s="5"/>
      <c r="H315" s="5"/>
      <c r="I315" s="46"/>
      <c r="K315" s="24"/>
      <c r="L315" s="5"/>
    </row>
    <row r="316">
      <c r="A316" s="5" t="s">
        <v>831</v>
      </c>
      <c r="B316" s="5">
        <v>1.0</v>
      </c>
      <c r="C316" s="5"/>
      <c r="D316" s="5"/>
      <c r="E316" s="24"/>
      <c r="F316" s="28"/>
      <c r="G316" s="5"/>
      <c r="H316" s="5"/>
      <c r="I316" s="46"/>
      <c r="K316" s="24"/>
      <c r="L316" s="5"/>
    </row>
    <row r="317">
      <c r="A317" s="5" t="s">
        <v>832</v>
      </c>
      <c r="B317" s="5">
        <v>1.0</v>
      </c>
      <c r="C317" s="5"/>
      <c r="D317" s="5"/>
      <c r="E317" s="24"/>
      <c r="F317" s="28"/>
      <c r="G317" s="5"/>
      <c r="H317" s="5"/>
      <c r="I317" s="46"/>
      <c r="K317" s="24"/>
      <c r="L317" s="5"/>
    </row>
    <row r="318">
      <c r="A318" s="5" t="s">
        <v>833</v>
      </c>
      <c r="B318" s="5">
        <v>1.0</v>
      </c>
      <c r="C318" s="5"/>
      <c r="D318" s="5"/>
      <c r="E318" s="24"/>
      <c r="F318" s="28"/>
      <c r="G318" s="5"/>
      <c r="H318" s="5"/>
      <c r="I318" s="46"/>
      <c r="K318" s="24"/>
      <c r="L318" s="5"/>
    </row>
    <row r="319">
      <c r="A319" s="5" t="s">
        <v>834</v>
      </c>
      <c r="B319" s="5">
        <v>1.0</v>
      </c>
      <c r="C319" s="5"/>
      <c r="D319" s="5"/>
      <c r="E319" s="24"/>
      <c r="F319" s="28"/>
      <c r="G319" s="5"/>
      <c r="H319" s="5"/>
      <c r="I319" s="46"/>
      <c r="K319" s="24"/>
      <c r="L319" s="5"/>
    </row>
    <row r="320">
      <c r="A320" s="5" t="s">
        <v>835</v>
      </c>
      <c r="B320" s="5">
        <v>1.0</v>
      </c>
      <c r="C320" s="5"/>
      <c r="D320" s="5"/>
      <c r="E320" s="24"/>
      <c r="F320" s="28"/>
      <c r="G320" s="5"/>
      <c r="H320" s="5"/>
      <c r="I320" s="46"/>
      <c r="K320" s="24"/>
      <c r="L320" s="5"/>
    </row>
    <row r="321">
      <c r="A321" s="5" t="s">
        <v>836</v>
      </c>
      <c r="B321" s="5">
        <v>1.0</v>
      </c>
      <c r="C321" s="5"/>
      <c r="D321" s="5"/>
      <c r="E321" s="24"/>
      <c r="F321" s="28"/>
      <c r="G321" s="5"/>
      <c r="H321" s="5"/>
      <c r="I321" s="46"/>
      <c r="K321" s="24"/>
      <c r="L321" s="5"/>
    </row>
    <row r="322">
      <c r="A322" s="5" t="s">
        <v>837</v>
      </c>
      <c r="B322" s="5">
        <v>1.0</v>
      </c>
      <c r="C322" s="5"/>
      <c r="D322" s="5"/>
      <c r="E322" s="24"/>
      <c r="F322" s="28"/>
      <c r="G322" s="5"/>
      <c r="H322" s="5"/>
      <c r="I322" s="46"/>
      <c r="K322" s="24"/>
      <c r="L322" s="5"/>
    </row>
    <row r="323">
      <c r="A323" s="5" t="s">
        <v>838</v>
      </c>
      <c r="B323" s="5">
        <v>1.0</v>
      </c>
      <c r="C323" s="5"/>
      <c r="D323" s="5"/>
      <c r="E323" s="24"/>
      <c r="F323" s="28"/>
      <c r="G323" s="5"/>
      <c r="H323" s="5"/>
      <c r="I323" s="46"/>
      <c r="K323" s="24"/>
      <c r="L323" s="5"/>
    </row>
    <row r="324">
      <c r="A324" s="5" t="s">
        <v>839</v>
      </c>
      <c r="B324" s="5">
        <v>1.0</v>
      </c>
      <c r="C324" s="5"/>
      <c r="D324" s="5"/>
      <c r="E324" s="24"/>
      <c r="F324" s="28"/>
      <c r="G324" s="5"/>
      <c r="H324" s="5"/>
      <c r="I324" s="46"/>
      <c r="K324" s="24"/>
      <c r="L324" s="5"/>
    </row>
    <row r="325">
      <c r="A325" s="5" t="s">
        <v>840</v>
      </c>
      <c r="B325" s="5">
        <v>1.0</v>
      </c>
      <c r="C325" s="5"/>
      <c r="D325" s="5"/>
      <c r="E325" s="24"/>
      <c r="F325" s="28"/>
      <c r="G325" s="5"/>
      <c r="H325" s="5"/>
      <c r="I325" s="46"/>
      <c r="K325" s="24"/>
      <c r="L325" s="5"/>
    </row>
    <row r="326">
      <c r="A326" s="5" t="s">
        <v>841</v>
      </c>
      <c r="B326" s="5">
        <v>1.0</v>
      </c>
      <c r="C326" s="5"/>
      <c r="D326" s="5"/>
      <c r="E326" s="24"/>
      <c r="F326" s="28"/>
      <c r="G326" s="5"/>
      <c r="H326" s="5"/>
      <c r="I326" s="46"/>
      <c r="K326" s="24"/>
      <c r="L326" s="5"/>
    </row>
    <row r="327">
      <c r="A327" s="5" t="s">
        <v>842</v>
      </c>
      <c r="B327" s="5">
        <v>1.0</v>
      </c>
      <c r="C327" s="5"/>
      <c r="D327" s="5"/>
      <c r="E327" s="24"/>
      <c r="F327" s="28"/>
      <c r="G327" s="5"/>
      <c r="H327" s="5"/>
      <c r="I327" s="46"/>
      <c r="K327" s="24"/>
      <c r="L327" s="5"/>
    </row>
    <row r="328">
      <c r="A328" s="5" t="s">
        <v>843</v>
      </c>
      <c r="B328" s="5">
        <v>1.0</v>
      </c>
      <c r="C328" s="5"/>
      <c r="D328" s="5"/>
      <c r="E328" s="24"/>
      <c r="F328" s="28"/>
      <c r="G328" s="5"/>
      <c r="H328" s="5"/>
      <c r="I328" s="46"/>
      <c r="K328" s="24"/>
      <c r="L328" s="5"/>
    </row>
    <row r="329">
      <c r="A329" s="5" t="s">
        <v>844</v>
      </c>
      <c r="B329" s="5">
        <v>1.0</v>
      </c>
      <c r="C329" s="5"/>
      <c r="D329" s="5"/>
      <c r="E329" s="24"/>
      <c r="F329" s="28"/>
      <c r="G329" s="5"/>
      <c r="H329" s="5"/>
      <c r="I329" s="46"/>
      <c r="K329" s="24"/>
      <c r="L329" s="5"/>
    </row>
    <row r="330">
      <c r="A330" s="5" t="s">
        <v>845</v>
      </c>
      <c r="B330" s="5">
        <v>1.0</v>
      </c>
      <c r="C330" s="5"/>
      <c r="D330" s="5"/>
      <c r="E330" s="24"/>
      <c r="F330" s="28"/>
      <c r="G330" s="5"/>
      <c r="H330" s="5"/>
      <c r="I330" s="46"/>
      <c r="K330" s="24"/>
      <c r="L330" s="5"/>
    </row>
    <row r="331">
      <c r="A331" s="5" t="s">
        <v>846</v>
      </c>
      <c r="B331" s="5">
        <v>1.0</v>
      </c>
      <c r="C331" s="5"/>
      <c r="D331" s="5"/>
      <c r="E331" s="24"/>
      <c r="F331" s="28"/>
      <c r="G331" s="5"/>
      <c r="H331" s="5"/>
      <c r="I331" s="46"/>
      <c r="K331" s="24"/>
      <c r="L331" s="5"/>
    </row>
    <row r="332">
      <c r="A332" s="5" t="s">
        <v>847</v>
      </c>
      <c r="B332" s="5">
        <v>1.0</v>
      </c>
      <c r="C332" s="5"/>
      <c r="D332" s="5"/>
      <c r="E332" s="24"/>
      <c r="F332" s="28"/>
      <c r="G332" s="5"/>
      <c r="H332" s="5"/>
      <c r="I332" s="46"/>
      <c r="K332" s="24"/>
      <c r="L332" s="5"/>
    </row>
    <row r="333">
      <c r="A333" s="5" t="s">
        <v>848</v>
      </c>
      <c r="B333" s="5">
        <v>1.0</v>
      </c>
      <c r="C333" s="5"/>
      <c r="D333" s="5"/>
      <c r="E333" s="24"/>
      <c r="F333" s="28"/>
      <c r="G333" s="5"/>
      <c r="H333" s="5"/>
      <c r="I333" s="46"/>
      <c r="K333" s="24"/>
      <c r="L333" s="5"/>
    </row>
    <row r="334">
      <c r="A334" s="5" t="s">
        <v>849</v>
      </c>
      <c r="B334" s="5">
        <v>1.0</v>
      </c>
      <c r="C334" s="5"/>
      <c r="D334" s="5"/>
      <c r="E334" s="24"/>
      <c r="F334" s="28"/>
      <c r="G334" s="5"/>
      <c r="H334" s="5"/>
      <c r="I334" s="46"/>
      <c r="K334" s="24"/>
      <c r="L334" s="5"/>
    </row>
    <row r="335">
      <c r="A335" s="5" t="s">
        <v>850</v>
      </c>
      <c r="B335" s="5">
        <v>1.0</v>
      </c>
      <c r="C335" s="5"/>
      <c r="D335" s="5"/>
      <c r="E335" s="24"/>
      <c r="F335" s="28"/>
      <c r="G335" s="5"/>
      <c r="H335" s="5"/>
      <c r="I335" s="46"/>
      <c r="K335" s="24"/>
      <c r="L335" s="5"/>
    </row>
    <row r="336">
      <c r="A336" s="5" t="s">
        <v>851</v>
      </c>
      <c r="B336" s="5">
        <v>1.0</v>
      </c>
      <c r="C336" s="5"/>
      <c r="D336" s="5"/>
      <c r="E336" s="24"/>
      <c r="F336" s="28"/>
      <c r="G336" s="5"/>
      <c r="H336" s="5"/>
      <c r="I336" s="46"/>
      <c r="K336" s="24"/>
      <c r="L336" s="5"/>
    </row>
    <row r="337">
      <c r="A337" s="5" t="s">
        <v>852</v>
      </c>
      <c r="B337" s="5">
        <v>1.0</v>
      </c>
      <c r="C337" s="5"/>
      <c r="D337" s="5"/>
      <c r="E337" s="24"/>
      <c r="F337" s="28"/>
      <c r="G337" s="5"/>
      <c r="H337" s="5"/>
      <c r="I337" s="46"/>
      <c r="K337" s="24"/>
      <c r="L337" s="5"/>
    </row>
    <row r="338">
      <c r="A338" s="5" t="s">
        <v>853</v>
      </c>
      <c r="B338" s="5">
        <v>1.0</v>
      </c>
      <c r="C338" s="5"/>
      <c r="D338" s="5"/>
      <c r="E338" s="24"/>
      <c r="F338" s="28"/>
      <c r="G338" s="5"/>
      <c r="H338" s="5"/>
      <c r="I338" s="46"/>
      <c r="K338" s="24"/>
      <c r="L338" s="5"/>
    </row>
    <row r="339">
      <c r="A339" s="5" t="s">
        <v>854</v>
      </c>
      <c r="B339" s="5">
        <v>1.0</v>
      </c>
      <c r="C339" s="5"/>
      <c r="D339" s="5"/>
      <c r="E339" s="24"/>
      <c r="F339" s="28"/>
      <c r="G339" s="5"/>
      <c r="H339" s="5"/>
      <c r="I339" s="46"/>
      <c r="K339" s="24"/>
      <c r="L339" s="5"/>
    </row>
    <row r="340">
      <c r="A340" s="5" t="s">
        <v>855</v>
      </c>
      <c r="B340" s="5">
        <v>1.0</v>
      </c>
      <c r="C340" s="5"/>
      <c r="D340" s="5"/>
      <c r="E340" s="24"/>
      <c r="F340" s="28"/>
      <c r="G340" s="5"/>
      <c r="H340" s="5"/>
      <c r="I340" s="46"/>
      <c r="K340" s="24"/>
      <c r="L340" s="5"/>
    </row>
    <row r="341">
      <c r="A341" s="5" t="s">
        <v>856</v>
      </c>
      <c r="B341" s="5">
        <v>1.0</v>
      </c>
      <c r="C341" s="5"/>
      <c r="D341" s="5"/>
      <c r="E341" s="24"/>
      <c r="F341" s="28"/>
      <c r="G341" s="5"/>
      <c r="H341" s="5"/>
      <c r="I341" s="46"/>
      <c r="K341" s="24"/>
      <c r="L341" s="5"/>
    </row>
    <row r="342">
      <c r="A342" s="5" t="s">
        <v>857</v>
      </c>
      <c r="B342" s="5">
        <v>1.0</v>
      </c>
      <c r="C342" s="5"/>
      <c r="D342" s="5"/>
      <c r="E342" s="24"/>
      <c r="F342" s="28"/>
      <c r="G342" s="5"/>
      <c r="H342" s="5"/>
      <c r="I342" s="46"/>
      <c r="K342" s="24"/>
      <c r="L342" s="5"/>
    </row>
    <row r="343">
      <c r="A343" s="5" t="s">
        <v>858</v>
      </c>
      <c r="B343" s="5">
        <v>1.0</v>
      </c>
      <c r="C343" s="5"/>
      <c r="D343" s="5"/>
      <c r="E343" s="24"/>
      <c r="F343" s="28"/>
      <c r="G343" s="5"/>
      <c r="H343" s="5"/>
      <c r="I343" s="46"/>
      <c r="K343" s="24"/>
      <c r="L343" s="5"/>
    </row>
    <row r="344">
      <c r="A344" s="5" t="s">
        <v>859</v>
      </c>
      <c r="B344" s="5">
        <v>1.0</v>
      </c>
      <c r="C344" s="5"/>
      <c r="D344" s="5"/>
      <c r="E344" s="24"/>
      <c r="F344" s="28"/>
      <c r="G344" s="5"/>
      <c r="H344" s="5"/>
      <c r="I344" s="46"/>
      <c r="K344" s="24"/>
      <c r="L344" s="5"/>
    </row>
    <row r="345">
      <c r="A345" s="5" t="s">
        <v>860</v>
      </c>
      <c r="B345" s="5">
        <v>1.0</v>
      </c>
      <c r="C345" s="5"/>
      <c r="D345" s="5"/>
      <c r="E345" s="24"/>
      <c r="F345" s="28"/>
      <c r="G345" s="5"/>
      <c r="H345" s="5"/>
      <c r="I345" s="46"/>
      <c r="K345" s="24"/>
      <c r="L345" s="5"/>
    </row>
    <row r="346">
      <c r="A346" s="5" t="s">
        <v>861</v>
      </c>
      <c r="B346" s="5">
        <v>1.0</v>
      </c>
      <c r="C346" s="5"/>
      <c r="D346" s="5"/>
      <c r="E346" s="24"/>
      <c r="F346" s="28"/>
      <c r="G346" s="5"/>
      <c r="H346" s="5"/>
      <c r="I346" s="46"/>
      <c r="K346" s="24"/>
      <c r="L346" s="5"/>
    </row>
    <row r="347">
      <c r="A347" s="5" t="s">
        <v>862</v>
      </c>
      <c r="B347" s="5">
        <v>1.0</v>
      </c>
      <c r="C347" s="5"/>
      <c r="D347" s="5"/>
      <c r="E347" s="24"/>
      <c r="F347" s="28"/>
      <c r="G347" s="5"/>
      <c r="H347" s="5"/>
      <c r="I347" s="46"/>
      <c r="K347" s="24"/>
      <c r="L347" s="5"/>
    </row>
    <row r="348">
      <c r="A348" s="5" t="s">
        <v>863</v>
      </c>
      <c r="B348" s="5">
        <v>1.0</v>
      </c>
      <c r="C348" s="5"/>
      <c r="D348" s="5"/>
      <c r="E348" s="24"/>
      <c r="F348" s="28"/>
      <c r="G348" s="5"/>
      <c r="H348" s="5"/>
      <c r="I348" s="46"/>
      <c r="K348" s="24"/>
      <c r="L348" s="5"/>
    </row>
    <row r="349">
      <c r="A349" s="5" t="s">
        <v>864</v>
      </c>
      <c r="B349" s="5">
        <v>1.0</v>
      </c>
      <c r="C349" s="5"/>
      <c r="D349" s="5"/>
      <c r="E349" s="24"/>
      <c r="F349" s="28"/>
      <c r="G349" s="5"/>
      <c r="H349" s="5"/>
      <c r="I349" s="46"/>
      <c r="K349" s="24"/>
      <c r="L349" s="5"/>
    </row>
    <row r="350">
      <c r="A350" s="5" t="s">
        <v>865</v>
      </c>
      <c r="B350" s="5">
        <v>1.0</v>
      </c>
      <c r="C350" s="5"/>
      <c r="D350" s="5"/>
      <c r="E350" s="24"/>
      <c r="F350" s="28"/>
      <c r="G350" s="5"/>
      <c r="H350" s="5"/>
      <c r="I350" s="46"/>
      <c r="K350" s="24"/>
      <c r="L350" s="5"/>
    </row>
    <row r="351">
      <c r="A351" s="5" t="s">
        <v>866</v>
      </c>
      <c r="B351" s="5">
        <v>1.0</v>
      </c>
      <c r="C351" s="5"/>
      <c r="D351" s="5"/>
      <c r="E351" s="24"/>
      <c r="F351" s="28"/>
      <c r="G351" s="5"/>
      <c r="H351" s="5"/>
      <c r="I351" s="46"/>
      <c r="K351" s="24"/>
      <c r="L351" s="5"/>
    </row>
    <row r="352">
      <c r="A352" s="5" t="s">
        <v>867</v>
      </c>
      <c r="B352" s="5">
        <v>1.0</v>
      </c>
      <c r="C352" s="5"/>
      <c r="D352" s="5"/>
      <c r="E352" s="24"/>
      <c r="F352" s="28"/>
      <c r="G352" s="5"/>
      <c r="H352" s="5"/>
      <c r="I352" s="46"/>
      <c r="K352" s="24"/>
      <c r="L352" s="5"/>
    </row>
    <row r="353">
      <c r="A353" s="5" t="s">
        <v>868</v>
      </c>
      <c r="B353" s="5">
        <v>1.0</v>
      </c>
      <c r="C353" s="5"/>
      <c r="D353" s="5"/>
      <c r="E353" s="24"/>
      <c r="F353" s="28"/>
      <c r="G353" s="5"/>
      <c r="H353" s="5"/>
      <c r="I353" s="46"/>
      <c r="K353" s="24"/>
      <c r="L353" s="5"/>
    </row>
    <row r="354">
      <c r="A354" s="5" t="s">
        <v>869</v>
      </c>
      <c r="B354" s="5">
        <v>1.0</v>
      </c>
      <c r="C354" s="5"/>
      <c r="D354" s="5"/>
      <c r="E354" s="24"/>
      <c r="F354" s="28"/>
      <c r="G354" s="5"/>
      <c r="H354" s="5"/>
      <c r="I354" s="46"/>
      <c r="K354" s="24"/>
      <c r="L354" s="5"/>
    </row>
    <row r="355">
      <c r="A355" s="5" t="s">
        <v>870</v>
      </c>
      <c r="B355" s="5">
        <v>1.0</v>
      </c>
      <c r="C355" s="5"/>
      <c r="D355" s="5"/>
      <c r="E355" s="24"/>
      <c r="F355" s="28"/>
      <c r="G355" s="5"/>
      <c r="H355" s="5"/>
      <c r="I355" s="46"/>
      <c r="K355" s="24"/>
      <c r="L355" s="5"/>
    </row>
    <row r="356">
      <c r="A356" s="5" t="s">
        <v>871</v>
      </c>
      <c r="B356" s="5">
        <v>1.0</v>
      </c>
      <c r="C356" s="5"/>
      <c r="D356" s="5"/>
      <c r="E356" s="24"/>
      <c r="F356" s="28"/>
      <c r="G356" s="5"/>
      <c r="H356" s="5"/>
      <c r="I356" s="46"/>
      <c r="K356" s="24"/>
      <c r="L356" s="5"/>
    </row>
    <row r="357">
      <c r="A357" s="5" t="s">
        <v>872</v>
      </c>
      <c r="B357" s="5">
        <v>1.0</v>
      </c>
      <c r="C357" s="5"/>
      <c r="D357" s="5"/>
      <c r="E357" s="24"/>
      <c r="F357" s="28"/>
      <c r="G357" s="5"/>
      <c r="H357" s="5"/>
      <c r="I357" s="46"/>
      <c r="K357" s="24"/>
      <c r="L357" s="5"/>
    </row>
    <row r="358">
      <c r="A358" s="5" t="s">
        <v>873</v>
      </c>
      <c r="B358" s="5">
        <v>1.0</v>
      </c>
      <c r="C358" s="5"/>
      <c r="D358" s="5"/>
      <c r="E358" s="24"/>
      <c r="F358" s="28"/>
      <c r="G358" s="5"/>
      <c r="H358" s="5"/>
      <c r="I358" s="46"/>
      <c r="K358" s="24"/>
      <c r="L358" s="5"/>
    </row>
    <row r="359">
      <c r="A359" s="5" t="s">
        <v>874</v>
      </c>
      <c r="B359" s="5">
        <v>1.0</v>
      </c>
      <c r="C359" s="5"/>
      <c r="D359" s="5"/>
      <c r="E359" s="24"/>
      <c r="F359" s="28"/>
      <c r="G359" s="5"/>
      <c r="H359" s="5"/>
      <c r="I359" s="46"/>
      <c r="K359" s="24"/>
      <c r="L359" s="5"/>
    </row>
    <row r="360">
      <c r="A360" s="5" t="s">
        <v>875</v>
      </c>
      <c r="B360" s="5">
        <v>1.0</v>
      </c>
      <c r="C360" s="5"/>
      <c r="D360" s="5"/>
      <c r="E360" s="24"/>
      <c r="F360" s="28"/>
      <c r="G360" s="5"/>
      <c r="H360" s="5"/>
      <c r="I360" s="46"/>
      <c r="K360" s="24"/>
      <c r="L360" s="5"/>
    </row>
    <row r="361">
      <c r="A361" s="5" t="s">
        <v>876</v>
      </c>
      <c r="B361" s="5">
        <v>1.0</v>
      </c>
      <c r="C361" s="5"/>
      <c r="D361" s="5"/>
      <c r="E361" s="24"/>
      <c r="F361" s="28"/>
      <c r="G361" s="5"/>
      <c r="H361" s="5"/>
      <c r="I361" s="46"/>
      <c r="K361" s="24"/>
      <c r="L361" s="5"/>
    </row>
    <row r="362">
      <c r="A362" s="5" t="s">
        <v>877</v>
      </c>
      <c r="B362" s="5">
        <v>1.0</v>
      </c>
      <c r="C362" s="5"/>
      <c r="D362" s="5"/>
      <c r="E362" s="24"/>
      <c r="F362" s="28"/>
      <c r="G362" s="5"/>
      <c r="H362" s="5"/>
      <c r="I362" s="46"/>
      <c r="K362" s="24"/>
      <c r="L362" s="5"/>
    </row>
    <row r="363">
      <c r="A363" s="5" t="s">
        <v>878</v>
      </c>
      <c r="B363" s="5">
        <v>1.0</v>
      </c>
      <c r="C363" s="5"/>
      <c r="D363" s="5"/>
      <c r="E363" s="24"/>
      <c r="F363" s="28"/>
      <c r="G363" s="5"/>
      <c r="H363" s="5"/>
      <c r="I363" s="46"/>
      <c r="K363" s="24"/>
      <c r="L363" s="5"/>
    </row>
    <row r="364">
      <c r="A364" s="5" t="s">
        <v>879</v>
      </c>
      <c r="B364" s="5">
        <v>1.0</v>
      </c>
      <c r="C364" s="5"/>
      <c r="D364" s="5"/>
      <c r="E364" s="24"/>
      <c r="F364" s="28"/>
      <c r="G364" s="5"/>
      <c r="H364" s="5"/>
      <c r="I364" s="46"/>
      <c r="K364" s="24"/>
      <c r="L364" s="5"/>
    </row>
    <row r="365">
      <c r="A365" s="5" t="s">
        <v>880</v>
      </c>
      <c r="B365" s="5">
        <v>1.0</v>
      </c>
      <c r="C365" s="5"/>
      <c r="D365" s="5"/>
      <c r="E365" s="24"/>
      <c r="F365" s="28"/>
      <c r="G365" s="5"/>
      <c r="H365" s="5"/>
      <c r="I365" s="46"/>
      <c r="K365" s="24"/>
      <c r="L365" s="5"/>
    </row>
    <row r="366">
      <c r="A366" s="5" t="s">
        <v>881</v>
      </c>
      <c r="B366" s="5">
        <v>1.0</v>
      </c>
      <c r="C366" s="5"/>
      <c r="D366" s="5"/>
      <c r="E366" s="24"/>
      <c r="F366" s="28"/>
      <c r="G366" s="5"/>
      <c r="H366" s="5"/>
      <c r="I366" s="46"/>
      <c r="K366" s="24"/>
      <c r="L366" s="5"/>
    </row>
    <row r="367">
      <c r="A367" s="5" t="s">
        <v>882</v>
      </c>
      <c r="B367" s="5">
        <v>1.0</v>
      </c>
      <c r="C367" s="5"/>
      <c r="D367" s="5"/>
      <c r="E367" s="24"/>
      <c r="F367" s="28"/>
      <c r="G367" s="5"/>
      <c r="H367" s="5"/>
      <c r="I367" s="46"/>
      <c r="K367" s="24"/>
      <c r="L367" s="5"/>
    </row>
    <row r="368">
      <c r="A368" s="5" t="s">
        <v>883</v>
      </c>
      <c r="B368" s="5">
        <v>1.0</v>
      </c>
      <c r="C368" s="5"/>
      <c r="D368" s="5"/>
      <c r="E368" s="24"/>
      <c r="F368" s="28"/>
      <c r="G368" s="5"/>
      <c r="H368" s="5"/>
      <c r="I368" s="46"/>
      <c r="K368" s="24"/>
      <c r="L368" s="5"/>
    </row>
    <row r="369">
      <c r="A369" s="5" t="s">
        <v>884</v>
      </c>
      <c r="B369" s="5">
        <v>1.0</v>
      </c>
      <c r="C369" s="5"/>
      <c r="D369" s="5"/>
      <c r="E369" s="24"/>
      <c r="F369" s="28"/>
      <c r="G369" s="5"/>
      <c r="H369" s="5"/>
      <c r="I369" s="46"/>
      <c r="K369" s="24"/>
      <c r="L369" s="5"/>
    </row>
    <row r="370">
      <c r="A370" s="5" t="s">
        <v>885</v>
      </c>
      <c r="B370" s="5">
        <v>1.0</v>
      </c>
      <c r="C370" s="5"/>
      <c r="D370" s="5"/>
      <c r="E370" s="24"/>
      <c r="F370" s="28"/>
      <c r="G370" s="5"/>
      <c r="H370" s="5"/>
      <c r="I370" s="46"/>
      <c r="K370" s="24"/>
      <c r="L370" s="5"/>
    </row>
    <row r="371">
      <c r="A371" s="5" t="s">
        <v>886</v>
      </c>
      <c r="B371" s="5">
        <v>1.0</v>
      </c>
      <c r="C371" s="5"/>
      <c r="D371" s="5"/>
      <c r="E371" s="24"/>
      <c r="F371" s="28"/>
      <c r="G371" s="5"/>
      <c r="H371" s="5"/>
      <c r="I371" s="46"/>
      <c r="K371" s="24"/>
      <c r="L371" s="5"/>
    </row>
    <row r="372">
      <c r="A372" s="5" t="s">
        <v>887</v>
      </c>
      <c r="B372" s="5">
        <v>1.0</v>
      </c>
      <c r="C372" s="5"/>
      <c r="D372" s="5"/>
      <c r="E372" s="24"/>
      <c r="F372" s="28"/>
      <c r="G372" s="5"/>
      <c r="H372" s="5"/>
      <c r="I372" s="46"/>
      <c r="K372" s="24"/>
      <c r="L372" s="5"/>
    </row>
    <row r="373">
      <c r="A373" s="5" t="s">
        <v>888</v>
      </c>
      <c r="B373" s="5">
        <v>1.0</v>
      </c>
      <c r="C373" s="5"/>
      <c r="D373" s="5"/>
      <c r="E373" s="24"/>
      <c r="F373" s="28"/>
      <c r="G373" s="5"/>
      <c r="H373" s="5"/>
      <c r="I373" s="46"/>
      <c r="K373" s="24"/>
      <c r="L373" s="5"/>
    </row>
    <row r="374">
      <c r="A374" s="5" t="s">
        <v>889</v>
      </c>
      <c r="B374" s="5">
        <v>1.0</v>
      </c>
      <c r="C374" s="5"/>
      <c r="D374" s="5"/>
      <c r="E374" s="24"/>
      <c r="F374" s="28"/>
      <c r="G374" s="5"/>
      <c r="H374" s="5"/>
      <c r="I374" s="46"/>
      <c r="K374" s="24"/>
      <c r="L374" s="5"/>
    </row>
    <row r="375">
      <c r="A375" s="5" t="s">
        <v>890</v>
      </c>
      <c r="B375" s="5">
        <v>1.0</v>
      </c>
      <c r="C375" s="5"/>
      <c r="D375" s="5"/>
      <c r="E375" s="24"/>
      <c r="F375" s="28"/>
      <c r="G375" s="5"/>
      <c r="H375" s="5"/>
      <c r="I375" s="46"/>
      <c r="K375" s="24"/>
      <c r="L375" s="5"/>
    </row>
    <row r="376">
      <c r="A376" s="5" t="s">
        <v>891</v>
      </c>
      <c r="B376" s="5">
        <v>1.0</v>
      </c>
      <c r="C376" s="5"/>
      <c r="D376" s="5"/>
      <c r="E376" s="24"/>
      <c r="F376" s="28"/>
      <c r="G376" s="5"/>
      <c r="H376" s="5"/>
      <c r="I376" s="46"/>
      <c r="K376" s="24"/>
      <c r="L376" s="5"/>
    </row>
    <row r="377">
      <c r="A377" s="5" t="s">
        <v>892</v>
      </c>
      <c r="B377" s="5">
        <v>1.0</v>
      </c>
      <c r="C377" s="5"/>
      <c r="D377" s="5"/>
      <c r="E377" s="24"/>
      <c r="F377" s="28"/>
      <c r="G377" s="5"/>
      <c r="H377" s="5"/>
      <c r="I377" s="46"/>
      <c r="K377" s="24"/>
      <c r="L377" s="5"/>
    </row>
    <row r="378">
      <c r="A378" s="5" t="s">
        <v>893</v>
      </c>
      <c r="B378" s="5">
        <v>1.0</v>
      </c>
      <c r="C378" s="5"/>
      <c r="D378" s="5"/>
      <c r="E378" s="24"/>
      <c r="F378" s="28"/>
      <c r="G378" s="5"/>
      <c r="H378" s="5"/>
      <c r="I378" s="46"/>
      <c r="K378" s="24"/>
      <c r="L378" s="5"/>
    </row>
    <row r="379">
      <c r="A379" s="5" t="s">
        <v>894</v>
      </c>
      <c r="B379" s="5">
        <v>1.0</v>
      </c>
      <c r="C379" s="5"/>
      <c r="D379" s="5"/>
      <c r="E379" s="24"/>
      <c r="F379" s="28"/>
      <c r="G379" s="5"/>
      <c r="H379" s="5"/>
      <c r="I379" s="46"/>
      <c r="K379" s="24"/>
      <c r="L379" s="5"/>
    </row>
    <row r="380">
      <c r="A380" s="5" t="s">
        <v>895</v>
      </c>
      <c r="B380" s="5">
        <v>1.0</v>
      </c>
      <c r="C380" s="5"/>
      <c r="D380" s="5"/>
      <c r="E380" s="24"/>
      <c r="F380" s="28"/>
      <c r="G380" s="5"/>
      <c r="H380" s="5"/>
      <c r="I380" s="46"/>
      <c r="K380" s="24"/>
      <c r="L380" s="5"/>
    </row>
    <row r="381">
      <c r="A381" s="5" t="s">
        <v>896</v>
      </c>
      <c r="B381" s="5">
        <v>1.0</v>
      </c>
      <c r="C381" s="5"/>
      <c r="D381" s="5"/>
      <c r="E381" s="24"/>
      <c r="F381" s="28"/>
      <c r="G381" s="5"/>
      <c r="H381" s="5"/>
      <c r="I381" s="46"/>
      <c r="K381" s="24"/>
      <c r="L381" s="5"/>
    </row>
    <row r="382">
      <c r="A382" s="5" t="s">
        <v>897</v>
      </c>
      <c r="B382" s="5">
        <v>1.0</v>
      </c>
      <c r="C382" s="5"/>
      <c r="D382" s="5"/>
      <c r="E382" s="24"/>
      <c r="F382" s="28"/>
      <c r="G382" s="5"/>
      <c r="H382" s="5"/>
      <c r="I382" s="46"/>
      <c r="K382" s="24"/>
      <c r="L382" s="5"/>
    </row>
    <row r="383">
      <c r="A383" s="5" t="s">
        <v>898</v>
      </c>
      <c r="B383" s="5">
        <v>1.0</v>
      </c>
      <c r="C383" s="5"/>
      <c r="D383" s="5"/>
      <c r="E383" s="24"/>
      <c r="F383" s="28"/>
      <c r="G383" s="5"/>
      <c r="H383" s="5"/>
      <c r="I383" s="46"/>
      <c r="K383" s="24"/>
      <c r="L383" s="5"/>
    </row>
    <row r="384">
      <c r="A384" s="5" t="s">
        <v>899</v>
      </c>
      <c r="B384" s="5">
        <v>1.0</v>
      </c>
      <c r="C384" s="5"/>
      <c r="D384" s="5"/>
      <c r="E384" s="24"/>
      <c r="F384" s="28"/>
      <c r="G384" s="5"/>
      <c r="H384" s="5"/>
      <c r="I384" s="46"/>
      <c r="K384" s="24"/>
      <c r="L384" s="5"/>
    </row>
    <row r="385">
      <c r="A385" s="5" t="s">
        <v>900</v>
      </c>
      <c r="B385" s="5">
        <v>1.0</v>
      </c>
      <c r="C385" s="5"/>
      <c r="D385" s="5"/>
      <c r="E385" s="24"/>
      <c r="F385" s="28"/>
      <c r="G385" s="5"/>
      <c r="H385" s="5"/>
      <c r="I385" s="46"/>
      <c r="K385" s="24"/>
      <c r="L385" s="5"/>
    </row>
    <row r="386">
      <c r="A386" s="5" t="s">
        <v>901</v>
      </c>
      <c r="B386" s="5">
        <v>1.0</v>
      </c>
      <c r="C386" s="5"/>
      <c r="D386" s="5"/>
      <c r="E386" s="24"/>
      <c r="F386" s="28"/>
      <c r="G386" s="5"/>
      <c r="H386" s="5"/>
      <c r="I386" s="46"/>
      <c r="K386" s="24"/>
      <c r="L386" s="5"/>
    </row>
    <row r="387">
      <c r="A387" s="5" t="s">
        <v>902</v>
      </c>
      <c r="B387" s="5">
        <v>1.0</v>
      </c>
      <c r="C387" s="5"/>
      <c r="D387" s="5"/>
      <c r="E387" s="24"/>
      <c r="F387" s="28"/>
      <c r="G387" s="5"/>
      <c r="H387" s="5"/>
      <c r="I387" s="46"/>
      <c r="K387" s="24"/>
      <c r="L387" s="5"/>
    </row>
    <row r="388">
      <c r="A388" s="5" t="s">
        <v>903</v>
      </c>
      <c r="B388" s="5">
        <v>1.0</v>
      </c>
      <c r="C388" s="5"/>
      <c r="D388" s="5"/>
      <c r="E388" s="24"/>
      <c r="F388" s="28"/>
      <c r="G388" s="5"/>
      <c r="H388" s="5"/>
      <c r="I388" s="46"/>
      <c r="K388" s="24"/>
      <c r="L388" s="5"/>
    </row>
    <row r="389">
      <c r="A389" s="5" t="s">
        <v>904</v>
      </c>
      <c r="B389" s="5">
        <v>1.0</v>
      </c>
      <c r="C389" s="5"/>
      <c r="D389" s="5"/>
      <c r="E389" s="24"/>
      <c r="F389" s="28"/>
      <c r="G389" s="5"/>
      <c r="H389" s="5"/>
      <c r="I389" s="46"/>
      <c r="K389" s="24"/>
      <c r="L389" s="5"/>
    </row>
    <row r="390">
      <c r="A390" s="5" t="s">
        <v>905</v>
      </c>
      <c r="B390" s="5">
        <v>1.0</v>
      </c>
      <c r="C390" s="5"/>
      <c r="D390" s="5"/>
      <c r="E390" s="24"/>
      <c r="F390" s="28"/>
      <c r="G390" s="5"/>
      <c r="H390" s="5"/>
      <c r="I390" s="46"/>
      <c r="K390" s="24"/>
      <c r="L390" s="5"/>
    </row>
    <row r="391">
      <c r="A391" s="5" t="s">
        <v>906</v>
      </c>
      <c r="B391" s="5">
        <v>1.0</v>
      </c>
      <c r="C391" s="5"/>
      <c r="D391" s="5"/>
      <c r="E391" s="24"/>
      <c r="F391" s="28"/>
      <c r="G391" s="5"/>
      <c r="H391" s="5"/>
      <c r="I391" s="46"/>
      <c r="K391" s="24"/>
      <c r="L391" s="5"/>
    </row>
    <row r="392">
      <c r="A392" s="5" t="s">
        <v>907</v>
      </c>
      <c r="B392" s="5">
        <v>1.0</v>
      </c>
      <c r="C392" s="5"/>
      <c r="D392" s="5"/>
      <c r="E392" s="24"/>
      <c r="F392" s="28"/>
      <c r="G392" s="5"/>
      <c r="H392" s="5"/>
      <c r="I392" s="46"/>
      <c r="K392" s="24"/>
      <c r="L392" s="5"/>
    </row>
    <row r="393">
      <c r="A393" s="5" t="s">
        <v>908</v>
      </c>
      <c r="B393" s="5">
        <v>1.0</v>
      </c>
      <c r="C393" s="5"/>
      <c r="D393" s="5"/>
      <c r="E393" s="24"/>
      <c r="F393" s="28"/>
      <c r="G393" s="5"/>
      <c r="H393" s="5"/>
      <c r="I393" s="46"/>
      <c r="K393" s="24"/>
      <c r="L393" s="5"/>
    </row>
    <row r="394">
      <c r="A394" s="5" t="s">
        <v>909</v>
      </c>
      <c r="B394" s="5">
        <v>1.0</v>
      </c>
      <c r="C394" s="5"/>
      <c r="D394" s="5"/>
      <c r="E394" s="24"/>
      <c r="F394" s="28"/>
      <c r="G394" s="5"/>
      <c r="H394" s="5"/>
      <c r="I394" s="46"/>
      <c r="K394" s="24"/>
      <c r="L394" s="5"/>
    </row>
    <row r="395">
      <c r="A395" s="5" t="s">
        <v>910</v>
      </c>
      <c r="B395" s="5">
        <v>1.0</v>
      </c>
      <c r="C395" s="5"/>
      <c r="D395" s="5"/>
      <c r="E395" s="24"/>
      <c r="F395" s="28"/>
      <c r="G395" s="5"/>
      <c r="H395" s="5"/>
      <c r="I395" s="46"/>
      <c r="K395" s="24"/>
      <c r="L395" s="5"/>
    </row>
    <row r="396">
      <c r="A396" s="5" t="s">
        <v>911</v>
      </c>
      <c r="B396" s="5">
        <v>1.0</v>
      </c>
      <c r="C396" s="5"/>
      <c r="D396" s="5"/>
      <c r="E396" s="24"/>
      <c r="F396" s="28"/>
      <c r="G396" s="5"/>
      <c r="H396" s="5"/>
      <c r="I396" s="46"/>
      <c r="K396" s="24"/>
      <c r="L396" s="5"/>
    </row>
    <row r="397">
      <c r="A397" s="5" t="s">
        <v>912</v>
      </c>
      <c r="B397" s="5">
        <v>1.0</v>
      </c>
      <c r="C397" s="5"/>
      <c r="D397" s="5"/>
      <c r="E397" s="24"/>
      <c r="F397" s="28"/>
      <c r="G397" s="5"/>
      <c r="H397" s="5"/>
      <c r="I397" s="46"/>
      <c r="K397" s="24"/>
      <c r="L397" s="5"/>
    </row>
    <row r="398">
      <c r="A398" s="5" t="s">
        <v>913</v>
      </c>
      <c r="B398" s="5">
        <v>1.0</v>
      </c>
      <c r="C398" s="5"/>
      <c r="D398" s="5"/>
      <c r="E398" s="24"/>
      <c r="F398" s="28"/>
      <c r="G398" s="5"/>
      <c r="H398" s="5"/>
      <c r="I398" s="46"/>
      <c r="K398" s="24"/>
      <c r="L398" s="5"/>
    </row>
    <row r="399">
      <c r="A399" s="5" t="s">
        <v>914</v>
      </c>
      <c r="B399" s="5">
        <v>1.0</v>
      </c>
      <c r="C399" s="5"/>
      <c r="D399" s="5"/>
      <c r="E399" s="24"/>
      <c r="F399" s="28"/>
      <c r="G399" s="5"/>
      <c r="H399" s="5"/>
      <c r="I399" s="46"/>
      <c r="K399" s="24"/>
      <c r="L399" s="5"/>
    </row>
    <row r="400">
      <c r="A400" s="5" t="s">
        <v>915</v>
      </c>
      <c r="B400" s="5">
        <v>1.0</v>
      </c>
      <c r="C400" s="5"/>
      <c r="D400" s="5"/>
      <c r="E400" s="24"/>
      <c r="F400" s="28"/>
      <c r="G400" s="5"/>
      <c r="H400" s="5"/>
      <c r="I400" s="46"/>
      <c r="K400" s="24"/>
      <c r="L400" s="5"/>
    </row>
    <row r="401">
      <c r="A401" s="5" t="s">
        <v>916</v>
      </c>
      <c r="B401" s="5">
        <v>1.0</v>
      </c>
      <c r="C401" s="5"/>
      <c r="D401" s="5"/>
      <c r="E401" s="24"/>
      <c r="F401" s="28"/>
      <c r="G401" s="5"/>
      <c r="H401" s="5"/>
      <c r="I401" s="46"/>
      <c r="K401" s="24"/>
      <c r="L401" s="5"/>
    </row>
    <row r="402">
      <c r="A402" s="5" t="s">
        <v>917</v>
      </c>
      <c r="B402" s="5">
        <v>1.0</v>
      </c>
      <c r="C402" s="5"/>
      <c r="D402" s="5"/>
      <c r="E402" s="24"/>
      <c r="F402" s="28"/>
      <c r="G402" s="5"/>
      <c r="H402" s="5"/>
      <c r="I402" s="46"/>
      <c r="K402" s="24"/>
      <c r="L402" s="5"/>
    </row>
    <row r="403">
      <c r="A403" s="5" t="s">
        <v>918</v>
      </c>
      <c r="B403" s="5">
        <v>1.0</v>
      </c>
      <c r="C403" s="5"/>
      <c r="D403" s="5"/>
      <c r="E403" s="24"/>
      <c r="F403" s="28"/>
      <c r="G403" s="5"/>
      <c r="H403" s="5"/>
      <c r="I403" s="46"/>
      <c r="K403" s="24"/>
      <c r="L403" s="5"/>
    </row>
    <row r="404">
      <c r="A404" s="5" t="s">
        <v>919</v>
      </c>
      <c r="B404" s="5">
        <v>1.0</v>
      </c>
      <c r="C404" s="5"/>
      <c r="D404" s="5"/>
      <c r="E404" s="24"/>
      <c r="F404" s="28"/>
      <c r="G404" s="5"/>
      <c r="H404" s="5"/>
      <c r="I404" s="46"/>
      <c r="K404" s="24"/>
      <c r="L404" s="5"/>
    </row>
    <row r="405">
      <c r="A405" s="5" t="s">
        <v>920</v>
      </c>
      <c r="B405" s="5">
        <v>1.0</v>
      </c>
      <c r="C405" s="5"/>
      <c r="D405" s="5"/>
      <c r="E405" s="24"/>
      <c r="F405" s="28"/>
      <c r="G405" s="5"/>
      <c r="H405" s="5"/>
      <c r="I405" s="46"/>
      <c r="K405" s="24"/>
      <c r="L405" s="5"/>
    </row>
    <row r="406">
      <c r="A406" s="5" t="s">
        <v>921</v>
      </c>
      <c r="B406" s="5">
        <v>1.0</v>
      </c>
      <c r="C406" s="5"/>
      <c r="D406" s="5"/>
      <c r="E406" s="24"/>
      <c r="F406" s="28"/>
      <c r="G406" s="5"/>
      <c r="H406" s="5"/>
      <c r="I406" s="46"/>
      <c r="K406" s="24"/>
      <c r="L406" s="5"/>
    </row>
    <row r="407">
      <c r="A407" s="5" t="s">
        <v>922</v>
      </c>
      <c r="B407" s="5">
        <v>1.0</v>
      </c>
      <c r="C407" s="5"/>
      <c r="D407" s="5"/>
      <c r="E407" s="24"/>
      <c r="F407" s="28"/>
      <c r="G407" s="5"/>
      <c r="H407" s="5"/>
      <c r="I407" s="46"/>
      <c r="K407" s="24"/>
      <c r="L407" s="5"/>
    </row>
    <row r="408">
      <c r="A408" s="5" t="s">
        <v>923</v>
      </c>
      <c r="B408" s="5">
        <v>1.0</v>
      </c>
      <c r="C408" s="5"/>
      <c r="D408" s="5"/>
      <c r="E408" s="24"/>
      <c r="F408" s="28"/>
      <c r="G408" s="5"/>
      <c r="H408" s="5"/>
      <c r="I408" s="46"/>
      <c r="K408" s="24"/>
      <c r="L408" s="5"/>
    </row>
    <row r="409">
      <c r="A409" s="5" t="s">
        <v>924</v>
      </c>
      <c r="B409" s="5">
        <v>1.0</v>
      </c>
      <c r="C409" s="5"/>
      <c r="D409" s="5"/>
      <c r="E409" s="24"/>
      <c r="F409" s="28"/>
      <c r="G409" s="5"/>
      <c r="H409" s="5"/>
      <c r="I409" s="46"/>
      <c r="K409" s="24"/>
      <c r="L409" s="5"/>
    </row>
    <row r="410">
      <c r="A410" s="5" t="s">
        <v>925</v>
      </c>
      <c r="B410" s="5">
        <v>1.0</v>
      </c>
      <c r="C410" s="5"/>
      <c r="D410" s="5"/>
      <c r="E410" s="24"/>
      <c r="F410" s="28"/>
      <c r="G410" s="5"/>
      <c r="H410" s="5"/>
      <c r="I410" s="46"/>
      <c r="K410" s="24"/>
      <c r="L410" s="5"/>
    </row>
    <row r="411">
      <c r="A411" s="5" t="s">
        <v>926</v>
      </c>
      <c r="B411" s="5">
        <v>1.0</v>
      </c>
      <c r="C411" s="5"/>
      <c r="D411" s="5"/>
      <c r="E411" s="24"/>
      <c r="F411" s="28"/>
      <c r="G411" s="5"/>
      <c r="H411" s="5"/>
      <c r="I411" s="46"/>
      <c r="K411" s="24"/>
      <c r="L411" s="5"/>
    </row>
    <row r="412">
      <c r="A412" s="5" t="s">
        <v>927</v>
      </c>
      <c r="B412" s="5">
        <v>1.0</v>
      </c>
      <c r="C412" s="5"/>
      <c r="D412" s="5"/>
      <c r="E412" s="24"/>
      <c r="F412" s="28"/>
      <c r="G412" s="5"/>
      <c r="H412" s="5"/>
      <c r="I412" s="46"/>
      <c r="K412" s="24"/>
      <c r="L412" s="5"/>
    </row>
    <row r="413">
      <c r="A413" s="5" t="s">
        <v>928</v>
      </c>
      <c r="B413" s="5">
        <v>1.0</v>
      </c>
      <c r="C413" s="5"/>
      <c r="D413" s="5"/>
      <c r="E413" s="24"/>
      <c r="F413" s="28"/>
      <c r="G413" s="5"/>
      <c r="H413" s="5"/>
      <c r="I413" s="46"/>
      <c r="K413" s="24"/>
      <c r="L413" s="5"/>
    </row>
    <row r="414">
      <c r="A414" s="5" t="s">
        <v>929</v>
      </c>
      <c r="B414" s="5">
        <v>1.0</v>
      </c>
      <c r="C414" s="5"/>
      <c r="D414" s="5"/>
      <c r="E414" s="24"/>
      <c r="F414" s="28"/>
      <c r="G414" s="5"/>
      <c r="H414" s="5"/>
      <c r="I414" s="46"/>
      <c r="K414" s="24"/>
      <c r="L414" s="5"/>
    </row>
    <row r="415">
      <c r="A415" s="5" t="s">
        <v>930</v>
      </c>
      <c r="B415" s="5">
        <v>1.0</v>
      </c>
      <c r="C415" s="5"/>
      <c r="D415" s="5"/>
      <c r="E415" s="24"/>
      <c r="F415" s="28"/>
      <c r="G415" s="5"/>
      <c r="H415" s="5"/>
      <c r="I415" s="46"/>
      <c r="K415" s="24"/>
      <c r="L415" s="5"/>
    </row>
    <row r="416">
      <c r="A416" s="5" t="s">
        <v>931</v>
      </c>
      <c r="B416" s="5">
        <v>1.0</v>
      </c>
      <c r="C416" s="5"/>
      <c r="D416" s="5"/>
      <c r="E416" s="24"/>
      <c r="F416" s="28"/>
      <c r="G416" s="5"/>
      <c r="H416" s="5"/>
      <c r="I416" s="46"/>
      <c r="K416" s="24"/>
      <c r="L416" s="5"/>
    </row>
    <row r="417">
      <c r="A417" s="5" t="s">
        <v>932</v>
      </c>
      <c r="B417" s="5">
        <v>1.0</v>
      </c>
      <c r="C417" s="5"/>
      <c r="D417" s="5"/>
      <c r="E417" s="24"/>
      <c r="F417" s="28"/>
      <c r="G417" s="5"/>
      <c r="H417" s="5"/>
      <c r="I417" s="46"/>
      <c r="K417" s="24"/>
      <c r="L417" s="5"/>
    </row>
    <row r="418">
      <c r="A418" s="5" t="s">
        <v>933</v>
      </c>
      <c r="B418" s="5">
        <v>1.0</v>
      </c>
      <c r="C418" s="5"/>
      <c r="D418" s="5"/>
      <c r="E418" s="24"/>
      <c r="F418" s="28"/>
      <c r="G418" s="5"/>
      <c r="H418" s="5"/>
      <c r="I418" s="46"/>
      <c r="K418" s="24"/>
      <c r="L418" s="5"/>
    </row>
    <row r="419">
      <c r="A419" s="5" t="s">
        <v>934</v>
      </c>
      <c r="B419" s="5">
        <v>1.0</v>
      </c>
      <c r="C419" s="5"/>
      <c r="D419" s="5"/>
      <c r="E419" s="24"/>
      <c r="F419" s="28"/>
      <c r="G419" s="5"/>
      <c r="H419" s="5"/>
      <c r="I419" s="46"/>
      <c r="K419" s="24"/>
      <c r="L419" s="5"/>
    </row>
    <row r="420">
      <c r="A420" s="5" t="s">
        <v>935</v>
      </c>
      <c r="B420" s="5">
        <v>1.0</v>
      </c>
      <c r="C420" s="5"/>
      <c r="D420" s="5"/>
      <c r="E420" s="24"/>
      <c r="F420" s="28"/>
      <c r="G420" s="5"/>
      <c r="H420" s="5"/>
      <c r="I420" s="46"/>
      <c r="K420" s="24"/>
      <c r="L420" s="5"/>
    </row>
    <row r="421">
      <c r="A421" s="5" t="s">
        <v>936</v>
      </c>
      <c r="B421" s="5">
        <v>1.0</v>
      </c>
      <c r="C421" s="5"/>
      <c r="D421" s="5"/>
      <c r="E421" s="24"/>
      <c r="F421" s="28"/>
      <c r="G421" s="5"/>
      <c r="H421" s="5"/>
      <c r="I421" s="46"/>
      <c r="K421" s="24"/>
      <c r="L421" s="5"/>
    </row>
    <row r="422">
      <c r="A422" s="5" t="s">
        <v>937</v>
      </c>
      <c r="B422" s="5">
        <v>1.0</v>
      </c>
      <c r="C422" s="5"/>
      <c r="D422" s="5"/>
      <c r="E422" s="24"/>
      <c r="F422" s="28"/>
      <c r="G422" s="5"/>
      <c r="H422" s="5"/>
      <c r="I422" s="46"/>
      <c r="K422" s="24"/>
      <c r="L422" s="5"/>
    </row>
    <row r="423">
      <c r="A423" s="5" t="s">
        <v>938</v>
      </c>
      <c r="B423" s="5">
        <v>1.0</v>
      </c>
      <c r="C423" s="5"/>
      <c r="D423" s="5"/>
      <c r="E423" s="24"/>
      <c r="F423" s="28"/>
      <c r="G423" s="5"/>
      <c r="H423" s="5"/>
      <c r="I423" s="46"/>
      <c r="K423" s="24"/>
      <c r="L423" s="5"/>
    </row>
    <row r="424">
      <c r="A424" s="5" t="s">
        <v>939</v>
      </c>
      <c r="B424" s="5">
        <v>1.0</v>
      </c>
      <c r="C424" s="5"/>
      <c r="D424" s="5"/>
      <c r="E424" s="24"/>
      <c r="F424" s="28"/>
      <c r="G424" s="5"/>
      <c r="H424" s="5"/>
      <c r="I424" s="46"/>
      <c r="K424" s="24"/>
      <c r="L424" s="5"/>
    </row>
    <row r="425">
      <c r="A425" s="5" t="s">
        <v>940</v>
      </c>
      <c r="B425" s="5">
        <v>1.0</v>
      </c>
      <c r="C425" s="5"/>
      <c r="D425" s="5"/>
      <c r="E425" s="24"/>
      <c r="F425" s="28"/>
      <c r="G425" s="5"/>
      <c r="H425" s="5"/>
      <c r="I425" s="46"/>
      <c r="K425" s="24"/>
      <c r="L425" s="5"/>
    </row>
    <row r="426">
      <c r="A426" s="5" t="s">
        <v>941</v>
      </c>
      <c r="B426" s="5">
        <v>1.0</v>
      </c>
      <c r="C426" s="5"/>
      <c r="D426" s="5"/>
      <c r="E426" s="24"/>
      <c r="F426" s="28"/>
      <c r="G426" s="5"/>
      <c r="H426" s="5"/>
      <c r="I426" s="46"/>
      <c r="K426" s="24"/>
      <c r="L426" s="5"/>
    </row>
    <row r="427">
      <c r="A427" s="5" t="s">
        <v>942</v>
      </c>
      <c r="B427" s="5">
        <v>1.0</v>
      </c>
      <c r="C427" s="5"/>
      <c r="D427" s="5"/>
      <c r="E427" s="24"/>
      <c r="F427" s="28"/>
      <c r="G427" s="5"/>
      <c r="H427" s="5"/>
      <c r="I427" s="46"/>
      <c r="K427" s="24"/>
      <c r="L427" s="5"/>
    </row>
    <row r="428">
      <c r="A428" s="5" t="s">
        <v>943</v>
      </c>
      <c r="B428" s="5">
        <v>1.0</v>
      </c>
      <c r="C428" s="5"/>
      <c r="D428" s="5"/>
      <c r="E428" s="24"/>
      <c r="F428" s="28"/>
      <c r="G428" s="5"/>
      <c r="H428" s="5"/>
      <c r="I428" s="46"/>
      <c r="K428" s="24"/>
      <c r="L428" s="5"/>
    </row>
    <row r="429">
      <c r="A429" s="5" t="s">
        <v>944</v>
      </c>
      <c r="B429" s="5">
        <v>1.0</v>
      </c>
      <c r="C429" s="5"/>
      <c r="D429" s="5"/>
      <c r="E429" s="24"/>
      <c r="F429" s="28"/>
      <c r="G429" s="5"/>
      <c r="H429" s="5"/>
      <c r="I429" s="46"/>
      <c r="K429" s="24"/>
      <c r="L429" s="5"/>
    </row>
    <row r="430">
      <c r="A430" s="5" t="s">
        <v>945</v>
      </c>
      <c r="B430" s="5">
        <v>1.0</v>
      </c>
      <c r="C430" s="5"/>
      <c r="D430" s="5"/>
      <c r="E430" s="24"/>
      <c r="F430" s="28"/>
      <c r="G430" s="5"/>
      <c r="H430" s="5"/>
      <c r="I430" s="46"/>
      <c r="K430" s="24"/>
      <c r="L430" s="5"/>
    </row>
    <row r="431">
      <c r="A431" s="5" t="s">
        <v>946</v>
      </c>
      <c r="B431" s="5">
        <v>1.0</v>
      </c>
      <c r="C431" s="5"/>
      <c r="D431" s="5"/>
      <c r="E431" s="24"/>
      <c r="F431" s="28"/>
      <c r="G431" s="5"/>
      <c r="H431" s="5"/>
      <c r="I431" s="46"/>
      <c r="K431" s="24"/>
      <c r="L431" s="5"/>
    </row>
    <row r="432">
      <c r="A432" s="5" t="s">
        <v>947</v>
      </c>
      <c r="B432" s="5">
        <v>1.0</v>
      </c>
      <c r="C432" s="5"/>
      <c r="D432" s="5"/>
      <c r="E432" s="24"/>
      <c r="F432" s="28"/>
      <c r="G432" s="5"/>
      <c r="H432" s="5"/>
      <c r="I432" s="46"/>
      <c r="K432" s="24"/>
      <c r="L432" s="5"/>
    </row>
    <row r="433">
      <c r="A433" s="5" t="s">
        <v>948</v>
      </c>
      <c r="B433" s="5">
        <v>1.0</v>
      </c>
      <c r="C433" s="5"/>
      <c r="D433" s="5"/>
      <c r="E433" s="24"/>
      <c r="F433" s="28"/>
      <c r="G433" s="5"/>
      <c r="H433" s="5"/>
      <c r="I433" s="46"/>
      <c r="K433" s="24"/>
      <c r="L433" s="5"/>
    </row>
    <row r="434">
      <c r="A434" s="5" t="s">
        <v>949</v>
      </c>
      <c r="B434" s="5">
        <v>1.0</v>
      </c>
      <c r="C434" s="5"/>
      <c r="D434" s="5"/>
      <c r="E434" s="24"/>
      <c r="F434" s="28"/>
      <c r="G434" s="5"/>
      <c r="H434" s="5"/>
      <c r="I434" s="46"/>
      <c r="K434" s="24"/>
      <c r="L434" s="5"/>
    </row>
    <row r="435">
      <c r="A435" s="5" t="s">
        <v>950</v>
      </c>
      <c r="B435" s="5">
        <v>1.0</v>
      </c>
      <c r="C435" s="5"/>
      <c r="D435" s="5"/>
      <c r="E435" s="24"/>
      <c r="F435" s="28"/>
      <c r="G435" s="5"/>
      <c r="H435" s="5"/>
      <c r="I435" s="46"/>
      <c r="K435" s="24"/>
      <c r="L435" s="5"/>
    </row>
    <row r="436">
      <c r="A436" s="5" t="s">
        <v>951</v>
      </c>
      <c r="B436" s="5">
        <v>1.0</v>
      </c>
      <c r="C436" s="5"/>
      <c r="D436" s="5"/>
      <c r="E436" s="24"/>
      <c r="F436" s="28"/>
      <c r="G436" s="5"/>
      <c r="H436" s="5"/>
      <c r="I436" s="46"/>
      <c r="K436" s="24"/>
      <c r="L436" s="5"/>
    </row>
    <row r="437">
      <c r="A437" s="5" t="s">
        <v>952</v>
      </c>
      <c r="B437" s="5">
        <v>1.0</v>
      </c>
      <c r="C437" s="5"/>
      <c r="D437" s="5"/>
      <c r="E437" s="24"/>
      <c r="F437" s="28"/>
      <c r="G437" s="5"/>
      <c r="H437" s="5"/>
      <c r="I437" s="46"/>
      <c r="K437" s="24"/>
      <c r="L437" s="5"/>
    </row>
    <row r="438">
      <c r="A438" s="5" t="s">
        <v>953</v>
      </c>
      <c r="B438" s="5">
        <v>1.0</v>
      </c>
      <c r="C438" s="5"/>
      <c r="D438" s="5"/>
      <c r="E438" s="24"/>
      <c r="F438" s="28"/>
      <c r="G438" s="5"/>
      <c r="H438" s="5"/>
      <c r="I438" s="46"/>
      <c r="K438" s="24"/>
      <c r="L438" s="5"/>
    </row>
    <row r="439">
      <c r="A439" s="5" t="s">
        <v>954</v>
      </c>
      <c r="B439" s="5">
        <v>1.0</v>
      </c>
      <c r="C439" s="5"/>
      <c r="D439" s="5"/>
      <c r="E439" s="24"/>
      <c r="F439" s="28"/>
      <c r="G439" s="5"/>
      <c r="H439" s="5"/>
      <c r="I439" s="46"/>
      <c r="K439" s="24"/>
      <c r="L439" s="5"/>
    </row>
    <row r="440">
      <c r="A440" s="5" t="s">
        <v>955</v>
      </c>
      <c r="B440" s="5">
        <v>1.0</v>
      </c>
      <c r="C440" s="5"/>
      <c r="D440" s="5"/>
      <c r="E440" s="24"/>
      <c r="F440" s="28"/>
      <c r="G440" s="5"/>
      <c r="H440" s="5"/>
      <c r="I440" s="46"/>
      <c r="K440" s="24"/>
      <c r="L440" s="5"/>
    </row>
    <row r="441">
      <c r="A441" s="5" t="s">
        <v>956</v>
      </c>
      <c r="B441" s="5">
        <v>1.0</v>
      </c>
      <c r="C441" s="5"/>
      <c r="D441" s="5"/>
      <c r="E441" s="24"/>
      <c r="F441" s="28"/>
      <c r="G441" s="5"/>
      <c r="H441" s="5"/>
      <c r="I441" s="46"/>
      <c r="K441" s="24"/>
      <c r="L441" s="5"/>
    </row>
    <row r="442">
      <c r="A442" s="5" t="s">
        <v>957</v>
      </c>
      <c r="B442" s="5">
        <v>1.0</v>
      </c>
      <c r="C442" s="5"/>
      <c r="D442" s="5"/>
      <c r="E442" s="24"/>
      <c r="F442" s="28"/>
      <c r="G442" s="5"/>
      <c r="H442" s="5"/>
      <c r="I442" s="46"/>
      <c r="K442" s="24"/>
      <c r="L442" s="5"/>
    </row>
    <row r="443">
      <c r="A443" s="5" t="s">
        <v>958</v>
      </c>
      <c r="B443" s="5">
        <v>1.0</v>
      </c>
      <c r="C443" s="5"/>
      <c r="D443" s="5"/>
      <c r="E443" s="24"/>
      <c r="F443" s="28"/>
      <c r="G443" s="5"/>
      <c r="H443" s="5"/>
      <c r="I443" s="46"/>
      <c r="K443" s="24"/>
      <c r="L443" s="5"/>
    </row>
    <row r="444">
      <c r="A444" s="5" t="s">
        <v>959</v>
      </c>
      <c r="B444" s="5">
        <v>1.0</v>
      </c>
      <c r="C444" s="5"/>
      <c r="D444" s="5"/>
      <c r="E444" s="24"/>
      <c r="F444" s="28"/>
      <c r="G444" s="5"/>
      <c r="H444" s="5"/>
      <c r="I444" s="46"/>
      <c r="K444" s="24"/>
      <c r="L444" s="5"/>
    </row>
    <row r="445">
      <c r="A445" s="5" t="s">
        <v>960</v>
      </c>
      <c r="B445" s="5">
        <v>1.0</v>
      </c>
      <c r="C445" s="5"/>
      <c r="D445" s="5"/>
      <c r="E445" s="24"/>
      <c r="F445" s="28"/>
      <c r="G445" s="5"/>
      <c r="H445" s="5"/>
      <c r="I445" s="46"/>
      <c r="K445" s="24"/>
      <c r="L445" s="5"/>
    </row>
    <row r="446">
      <c r="A446" s="5" t="s">
        <v>961</v>
      </c>
      <c r="B446" s="5">
        <v>1.0</v>
      </c>
      <c r="C446" s="5"/>
      <c r="D446" s="5"/>
      <c r="E446" s="24"/>
      <c r="F446" s="28"/>
      <c r="G446" s="5"/>
      <c r="H446" s="5"/>
      <c r="I446" s="46"/>
      <c r="K446" s="24"/>
      <c r="L446" s="5"/>
    </row>
    <row r="447">
      <c r="A447" s="5" t="s">
        <v>962</v>
      </c>
      <c r="B447" s="5">
        <v>1.0</v>
      </c>
      <c r="C447" s="5"/>
      <c r="D447" s="5"/>
      <c r="E447" s="24"/>
      <c r="F447" s="28"/>
      <c r="G447" s="5"/>
      <c r="H447" s="5"/>
      <c r="I447" s="46"/>
      <c r="K447" s="24"/>
      <c r="L447" s="5"/>
    </row>
    <row r="448">
      <c r="A448" s="5" t="s">
        <v>963</v>
      </c>
      <c r="B448" s="5">
        <v>1.0</v>
      </c>
      <c r="C448" s="5"/>
      <c r="D448" s="5"/>
      <c r="E448" s="24"/>
      <c r="F448" s="28"/>
      <c r="G448" s="5"/>
      <c r="H448" s="5"/>
      <c r="I448" s="46"/>
      <c r="K448" s="24"/>
      <c r="L448" s="5"/>
    </row>
    <row r="449">
      <c r="A449" s="5" t="s">
        <v>964</v>
      </c>
      <c r="B449" s="5">
        <v>1.0</v>
      </c>
      <c r="C449" s="5"/>
      <c r="D449" s="5"/>
      <c r="E449" s="24"/>
      <c r="F449" s="28"/>
      <c r="G449" s="5"/>
      <c r="H449" s="5"/>
      <c r="I449" s="46"/>
      <c r="K449" s="24"/>
      <c r="L449" s="5"/>
    </row>
    <row r="450">
      <c r="A450" s="5" t="s">
        <v>965</v>
      </c>
      <c r="B450" s="5">
        <v>1.0</v>
      </c>
      <c r="C450" s="5"/>
      <c r="D450" s="5"/>
      <c r="E450" s="24"/>
      <c r="F450" s="28"/>
      <c r="G450" s="5"/>
      <c r="H450" s="5"/>
      <c r="I450" s="46"/>
      <c r="K450" s="24"/>
      <c r="L450" s="5"/>
    </row>
    <row r="451">
      <c r="A451" s="5" t="s">
        <v>966</v>
      </c>
      <c r="B451" s="5">
        <v>1.0</v>
      </c>
      <c r="C451" s="5"/>
      <c r="D451" s="5"/>
      <c r="E451" s="24"/>
      <c r="F451" s="28"/>
      <c r="G451" s="5"/>
      <c r="H451" s="5"/>
      <c r="I451" s="46"/>
      <c r="K451" s="24"/>
      <c r="L451" s="5"/>
    </row>
    <row r="452">
      <c r="A452" s="5" t="s">
        <v>967</v>
      </c>
      <c r="B452" s="5">
        <v>1.0</v>
      </c>
      <c r="C452" s="5"/>
      <c r="D452" s="5"/>
      <c r="E452" s="24"/>
      <c r="F452" s="28"/>
      <c r="G452" s="5"/>
      <c r="H452" s="5"/>
      <c r="I452" s="46"/>
      <c r="K452" s="24"/>
      <c r="L452" s="5"/>
    </row>
    <row r="453">
      <c r="A453" s="5" t="s">
        <v>968</v>
      </c>
      <c r="B453" s="5">
        <v>1.0</v>
      </c>
      <c r="C453" s="5"/>
      <c r="D453" s="5"/>
      <c r="E453" s="24"/>
      <c r="F453" s="28"/>
      <c r="G453" s="5"/>
      <c r="H453" s="5"/>
      <c r="I453" s="46"/>
      <c r="K453" s="24"/>
      <c r="L453" s="5"/>
    </row>
    <row r="454">
      <c r="A454" s="5" t="s">
        <v>969</v>
      </c>
      <c r="B454" s="5">
        <v>1.0</v>
      </c>
      <c r="C454" s="5"/>
      <c r="D454" s="5"/>
      <c r="E454" s="24"/>
      <c r="F454" s="28"/>
      <c r="G454" s="5"/>
      <c r="H454" s="5"/>
      <c r="I454" s="46"/>
      <c r="K454" s="24"/>
      <c r="L454" s="5"/>
    </row>
    <row r="455">
      <c r="A455" s="5" t="s">
        <v>970</v>
      </c>
      <c r="B455" s="5">
        <v>1.0</v>
      </c>
      <c r="C455" s="5"/>
      <c r="D455" s="5"/>
      <c r="E455" s="24"/>
      <c r="F455" s="28"/>
      <c r="G455" s="5"/>
      <c r="H455" s="5"/>
      <c r="I455" s="46"/>
      <c r="K455" s="24"/>
      <c r="L455" s="5"/>
    </row>
    <row r="456">
      <c r="A456" s="5" t="s">
        <v>971</v>
      </c>
      <c r="B456" s="5">
        <v>1.0</v>
      </c>
      <c r="C456" s="5"/>
      <c r="D456" s="5"/>
      <c r="E456" s="24"/>
      <c r="F456" s="28"/>
      <c r="G456" s="5"/>
      <c r="H456" s="5"/>
      <c r="I456" s="46"/>
      <c r="K456" s="24"/>
      <c r="L456" s="5"/>
    </row>
    <row r="457">
      <c r="A457" s="5" t="s">
        <v>972</v>
      </c>
      <c r="B457" s="5">
        <v>1.0</v>
      </c>
      <c r="C457" s="5"/>
      <c r="D457" s="5"/>
      <c r="E457" s="24"/>
      <c r="F457" s="28"/>
      <c r="G457" s="5"/>
      <c r="H457" s="5"/>
      <c r="I457" s="46"/>
      <c r="K457" s="24"/>
      <c r="L457" s="5"/>
    </row>
    <row r="458">
      <c r="A458" s="5" t="s">
        <v>973</v>
      </c>
      <c r="B458" s="5">
        <v>1.0</v>
      </c>
      <c r="C458" s="5"/>
      <c r="D458" s="5"/>
      <c r="E458" s="24"/>
      <c r="F458" s="28"/>
      <c r="G458" s="5"/>
      <c r="H458" s="5"/>
      <c r="I458" s="46"/>
      <c r="K458" s="24"/>
      <c r="L458" s="5"/>
    </row>
    <row r="459">
      <c r="A459" s="5" t="s">
        <v>974</v>
      </c>
      <c r="B459" s="5">
        <v>1.0</v>
      </c>
      <c r="C459" s="5"/>
      <c r="D459" s="5"/>
      <c r="E459" s="24"/>
      <c r="F459" s="28"/>
      <c r="G459" s="5"/>
      <c r="H459" s="5"/>
      <c r="I459" s="46"/>
      <c r="K459" s="24"/>
      <c r="L459" s="5"/>
    </row>
    <row r="460">
      <c r="A460" s="5" t="s">
        <v>975</v>
      </c>
      <c r="B460" s="5">
        <v>1.0</v>
      </c>
      <c r="C460" s="5"/>
      <c r="D460" s="5"/>
      <c r="E460" s="24"/>
      <c r="F460" s="28"/>
      <c r="G460" s="5"/>
      <c r="H460" s="5"/>
      <c r="I460" s="46"/>
      <c r="K460" s="24"/>
      <c r="L460" s="5"/>
    </row>
    <row r="461">
      <c r="A461" s="5" t="s">
        <v>976</v>
      </c>
      <c r="B461" s="5">
        <v>1.0</v>
      </c>
      <c r="C461" s="5"/>
      <c r="D461" s="5"/>
      <c r="E461" s="24"/>
      <c r="F461" s="28"/>
      <c r="G461" s="5"/>
      <c r="H461" s="5"/>
      <c r="I461" s="46"/>
      <c r="K461" s="24"/>
      <c r="L461" s="5"/>
    </row>
    <row r="462">
      <c r="A462" s="5" t="s">
        <v>977</v>
      </c>
      <c r="B462" s="5">
        <v>1.0</v>
      </c>
      <c r="C462" s="5"/>
      <c r="D462" s="5"/>
      <c r="E462" s="24"/>
      <c r="F462" s="28"/>
      <c r="G462" s="5"/>
      <c r="H462" s="5"/>
      <c r="I462" s="46"/>
      <c r="K462" s="24"/>
      <c r="L462" s="5"/>
    </row>
    <row r="463">
      <c r="A463" s="5" t="s">
        <v>978</v>
      </c>
      <c r="B463" s="5">
        <v>1.0</v>
      </c>
      <c r="C463" s="5"/>
      <c r="D463" s="5"/>
      <c r="E463" s="24"/>
      <c r="F463" s="28"/>
      <c r="G463" s="5"/>
      <c r="H463" s="5"/>
      <c r="I463" s="46"/>
      <c r="K463" s="24"/>
      <c r="L463" s="5"/>
    </row>
    <row r="464">
      <c r="A464" s="5" t="s">
        <v>979</v>
      </c>
      <c r="B464" s="5">
        <v>1.0</v>
      </c>
      <c r="C464" s="5"/>
      <c r="D464" s="5"/>
      <c r="E464" s="24"/>
      <c r="F464" s="28"/>
      <c r="G464" s="5"/>
      <c r="H464" s="5"/>
      <c r="I464" s="46"/>
      <c r="K464" s="24"/>
      <c r="L464" s="5"/>
    </row>
    <row r="465">
      <c r="A465" s="5" t="s">
        <v>980</v>
      </c>
      <c r="B465" s="5">
        <v>1.0</v>
      </c>
      <c r="C465" s="5"/>
      <c r="D465" s="5"/>
      <c r="E465" s="24"/>
      <c r="F465" s="28"/>
      <c r="G465" s="5"/>
      <c r="H465" s="5"/>
      <c r="I465" s="46"/>
      <c r="K465" s="24"/>
      <c r="L465" s="5"/>
    </row>
    <row r="466">
      <c r="A466" s="5" t="s">
        <v>981</v>
      </c>
      <c r="B466" s="5">
        <v>1.0</v>
      </c>
      <c r="C466" s="5"/>
      <c r="D466" s="5"/>
      <c r="E466" s="24"/>
      <c r="F466" s="28"/>
      <c r="G466" s="5"/>
      <c r="H466" s="5"/>
      <c r="I466" s="46"/>
      <c r="K466" s="24"/>
      <c r="L466" s="5"/>
    </row>
    <row r="467">
      <c r="A467" s="5" t="s">
        <v>982</v>
      </c>
      <c r="B467" s="5">
        <v>1.0</v>
      </c>
      <c r="C467" s="5"/>
      <c r="D467" s="5"/>
      <c r="E467" s="24"/>
      <c r="F467" s="28"/>
      <c r="G467" s="5"/>
      <c r="H467" s="5"/>
      <c r="I467" s="46"/>
      <c r="K467" s="24"/>
      <c r="L467" s="5"/>
    </row>
    <row r="468">
      <c r="A468" s="5" t="s">
        <v>983</v>
      </c>
      <c r="B468" s="5">
        <v>1.0</v>
      </c>
      <c r="C468" s="5"/>
      <c r="D468" s="5"/>
      <c r="E468" s="24"/>
      <c r="F468" s="28"/>
      <c r="G468" s="5"/>
      <c r="H468" s="5"/>
      <c r="I468" s="46"/>
      <c r="K468" s="24"/>
      <c r="L468" s="5"/>
    </row>
    <row r="469">
      <c r="A469" s="5" t="s">
        <v>984</v>
      </c>
      <c r="B469" s="5">
        <v>1.0</v>
      </c>
      <c r="C469" s="5"/>
      <c r="D469" s="5"/>
      <c r="E469" s="24"/>
      <c r="F469" s="28"/>
      <c r="G469" s="5"/>
      <c r="H469" s="5"/>
      <c r="I469" s="46"/>
      <c r="K469" s="24"/>
      <c r="L469" s="5"/>
    </row>
    <row r="470">
      <c r="A470" s="5" t="s">
        <v>985</v>
      </c>
      <c r="B470" s="5">
        <v>1.0</v>
      </c>
      <c r="C470" s="5"/>
      <c r="D470" s="5"/>
      <c r="E470" s="24"/>
      <c r="F470" s="28"/>
      <c r="G470" s="5"/>
      <c r="H470" s="5"/>
      <c r="I470" s="46"/>
      <c r="K470" s="24"/>
      <c r="L470" s="5"/>
    </row>
    <row r="471">
      <c r="A471" s="5" t="s">
        <v>986</v>
      </c>
      <c r="B471" s="5">
        <v>1.0</v>
      </c>
      <c r="C471" s="5"/>
      <c r="D471" s="5"/>
      <c r="E471" s="24"/>
      <c r="F471" s="28"/>
      <c r="G471" s="5"/>
      <c r="H471" s="5"/>
      <c r="I471" s="46"/>
      <c r="K471" s="24"/>
      <c r="L471" s="5"/>
    </row>
    <row r="472">
      <c r="A472" s="5" t="s">
        <v>987</v>
      </c>
      <c r="B472" s="5">
        <v>1.0</v>
      </c>
      <c r="C472" s="5"/>
      <c r="D472" s="5"/>
      <c r="E472" s="24"/>
      <c r="F472" s="28"/>
      <c r="G472" s="5"/>
      <c r="H472" s="5"/>
      <c r="I472" s="46"/>
      <c r="K472" s="24"/>
      <c r="L472" s="5"/>
    </row>
    <row r="473">
      <c r="A473" s="5" t="s">
        <v>988</v>
      </c>
      <c r="B473" s="5">
        <v>1.0</v>
      </c>
      <c r="C473" s="5"/>
      <c r="D473" s="5"/>
      <c r="E473" s="24"/>
      <c r="F473" s="28"/>
      <c r="G473" s="5"/>
      <c r="H473" s="5"/>
      <c r="I473" s="46"/>
      <c r="K473" s="24"/>
      <c r="L473" s="5"/>
    </row>
    <row r="474">
      <c r="A474" s="5" t="s">
        <v>989</v>
      </c>
      <c r="B474" s="5">
        <v>1.0</v>
      </c>
      <c r="C474" s="5"/>
      <c r="D474" s="5"/>
      <c r="E474" s="24"/>
      <c r="F474" s="28"/>
      <c r="G474" s="5"/>
      <c r="H474" s="5"/>
      <c r="I474" s="46"/>
      <c r="K474" s="24"/>
      <c r="L474" s="5"/>
    </row>
    <row r="475">
      <c r="A475" s="5" t="s">
        <v>990</v>
      </c>
      <c r="B475" s="5">
        <v>1.0</v>
      </c>
      <c r="C475" s="5"/>
      <c r="D475" s="5"/>
      <c r="E475" s="24"/>
      <c r="F475" s="28"/>
      <c r="G475" s="5"/>
      <c r="H475" s="5"/>
      <c r="I475" s="46"/>
      <c r="K475" s="24"/>
      <c r="L475" s="5"/>
    </row>
    <row r="476">
      <c r="A476" s="5" t="s">
        <v>991</v>
      </c>
      <c r="B476" s="5">
        <v>1.0</v>
      </c>
      <c r="C476" s="5"/>
      <c r="D476" s="5"/>
      <c r="E476" s="24"/>
      <c r="F476" s="28"/>
      <c r="G476" s="5"/>
      <c r="H476" s="5"/>
      <c r="I476" s="46"/>
      <c r="K476" s="24"/>
      <c r="L476" s="5"/>
    </row>
    <row r="477">
      <c r="A477" s="5" t="s">
        <v>992</v>
      </c>
      <c r="B477" s="5">
        <v>1.0</v>
      </c>
      <c r="C477" s="5"/>
      <c r="D477" s="5"/>
      <c r="E477" s="24"/>
      <c r="F477" s="28"/>
      <c r="G477" s="5"/>
      <c r="H477" s="5"/>
      <c r="I477" s="46"/>
      <c r="K477" s="24"/>
      <c r="L477" s="5"/>
    </row>
    <row r="478">
      <c r="A478" s="5" t="s">
        <v>993</v>
      </c>
      <c r="B478" s="5">
        <v>1.0</v>
      </c>
      <c r="C478" s="5"/>
      <c r="D478" s="5"/>
      <c r="E478" s="24"/>
      <c r="F478" s="28"/>
      <c r="G478" s="5"/>
      <c r="H478" s="5"/>
      <c r="I478" s="46"/>
      <c r="K478" s="24"/>
      <c r="L478" s="5"/>
    </row>
    <row r="479">
      <c r="A479" s="5" t="s">
        <v>994</v>
      </c>
      <c r="B479" s="5">
        <v>1.0</v>
      </c>
      <c r="C479" s="5"/>
      <c r="D479" s="5"/>
      <c r="E479" s="24"/>
      <c r="F479" s="28"/>
      <c r="G479" s="5"/>
      <c r="H479" s="5"/>
      <c r="I479" s="46"/>
      <c r="K479" s="24"/>
      <c r="L479" s="5"/>
    </row>
    <row r="480">
      <c r="A480" s="5" t="s">
        <v>995</v>
      </c>
      <c r="B480" s="5">
        <v>1.0</v>
      </c>
      <c r="C480" s="5"/>
      <c r="D480" s="5"/>
      <c r="E480" s="24"/>
      <c r="F480" s="28"/>
      <c r="G480" s="5"/>
      <c r="H480" s="5"/>
      <c r="I480" s="46"/>
      <c r="K480" s="24"/>
      <c r="L480" s="5"/>
    </row>
    <row r="481">
      <c r="A481" s="5" t="s">
        <v>996</v>
      </c>
      <c r="B481" s="5">
        <v>1.0</v>
      </c>
      <c r="C481" s="5"/>
      <c r="D481" s="5"/>
      <c r="E481" s="24"/>
      <c r="F481" s="28"/>
      <c r="G481" s="5"/>
      <c r="H481" s="5"/>
      <c r="I481" s="46"/>
      <c r="K481" s="24"/>
      <c r="L481" s="5"/>
    </row>
    <row r="482">
      <c r="A482" s="5" t="s">
        <v>997</v>
      </c>
      <c r="B482" s="5">
        <v>1.0</v>
      </c>
      <c r="C482" s="5"/>
      <c r="D482" s="5"/>
      <c r="E482" s="24"/>
      <c r="F482" s="28"/>
      <c r="G482" s="5"/>
      <c r="H482" s="5"/>
      <c r="I482" s="46"/>
      <c r="K482" s="24"/>
      <c r="L482" s="5"/>
    </row>
    <row r="483">
      <c r="A483" s="5" t="s">
        <v>998</v>
      </c>
      <c r="B483" s="5">
        <v>1.0</v>
      </c>
      <c r="C483" s="5"/>
      <c r="D483" s="5"/>
      <c r="E483" s="24"/>
      <c r="F483" s="28"/>
      <c r="G483" s="5"/>
      <c r="H483" s="5"/>
      <c r="I483" s="46"/>
      <c r="K483" s="24"/>
      <c r="L483" s="5"/>
    </row>
    <row r="484">
      <c r="A484" s="5" t="s">
        <v>999</v>
      </c>
      <c r="B484" s="5">
        <v>1.0</v>
      </c>
      <c r="C484" s="5"/>
      <c r="D484" s="5"/>
      <c r="E484" s="24"/>
      <c r="F484" s="28"/>
      <c r="G484" s="5"/>
      <c r="H484" s="5"/>
      <c r="I484" s="46"/>
      <c r="K484" s="24"/>
      <c r="L484" s="5"/>
    </row>
    <row r="485">
      <c r="A485" s="5" t="s">
        <v>1000</v>
      </c>
      <c r="B485" s="5">
        <v>1.0</v>
      </c>
      <c r="C485" s="5"/>
      <c r="D485" s="5"/>
      <c r="E485" s="24"/>
      <c r="F485" s="28"/>
      <c r="G485" s="5"/>
      <c r="H485" s="5"/>
      <c r="I485" s="46"/>
      <c r="K485" s="24"/>
      <c r="L485" s="5"/>
    </row>
    <row r="486">
      <c r="A486" s="5" t="s">
        <v>1001</v>
      </c>
      <c r="B486" s="5">
        <v>1.0</v>
      </c>
      <c r="C486" s="5"/>
      <c r="D486" s="5"/>
      <c r="E486" s="24"/>
      <c r="F486" s="28"/>
      <c r="G486" s="5"/>
      <c r="H486" s="5"/>
      <c r="I486" s="46"/>
      <c r="K486" s="24"/>
      <c r="L486" s="5"/>
    </row>
    <row r="487">
      <c r="A487" s="5" t="s">
        <v>1002</v>
      </c>
      <c r="B487" s="5">
        <v>1.0</v>
      </c>
      <c r="C487" s="5"/>
      <c r="D487" s="5"/>
      <c r="E487" s="24"/>
      <c r="F487" s="28"/>
      <c r="G487" s="5"/>
      <c r="H487" s="5"/>
      <c r="I487" s="46"/>
      <c r="K487" s="24"/>
      <c r="L487" s="5"/>
    </row>
    <row r="488">
      <c r="A488" s="5" t="s">
        <v>1003</v>
      </c>
      <c r="B488" s="5">
        <v>1.0</v>
      </c>
      <c r="C488" s="5"/>
      <c r="D488" s="5"/>
      <c r="E488" s="24"/>
      <c r="F488" s="28"/>
      <c r="G488" s="5"/>
      <c r="H488" s="5"/>
      <c r="I488" s="46"/>
      <c r="K488" s="24"/>
      <c r="L488" s="5"/>
    </row>
    <row r="489">
      <c r="A489" s="5" t="s">
        <v>1004</v>
      </c>
      <c r="B489" s="5">
        <v>1.0</v>
      </c>
      <c r="C489" s="5"/>
      <c r="D489" s="5"/>
      <c r="E489" s="24"/>
      <c r="F489" s="28"/>
      <c r="G489" s="5"/>
      <c r="H489" s="5"/>
      <c r="I489" s="46"/>
      <c r="K489" s="24"/>
      <c r="L489" s="5"/>
    </row>
    <row r="490">
      <c r="A490" s="5" t="s">
        <v>1005</v>
      </c>
      <c r="B490" s="5">
        <v>1.0</v>
      </c>
      <c r="C490" s="5"/>
      <c r="D490" s="5"/>
      <c r="E490" s="24"/>
      <c r="F490" s="28"/>
      <c r="G490" s="5"/>
      <c r="H490" s="5"/>
      <c r="I490" s="46"/>
      <c r="K490" s="24"/>
      <c r="L490" s="5"/>
    </row>
    <row r="491">
      <c r="A491" s="5" t="s">
        <v>1006</v>
      </c>
      <c r="B491" s="5">
        <v>1.0</v>
      </c>
      <c r="C491" s="5"/>
      <c r="D491" s="5"/>
      <c r="E491" s="24"/>
      <c r="F491" s="28"/>
      <c r="G491" s="5"/>
      <c r="H491" s="5"/>
      <c r="I491" s="46"/>
      <c r="K491" s="24"/>
      <c r="L491" s="5"/>
    </row>
    <row r="492">
      <c r="A492" s="5" t="s">
        <v>1007</v>
      </c>
      <c r="B492" s="5">
        <v>1.0</v>
      </c>
      <c r="C492" s="5"/>
      <c r="D492" s="5"/>
      <c r="E492" s="24"/>
      <c r="F492" s="28"/>
      <c r="G492" s="5"/>
      <c r="H492" s="5"/>
      <c r="I492" s="46"/>
      <c r="K492" s="24"/>
      <c r="L492" s="5"/>
    </row>
    <row r="493">
      <c r="A493" s="5" t="s">
        <v>1008</v>
      </c>
      <c r="B493" s="5">
        <v>1.0</v>
      </c>
      <c r="C493" s="5"/>
      <c r="D493" s="5"/>
      <c r="E493" s="24"/>
      <c r="F493" s="28"/>
      <c r="G493" s="5"/>
      <c r="H493" s="5"/>
      <c r="I493" s="46"/>
      <c r="K493" s="24"/>
      <c r="L493" s="5"/>
    </row>
    <row r="494">
      <c r="A494" s="5" t="s">
        <v>1009</v>
      </c>
      <c r="B494" s="5">
        <v>1.0</v>
      </c>
      <c r="C494" s="5"/>
      <c r="D494" s="5"/>
      <c r="E494" s="24"/>
      <c r="F494" s="28"/>
      <c r="G494" s="5"/>
      <c r="H494" s="5"/>
      <c r="I494" s="46"/>
      <c r="K494" s="24"/>
      <c r="L494" s="5"/>
    </row>
    <row r="495">
      <c r="A495" s="5" t="s">
        <v>1010</v>
      </c>
      <c r="B495" s="5">
        <v>1.0</v>
      </c>
      <c r="C495" s="5"/>
      <c r="D495" s="5"/>
      <c r="E495" s="24"/>
      <c r="F495" s="28"/>
      <c r="G495" s="5"/>
      <c r="H495" s="5"/>
      <c r="I495" s="46"/>
      <c r="K495" s="24"/>
      <c r="L495" s="5"/>
    </row>
    <row r="496">
      <c r="A496" s="5" t="s">
        <v>1011</v>
      </c>
      <c r="B496" s="5">
        <v>1.0</v>
      </c>
      <c r="C496" s="5"/>
      <c r="D496" s="5"/>
      <c r="E496" s="24"/>
      <c r="F496" s="28"/>
      <c r="G496" s="5"/>
      <c r="H496" s="5"/>
      <c r="I496" s="46"/>
      <c r="K496" s="24"/>
      <c r="L496" s="5"/>
    </row>
    <row r="497">
      <c r="A497" s="5" t="s">
        <v>1012</v>
      </c>
      <c r="B497" s="5">
        <v>1.0</v>
      </c>
      <c r="C497" s="5"/>
      <c r="D497" s="5"/>
      <c r="E497" s="24"/>
      <c r="F497" s="28"/>
      <c r="G497" s="5"/>
      <c r="H497" s="5"/>
      <c r="I497" s="46"/>
      <c r="K497" s="24"/>
      <c r="L497" s="5"/>
    </row>
    <row r="498">
      <c r="A498" s="5" t="s">
        <v>1013</v>
      </c>
      <c r="B498" s="5">
        <v>1.0</v>
      </c>
      <c r="C498" s="5"/>
      <c r="D498" s="5"/>
      <c r="E498" s="24"/>
      <c r="F498" s="28"/>
      <c r="G498" s="5"/>
      <c r="H498" s="5"/>
      <c r="I498" s="46"/>
      <c r="K498" s="24"/>
      <c r="L498" s="5"/>
    </row>
    <row r="499">
      <c r="A499" s="5" t="s">
        <v>1014</v>
      </c>
      <c r="B499" s="5">
        <v>1.0</v>
      </c>
      <c r="C499" s="5"/>
      <c r="D499" s="5"/>
      <c r="E499" s="24"/>
      <c r="F499" s="28"/>
      <c r="G499" s="5"/>
      <c r="H499" s="5"/>
      <c r="I499" s="46"/>
      <c r="K499" s="24"/>
      <c r="L499" s="5"/>
    </row>
    <row r="500">
      <c r="A500" s="5" t="s">
        <v>1015</v>
      </c>
      <c r="B500" s="5">
        <v>1.0</v>
      </c>
      <c r="C500" s="5"/>
      <c r="D500" s="5"/>
      <c r="E500" s="24"/>
      <c r="F500" s="28"/>
      <c r="G500" s="5"/>
      <c r="H500" s="5"/>
      <c r="I500" s="46"/>
      <c r="K500" s="24"/>
      <c r="L500" s="5"/>
    </row>
    <row r="501">
      <c r="A501" s="5" t="s">
        <v>1016</v>
      </c>
      <c r="B501" s="5">
        <v>1.0</v>
      </c>
      <c r="C501" s="5"/>
      <c r="D501" s="5"/>
      <c r="E501" s="24"/>
      <c r="F501" s="28"/>
      <c r="G501" s="5"/>
      <c r="H501" s="5"/>
      <c r="I501" s="46"/>
      <c r="K501" s="24"/>
      <c r="L501" s="5"/>
    </row>
    <row r="502">
      <c r="A502" s="5" t="s">
        <v>1017</v>
      </c>
      <c r="B502" s="5">
        <v>1.0</v>
      </c>
      <c r="C502" s="5"/>
      <c r="D502" s="5"/>
      <c r="E502" s="24"/>
      <c r="F502" s="28"/>
      <c r="G502" s="5"/>
      <c r="H502" s="5"/>
      <c r="I502" s="46"/>
      <c r="K502" s="24"/>
      <c r="L502" s="5"/>
    </row>
    <row r="503">
      <c r="A503" s="5" t="s">
        <v>1018</v>
      </c>
      <c r="B503" s="5">
        <v>1.0</v>
      </c>
      <c r="C503" s="5"/>
      <c r="D503" s="5"/>
      <c r="E503" s="24"/>
      <c r="F503" s="28"/>
      <c r="G503" s="5"/>
      <c r="H503" s="5"/>
      <c r="I503" s="46"/>
      <c r="K503" s="24"/>
      <c r="L503" s="5"/>
    </row>
    <row r="504">
      <c r="A504" s="5" t="s">
        <v>1019</v>
      </c>
      <c r="B504" s="5">
        <v>1.0</v>
      </c>
      <c r="C504" s="5"/>
      <c r="D504" s="5"/>
      <c r="E504" s="24"/>
      <c r="F504" s="28"/>
      <c r="G504" s="5"/>
      <c r="H504" s="5"/>
      <c r="I504" s="46"/>
      <c r="K504" s="24"/>
      <c r="L504" s="5"/>
    </row>
    <row r="505">
      <c r="A505" s="5" t="s">
        <v>1020</v>
      </c>
      <c r="B505" s="5">
        <v>1.0</v>
      </c>
      <c r="C505" s="5"/>
      <c r="D505" s="5"/>
      <c r="E505" s="24"/>
      <c r="F505" s="28"/>
      <c r="G505" s="5"/>
      <c r="H505" s="5"/>
      <c r="I505" s="46"/>
      <c r="K505" s="24"/>
      <c r="L505" s="5"/>
    </row>
    <row r="506">
      <c r="A506" s="5" t="s">
        <v>1021</v>
      </c>
      <c r="B506" s="5">
        <v>1.0</v>
      </c>
      <c r="C506" s="5"/>
      <c r="D506" s="5"/>
      <c r="E506" s="24"/>
      <c r="F506" s="28"/>
      <c r="G506" s="5"/>
      <c r="H506" s="5"/>
      <c r="I506" s="46"/>
      <c r="K506" s="24"/>
      <c r="L506" s="5"/>
    </row>
    <row r="507">
      <c r="A507" s="5" t="s">
        <v>1022</v>
      </c>
      <c r="B507" s="5">
        <v>1.0</v>
      </c>
      <c r="C507" s="5"/>
      <c r="D507" s="5"/>
      <c r="E507" s="24"/>
      <c r="F507" s="28"/>
      <c r="G507" s="5"/>
      <c r="H507" s="5"/>
      <c r="I507" s="46"/>
      <c r="K507" s="24"/>
      <c r="L507" s="5"/>
    </row>
    <row r="508">
      <c r="A508" s="5" t="s">
        <v>1023</v>
      </c>
      <c r="B508" s="5">
        <v>1.0</v>
      </c>
      <c r="C508" s="5"/>
      <c r="D508" s="5"/>
      <c r="E508" s="24"/>
      <c r="F508" s="28"/>
      <c r="G508" s="5"/>
      <c r="H508" s="5"/>
      <c r="I508" s="46"/>
      <c r="K508" s="24"/>
      <c r="L508" s="5"/>
    </row>
    <row r="509">
      <c r="A509" s="5" t="s">
        <v>1024</v>
      </c>
      <c r="B509" s="5">
        <v>1.0</v>
      </c>
      <c r="C509" s="5"/>
      <c r="D509" s="5"/>
      <c r="E509" s="24"/>
      <c r="F509" s="28"/>
      <c r="G509" s="5"/>
      <c r="H509" s="5"/>
      <c r="I509" s="46"/>
      <c r="K509" s="24"/>
      <c r="L509" s="5"/>
    </row>
    <row r="510">
      <c r="A510" s="5" t="s">
        <v>1025</v>
      </c>
      <c r="B510" s="5">
        <v>1.0</v>
      </c>
      <c r="C510" s="5"/>
      <c r="D510" s="5"/>
      <c r="E510" s="24"/>
      <c r="F510" s="28"/>
      <c r="G510" s="5"/>
      <c r="H510" s="5"/>
      <c r="I510" s="46"/>
      <c r="K510" s="24"/>
      <c r="L510" s="5"/>
    </row>
    <row r="511">
      <c r="A511" s="5" t="s">
        <v>1026</v>
      </c>
      <c r="B511" s="5">
        <v>1.0</v>
      </c>
      <c r="C511" s="5"/>
      <c r="D511" s="5"/>
      <c r="E511" s="24"/>
      <c r="F511" s="28"/>
      <c r="G511" s="5"/>
      <c r="H511" s="5"/>
      <c r="I511" s="46"/>
      <c r="K511" s="24"/>
      <c r="L511" s="5"/>
    </row>
    <row r="512">
      <c r="A512" s="5" t="s">
        <v>1027</v>
      </c>
      <c r="B512" s="5">
        <v>1.0</v>
      </c>
      <c r="C512" s="5"/>
      <c r="D512" s="5"/>
      <c r="E512" s="24"/>
      <c r="F512" s="28"/>
      <c r="G512" s="5"/>
      <c r="H512" s="5"/>
      <c r="I512" s="46"/>
      <c r="K512" s="24"/>
      <c r="L512" s="5"/>
    </row>
    <row r="513">
      <c r="A513" s="5" t="s">
        <v>1028</v>
      </c>
      <c r="B513" s="5">
        <v>1.0</v>
      </c>
      <c r="C513" s="5"/>
      <c r="D513" s="5"/>
      <c r="E513" s="24"/>
      <c r="F513" s="28"/>
      <c r="G513" s="5"/>
      <c r="H513" s="5"/>
      <c r="I513" s="46"/>
      <c r="K513" s="24"/>
      <c r="L513" s="5"/>
    </row>
    <row r="514">
      <c r="A514" s="5" t="s">
        <v>1029</v>
      </c>
      <c r="B514" s="5">
        <v>1.0</v>
      </c>
      <c r="C514" s="5"/>
      <c r="D514" s="5"/>
      <c r="E514" s="24"/>
      <c r="F514" s="28"/>
      <c r="G514" s="5"/>
      <c r="H514" s="5"/>
      <c r="I514" s="46"/>
      <c r="K514" s="24"/>
      <c r="L514" s="5"/>
    </row>
    <row r="515">
      <c r="A515" s="5" t="s">
        <v>1030</v>
      </c>
      <c r="B515" s="5">
        <v>1.0</v>
      </c>
      <c r="C515" s="5"/>
      <c r="D515" s="5"/>
      <c r="E515" s="24"/>
      <c r="F515" s="28"/>
      <c r="G515" s="5"/>
      <c r="H515" s="5"/>
      <c r="I515" s="46"/>
      <c r="K515" s="24"/>
      <c r="L515" s="5"/>
    </row>
    <row r="516">
      <c r="A516" s="5" t="s">
        <v>1031</v>
      </c>
      <c r="B516" s="5">
        <v>1.0</v>
      </c>
      <c r="C516" s="5"/>
      <c r="D516" s="5"/>
      <c r="E516" s="24"/>
      <c r="F516" s="28"/>
      <c r="G516" s="5"/>
      <c r="H516" s="5"/>
      <c r="I516" s="46"/>
      <c r="K516" s="24"/>
      <c r="L516" s="5"/>
    </row>
    <row r="517">
      <c r="A517" s="5" t="s">
        <v>1032</v>
      </c>
      <c r="B517" s="5">
        <v>1.0</v>
      </c>
      <c r="C517" s="5"/>
      <c r="D517" s="5"/>
      <c r="E517" s="24"/>
      <c r="F517" s="28"/>
      <c r="G517" s="5"/>
      <c r="H517" s="5"/>
      <c r="I517" s="46"/>
      <c r="K517" s="24"/>
      <c r="L517" s="5"/>
    </row>
    <row r="518">
      <c r="A518" s="5" t="s">
        <v>1033</v>
      </c>
      <c r="B518" s="5">
        <v>1.0</v>
      </c>
      <c r="C518" s="5"/>
      <c r="D518" s="5"/>
      <c r="E518" s="24"/>
      <c r="F518" s="28"/>
      <c r="G518" s="5"/>
      <c r="H518" s="5"/>
      <c r="I518" s="46"/>
      <c r="K518" s="24"/>
      <c r="L518" s="5"/>
    </row>
    <row r="519">
      <c r="A519" s="5" t="s">
        <v>1034</v>
      </c>
      <c r="B519" s="5">
        <v>1.0</v>
      </c>
      <c r="C519" s="5"/>
      <c r="D519" s="5"/>
      <c r="E519" s="24"/>
      <c r="F519" s="28"/>
      <c r="G519" s="5"/>
      <c r="H519" s="5"/>
      <c r="I519" s="46"/>
      <c r="K519" s="24"/>
      <c r="L519" s="5"/>
    </row>
    <row r="520">
      <c r="A520" s="5" t="s">
        <v>1035</v>
      </c>
      <c r="B520" s="5">
        <v>1.0</v>
      </c>
      <c r="C520" s="5"/>
      <c r="D520" s="5"/>
      <c r="E520" s="24"/>
      <c r="F520" s="28"/>
      <c r="G520" s="5"/>
      <c r="H520" s="5"/>
      <c r="I520" s="46"/>
      <c r="K520" s="24"/>
      <c r="L520" s="5"/>
    </row>
    <row r="521">
      <c r="A521" s="5" t="s">
        <v>1036</v>
      </c>
      <c r="B521" s="5">
        <v>1.0</v>
      </c>
      <c r="C521" s="5"/>
      <c r="D521" s="5"/>
      <c r="E521" s="24"/>
      <c r="F521" s="28"/>
      <c r="G521" s="5"/>
      <c r="H521" s="5"/>
      <c r="I521" s="46"/>
      <c r="K521" s="24"/>
      <c r="L521" s="5"/>
    </row>
    <row r="522">
      <c r="A522" s="5" t="s">
        <v>1037</v>
      </c>
      <c r="B522" s="5">
        <v>1.0</v>
      </c>
      <c r="C522" s="5"/>
      <c r="D522" s="5"/>
      <c r="E522" s="24"/>
      <c r="F522" s="28"/>
      <c r="G522" s="5"/>
      <c r="H522" s="5"/>
      <c r="I522" s="46"/>
      <c r="K522" s="24"/>
      <c r="L522" s="5"/>
    </row>
    <row r="523">
      <c r="A523" s="5" t="s">
        <v>1038</v>
      </c>
      <c r="B523" s="5">
        <v>1.0</v>
      </c>
      <c r="C523" s="5"/>
      <c r="D523" s="5"/>
      <c r="E523" s="24"/>
      <c r="F523" s="28"/>
      <c r="G523" s="5"/>
      <c r="H523" s="5"/>
      <c r="I523" s="46"/>
      <c r="K523" s="24"/>
      <c r="L523" s="5"/>
    </row>
    <row r="524">
      <c r="A524" s="5" t="s">
        <v>1039</v>
      </c>
      <c r="B524" s="5">
        <v>1.0</v>
      </c>
      <c r="C524" s="5"/>
      <c r="D524" s="5"/>
      <c r="E524" s="24"/>
      <c r="F524" s="28"/>
      <c r="G524" s="5"/>
      <c r="H524" s="5"/>
      <c r="I524" s="46"/>
      <c r="K524" s="24"/>
      <c r="L524" s="5"/>
    </row>
    <row r="525">
      <c r="A525" s="5" t="s">
        <v>1040</v>
      </c>
      <c r="B525" s="5">
        <v>1.0</v>
      </c>
      <c r="C525" s="5"/>
      <c r="D525" s="5"/>
      <c r="E525" s="24"/>
      <c r="F525" s="28"/>
      <c r="G525" s="5"/>
      <c r="H525" s="5"/>
      <c r="I525" s="46"/>
      <c r="K525" s="24"/>
      <c r="L525" s="5"/>
    </row>
    <row r="526">
      <c r="A526" s="5" t="s">
        <v>1041</v>
      </c>
      <c r="B526" s="5">
        <v>1.0</v>
      </c>
      <c r="C526" s="5"/>
      <c r="D526" s="5"/>
      <c r="E526" s="24"/>
      <c r="F526" s="28"/>
      <c r="G526" s="5"/>
      <c r="H526" s="5"/>
      <c r="I526" s="46"/>
      <c r="K526" s="24"/>
      <c r="L526" s="5"/>
    </row>
    <row r="527">
      <c r="A527" s="5" t="s">
        <v>1042</v>
      </c>
      <c r="B527" s="5">
        <v>1.0</v>
      </c>
      <c r="C527" s="5"/>
      <c r="D527" s="5"/>
      <c r="E527" s="24"/>
      <c r="F527" s="28"/>
      <c r="G527" s="5"/>
      <c r="H527" s="5"/>
      <c r="I527" s="46"/>
      <c r="K527" s="24"/>
      <c r="L527" s="5"/>
    </row>
    <row r="528">
      <c r="A528" s="5" t="s">
        <v>1043</v>
      </c>
      <c r="B528" s="5">
        <v>1.0</v>
      </c>
      <c r="C528" s="5"/>
      <c r="D528" s="5"/>
      <c r="E528" s="24"/>
      <c r="F528" s="28"/>
      <c r="G528" s="5"/>
      <c r="H528" s="5"/>
      <c r="I528" s="46"/>
      <c r="K528" s="24"/>
      <c r="L528" s="5"/>
    </row>
    <row r="529">
      <c r="A529" s="5" t="s">
        <v>1044</v>
      </c>
      <c r="B529" s="5">
        <v>1.0</v>
      </c>
      <c r="C529" s="5"/>
      <c r="D529" s="5"/>
      <c r="E529" s="24"/>
      <c r="F529" s="28"/>
      <c r="G529" s="5"/>
      <c r="H529" s="5"/>
      <c r="I529" s="46"/>
      <c r="K529" s="24"/>
      <c r="L529" s="5"/>
    </row>
    <row r="530">
      <c r="A530" s="5" t="s">
        <v>1045</v>
      </c>
      <c r="B530" s="5">
        <v>1.0</v>
      </c>
      <c r="C530" s="5"/>
      <c r="D530" s="5"/>
      <c r="E530" s="24"/>
      <c r="F530" s="28"/>
      <c r="G530" s="5"/>
      <c r="H530" s="5"/>
      <c r="I530" s="46"/>
      <c r="K530" s="24"/>
      <c r="L530" s="5"/>
    </row>
    <row r="531">
      <c r="A531" s="5" t="s">
        <v>1046</v>
      </c>
      <c r="B531" s="5">
        <v>1.0</v>
      </c>
      <c r="C531" s="5"/>
      <c r="D531" s="5"/>
      <c r="E531" s="24"/>
      <c r="F531" s="28"/>
      <c r="G531" s="5"/>
      <c r="H531" s="5"/>
      <c r="I531" s="46"/>
      <c r="K531" s="24"/>
      <c r="L531" s="5"/>
    </row>
    <row r="532">
      <c r="A532" s="5" t="s">
        <v>1047</v>
      </c>
      <c r="B532" s="5">
        <v>1.0</v>
      </c>
      <c r="C532" s="5"/>
      <c r="D532" s="5"/>
      <c r="E532" s="24"/>
      <c r="F532" s="28"/>
      <c r="G532" s="5"/>
      <c r="H532" s="5"/>
      <c r="I532" s="46"/>
      <c r="K532" s="24"/>
      <c r="L532" s="5"/>
    </row>
    <row r="533">
      <c r="A533" s="5" t="s">
        <v>1048</v>
      </c>
      <c r="B533" s="5">
        <v>1.0</v>
      </c>
      <c r="C533" s="5"/>
      <c r="D533" s="5"/>
      <c r="E533" s="24"/>
      <c r="F533" s="28"/>
      <c r="G533" s="5"/>
      <c r="H533" s="5"/>
      <c r="I533" s="46"/>
      <c r="K533" s="24"/>
      <c r="L533" s="5"/>
    </row>
    <row r="534">
      <c r="A534" s="5" t="s">
        <v>1049</v>
      </c>
      <c r="B534" s="5">
        <v>1.0</v>
      </c>
      <c r="C534" s="5"/>
      <c r="D534" s="5"/>
      <c r="E534" s="24"/>
      <c r="F534" s="28"/>
      <c r="G534" s="5"/>
      <c r="H534" s="5"/>
      <c r="I534" s="46"/>
      <c r="K534" s="24"/>
      <c r="L534" s="5"/>
    </row>
    <row r="535">
      <c r="A535" s="5" t="s">
        <v>1050</v>
      </c>
      <c r="B535" s="5">
        <v>1.0</v>
      </c>
      <c r="C535" s="5"/>
      <c r="D535" s="5"/>
      <c r="E535" s="24"/>
      <c r="F535" s="28"/>
      <c r="G535" s="5"/>
      <c r="H535" s="5"/>
      <c r="I535" s="46"/>
      <c r="K535" s="24"/>
      <c r="L535" s="5"/>
    </row>
    <row r="536">
      <c r="A536" s="5" t="s">
        <v>1051</v>
      </c>
      <c r="B536" s="5">
        <v>1.0</v>
      </c>
      <c r="C536" s="5"/>
      <c r="D536" s="5"/>
      <c r="E536" s="24"/>
      <c r="F536" s="28"/>
      <c r="G536" s="5"/>
      <c r="H536" s="5"/>
      <c r="I536" s="46"/>
      <c r="K536" s="24"/>
      <c r="L536" s="5"/>
    </row>
    <row r="537">
      <c r="A537" s="5" t="s">
        <v>1052</v>
      </c>
      <c r="B537" s="5">
        <v>1.0</v>
      </c>
      <c r="C537" s="5"/>
      <c r="D537" s="5"/>
      <c r="E537" s="24"/>
      <c r="F537" s="28"/>
      <c r="G537" s="5"/>
      <c r="H537" s="5"/>
      <c r="I537" s="46"/>
      <c r="K537" s="24"/>
      <c r="L537" s="5"/>
    </row>
    <row r="538">
      <c r="A538" s="5" t="s">
        <v>1053</v>
      </c>
      <c r="B538" s="5">
        <v>1.0</v>
      </c>
      <c r="C538" s="5"/>
      <c r="D538" s="5"/>
      <c r="E538" s="24"/>
      <c r="F538" s="28"/>
      <c r="G538" s="5"/>
      <c r="H538" s="5"/>
      <c r="I538" s="46"/>
      <c r="K538" s="24"/>
      <c r="L538" s="5"/>
    </row>
    <row r="539">
      <c r="A539" s="5" t="s">
        <v>1054</v>
      </c>
      <c r="B539" s="5">
        <v>1.0</v>
      </c>
      <c r="C539" s="5"/>
      <c r="D539" s="5"/>
      <c r="E539" s="24"/>
      <c r="F539" s="28"/>
      <c r="G539" s="5"/>
      <c r="H539" s="5"/>
      <c r="I539" s="46"/>
      <c r="K539" s="24"/>
      <c r="L539" s="5"/>
    </row>
    <row r="540">
      <c r="A540" s="5" t="s">
        <v>1055</v>
      </c>
      <c r="B540" s="5">
        <v>1.0</v>
      </c>
      <c r="C540" s="5"/>
      <c r="D540" s="5"/>
      <c r="E540" s="24"/>
      <c r="F540" s="28"/>
      <c r="G540" s="5"/>
      <c r="H540" s="5"/>
      <c r="I540" s="46"/>
      <c r="K540" s="24"/>
      <c r="L540" s="5"/>
    </row>
    <row r="541">
      <c r="A541" s="5" t="s">
        <v>1056</v>
      </c>
      <c r="B541" s="5">
        <v>1.0</v>
      </c>
      <c r="C541" s="5"/>
      <c r="D541" s="5"/>
      <c r="E541" s="24"/>
      <c r="F541" s="28"/>
      <c r="G541" s="5"/>
      <c r="H541" s="5"/>
      <c r="I541" s="46"/>
      <c r="K541" s="24"/>
      <c r="L541" s="5"/>
    </row>
    <row r="542">
      <c r="A542" s="5" t="s">
        <v>1057</v>
      </c>
      <c r="B542" s="5">
        <v>1.0</v>
      </c>
      <c r="C542" s="5"/>
      <c r="D542" s="5"/>
      <c r="E542" s="24"/>
      <c r="F542" s="28"/>
      <c r="G542" s="5"/>
      <c r="H542" s="5"/>
      <c r="I542" s="46"/>
      <c r="K542" s="24"/>
      <c r="L542" s="5"/>
    </row>
    <row r="543">
      <c r="A543" s="5" t="s">
        <v>1058</v>
      </c>
      <c r="B543" s="5">
        <v>1.0</v>
      </c>
      <c r="C543" s="5"/>
      <c r="D543" s="5"/>
      <c r="E543" s="24"/>
      <c r="F543" s="28"/>
      <c r="G543" s="5"/>
      <c r="H543" s="5"/>
      <c r="I543" s="46"/>
      <c r="K543" s="24"/>
      <c r="L543" s="5"/>
    </row>
    <row r="544">
      <c r="A544" s="5" t="s">
        <v>1059</v>
      </c>
      <c r="B544" s="5">
        <v>1.0</v>
      </c>
      <c r="C544" s="5"/>
      <c r="D544" s="5"/>
      <c r="E544" s="24"/>
      <c r="F544" s="28"/>
      <c r="G544" s="5"/>
      <c r="H544" s="5"/>
      <c r="I544" s="46"/>
      <c r="K544" s="24"/>
      <c r="L544" s="5"/>
    </row>
    <row r="545">
      <c r="A545" s="5" t="s">
        <v>1060</v>
      </c>
      <c r="B545" s="5">
        <v>1.0</v>
      </c>
      <c r="C545" s="5"/>
      <c r="D545" s="5"/>
      <c r="E545" s="24"/>
      <c r="F545" s="28"/>
      <c r="G545" s="5"/>
      <c r="H545" s="5"/>
      <c r="I545" s="46"/>
      <c r="K545" s="24"/>
      <c r="L545" s="5"/>
    </row>
    <row r="546">
      <c r="A546" s="5" t="s">
        <v>1061</v>
      </c>
      <c r="B546" s="5">
        <v>1.0</v>
      </c>
      <c r="C546" s="5"/>
      <c r="D546" s="5"/>
      <c r="E546" s="24"/>
      <c r="F546" s="28"/>
      <c r="G546" s="5"/>
      <c r="H546" s="5"/>
      <c r="I546" s="46"/>
      <c r="K546" s="24"/>
      <c r="L546" s="5"/>
    </row>
    <row r="547">
      <c r="A547" s="5" t="s">
        <v>1062</v>
      </c>
      <c r="B547" s="5">
        <v>1.0</v>
      </c>
      <c r="C547" s="5"/>
      <c r="D547" s="5"/>
      <c r="E547" s="24"/>
      <c r="F547" s="28"/>
      <c r="G547" s="5"/>
      <c r="H547" s="5"/>
      <c r="I547" s="46"/>
      <c r="K547" s="24"/>
      <c r="L547" s="5"/>
    </row>
    <row r="548">
      <c r="A548" s="5" t="s">
        <v>1063</v>
      </c>
      <c r="B548" s="5">
        <v>1.0</v>
      </c>
      <c r="C548" s="5"/>
      <c r="D548" s="5"/>
      <c r="E548" s="24"/>
      <c r="F548" s="28"/>
      <c r="G548" s="5"/>
      <c r="H548" s="5"/>
      <c r="I548" s="46"/>
      <c r="K548" s="24"/>
      <c r="L548" s="5"/>
    </row>
    <row r="549">
      <c r="A549" s="5" t="s">
        <v>1064</v>
      </c>
      <c r="B549" s="5">
        <v>1.0</v>
      </c>
      <c r="C549" s="5"/>
      <c r="D549" s="5"/>
      <c r="E549" s="24"/>
      <c r="F549" s="28"/>
      <c r="G549" s="5"/>
      <c r="H549" s="5"/>
      <c r="I549" s="46"/>
      <c r="K549" s="24"/>
      <c r="L549" s="5"/>
    </row>
    <row r="550">
      <c r="A550" s="5" t="s">
        <v>1065</v>
      </c>
      <c r="B550" s="5">
        <v>1.0</v>
      </c>
      <c r="C550" s="5"/>
      <c r="D550" s="5"/>
      <c r="E550" s="24"/>
      <c r="F550" s="28"/>
      <c r="G550" s="5"/>
      <c r="H550" s="5"/>
      <c r="I550" s="46"/>
      <c r="K550" s="24"/>
      <c r="L550" s="5"/>
    </row>
    <row r="551">
      <c r="A551" s="5" t="s">
        <v>1066</v>
      </c>
      <c r="B551" s="5">
        <v>1.0</v>
      </c>
      <c r="C551" s="5"/>
      <c r="D551" s="5"/>
      <c r="E551" s="24"/>
      <c r="F551" s="28"/>
      <c r="G551" s="5"/>
      <c r="H551" s="5"/>
      <c r="I551" s="46"/>
      <c r="K551" s="24"/>
      <c r="L551" s="5"/>
    </row>
    <row r="552">
      <c r="A552" s="5" t="s">
        <v>1067</v>
      </c>
      <c r="B552" s="5">
        <v>1.0</v>
      </c>
      <c r="C552" s="5"/>
      <c r="D552" s="5"/>
      <c r="E552" s="24"/>
      <c r="F552" s="28"/>
      <c r="G552" s="5"/>
      <c r="H552" s="5"/>
      <c r="I552" s="46"/>
      <c r="K552" s="24"/>
      <c r="L552" s="5"/>
    </row>
    <row r="553">
      <c r="A553" s="5" t="s">
        <v>1068</v>
      </c>
      <c r="B553" s="5">
        <v>1.0</v>
      </c>
      <c r="C553" s="5"/>
      <c r="D553" s="5"/>
      <c r="E553" s="24"/>
      <c r="F553" s="28"/>
      <c r="G553" s="5"/>
      <c r="H553" s="5"/>
      <c r="I553" s="46"/>
      <c r="K553" s="24"/>
      <c r="L553" s="5"/>
    </row>
    <row r="554">
      <c r="A554" s="5" t="s">
        <v>1069</v>
      </c>
      <c r="B554" s="5">
        <v>1.0</v>
      </c>
      <c r="C554" s="5"/>
      <c r="D554" s="5"/>
      <c r="E554" s="24"/>
      <c r="F554" s="28"/>
      <c r="G554" s="5"/>
      <c r="H554" s="5"/>
      <c r="I554" s="46"/>
      <c r="K554" s="24"/>
      <c r="L554" s="5"/>
    </row>
    <row r="555">
      <c r="A555" s="5" t="s">
        <v>1070</v>
      </c>
      <c r="B555" s="5">
        <v>1.0</v>
      </c>
      <c r="C555" s="5"/>
      <c r="D555" s="5"/>
      <c r="E555" s="46"/>
      <c r="F555" s="67"/>
      <c r="G555" s="5"/>
      <c r="H555" s="5"/>
      <c r="I555" s="46"/>
      <c r="K555" s="24"/>
      <c r="L555" s="5"/>
    </row>
    <row r="556">
      <c r="A556" s="5" t="s">
        <v>1071</v>
      </c>
      <c r="B556" s="5">
        <v>1.0</v>
      </c>
      <c r="C556" s="5"/>
      <c r="D556" s="5"/>
      <c r="E556" s="24"/>
      <c r="F556" s="28"/>
      <c r="G556" s="5"/>
      <c r="H556" s="5"/>
      <c r="I556" s="46"/>
      <c r="K556" s="24"/>
      <c r="L556" s="5"/>
    </row>
    <row r="557">
      <c r="A557" s="5" t="s">
        <v>1072</v>
      </c>
      <c r="B557" s="5">
        <v>1.0</v>
      </c>
      <c r="C557" s="5"/>
      <c r="D557" s="5"/>
      <c r="E557" s="24"/>
      <c r="F557" s="28"/>
      <c r="G557" s="5"/>
      <c r="H557" s="5"/>
      <c r="I557" s="46"/>
      <c r="K557" s="24"/>
      <c r="L557" s="5"/>
    </row>
    <row r="558">
      <c r="A558" s="5" t="s">
        <v>1073</v>
      </c>
      <c r="B558" s="5">
        <v>1.0</v>
      </c>
      <c r="C558" s="5"/>
      <c r="D558" s="5"/>
      <c r="E558" s="24"/>
      <c r="F558" s="28"/>
      <c r="G558" s="5"/>
      <c r="H558" s="5"/>
      <c r="I558" s="46"/>
      <c r="K558" s="24"/>
      <c r="L558" s="5"/>
    </row>
    <row r="559">
      <c r="A559" s="5" t="s">
        <v>1074</v>
      </c>
      <c r="B559" s="5">
        <v>1.0</v>
      </c>
      <c r="C559" s="5"/>
      <c r="D559" s="5"/>
      <c r="E559" s="24"/>
      <c r="F559" s="28"/>
      <c r="G559" s="5"/>
      <c r="H559" s="5"/>
      <c r="I559" s="46"/>
      <c r="K559" s="24"/>
      <c r="L559" s="5"/>
    </row>
    <row r="560">
      <c r="A560" s="5" t="s">
        <v>1075</v>
      </c>
      <c r="B560" s="5">
        <v>1.0</v>
      </c>
      <c r="C560" s="5"/>
      <c r="D560" s="5"/>
      <c r="E560" s="24"/>
      <c r="F560" s="28"/>
      <c r="G560" s="5"/>
      <c r="H560" s="5"/>
      <c r="I560" s="46"/>
      <c r="K560" s="24"/>
      <c r="L560" s="5"/>
    </row>
    <row r="561">
      <c r="A561" s="5" t="s">
        <v>1076</v>
      </c>
      <c r="B561" s="5">
        <v>1.0</v>
      </c>
      <c r="C561" s="5"/>
      <c r="D561" s="5"/>
      <c r="E561" s="24"/>
      <c r="F561" s="28"/>
      <c r="G561" s="5"/>
      <c r="H561" s="5"/>
      <c r="I561" s="46"/>
      <c r="K561" s="24"/>
      <c r="L561" s="5"/>
    </row>
    <row r="562">
      <c r="A562" s="5" t="s">
        <v>1077</v>
      </c>
      <c r="B562" s="5">
        <v>1.0</v>
      </c>
      <c r="C562" s="5"/>
      <c r="D562" s="5"/>
      <c r="E562" s="24"/>
      <c r="F562" s="28"/>
      <c r="G562" s="5"/>
      <c r="H562" s="5"/>
      <c r="I562" s="46"/>
      <c r="K562" s="24"/>
      <c r="L562" s="5"/>
    </row>
    <row r="563">
      <c r="A563" s="5" t="s">
        <v>1078</v>
      </c>
      <c r="B563" s="5">
        <v>1.0</v>
      </c>
      <c r="C563" s="5"/>
      <c r="D563" s="5"/>
      <c r="E563" s="24"/>
      <c r="F563" s="28"/>
      <c r="G563" s="5"/>
      <c r="H563" s="5"/>
      <c r="I563" s="46"/>
      <c r="K563" s="24"/>
      <c r="L563" s="5"/>
    </row>
    <row r="564">
      <c r="A564" s="5" t="s">
        <v>1079</v>
      </c>
      <c r="B564" s="5">
        <v>1.0</v>
      </c>
      <c r="C564" s="5"/>
      <c r="D564" s="5"/>
      <c r="E564" s="24"/>
      <c r="F564" s="28"/>
      <c r="G564" s="5"/>
      <c r="H564" s="5"/>
      <c r="I564" s="46"/>
      <c r="K564" s="24"/>
      <c r="L564" s="5"/>
    </row>
    <row r="565">
      <c r="A565" s="5" t="s">
        <v>1080</v>
      </c>
      <c r="B565" s="5">
        <v>1.0</v>
      </c>
      <c r="C565" s="5"/>
      <c r="D565" s="5"/>
      <c r="E565" s="24"/>
      <c r="F565" s="28"/>
      <c r="G565" s="5"/>
      <c r="H565" s="5"/>
      <c r="I565" s="46"/>
      <c r="K565" s="24"/>
      <c r="L565" s="5"/>
    </row>
    <row r="566">
      <c r="A566" s="5" t="s">
        <v>1081</v>
      </c>
      <c r="B566" s="5">
        <v>1.0</v>
      </c>
      <c r="C566" s="5"/>
      <c r="D566" s="5"/>
      <c r="E566" s="24"/>
      <c r="F566" s="28"/>
      <c r="G566" s="5"/>
      <c r="H566" s="5"/>
      <c r="I566" s="46"/>
      <c r="K566" s="24"/>
      <c r="L566" s="5"/>
    </row>
    <row r="567">
      <c r="A567" s="5" t="s">
        <v>1082</v>
      </c>
      <c r="B567" s="5">
        <v>1.0</v>
      </c>
      <c r="C567" s="5"/>
      <c r="D567" s="5"/>
      <c r="E567" s="24"/>
      <c r="F567" s="28"/>
      <c r="G567" s="5"/>
      <c r="H567" s="5"/>
      <c r="I567" s="46"/>
      <c r="K567" s="24"/>
      <c r="L567" s="5"/>
    </row>
    <row r="568">
      <c r="A568" s="5" t="s">
        <v>1083</v>
      </c>
      <c r="B568" s="5">
        <v>1.0</v>
      </c>
      <c r="C568" s="5"/>
      <c r="D568" s="5"/>
      <c r="E568" s="24"/>
      <c r="F568" s="28"/>
      <c r="G568" s="5"/>
      <c r="H568" s="5"/>
      <c r="I568" s="46"/>
      <c r="K568" s="24"/>
      <c r="L568" s="5"/>
    </row>
    <row r="569">
      <c r="A569" s="5" t="s">
        <v>1084</v>
      </c>
      <c r="B569" s="5">
        <v>1.0</v>
      </c>
      <c r="C569" s="5"/>
      <c r="D569" s="5"/>
      <c r="E569" s="24"/>
      <c r="F569" s="28"/>
      <c r="G569" s="5"/>
      <c r="H569" s="5"/>
      <c r="I569" s="46"/>
      <c r="K569" s="24"/>
      <c r="L569" s="5"/>
    </row>
    <row r="570">
      <c r="A570" s="5" t="s">
        <v>1085</v>
      </c>
      <c r="B570" s="5">
        <v>1.0</v>
      </c>
      <c r="C570" s="5"/>
      <c r="D570" s="5"/>
      <c r="E570" s="24"/>
      <c r="F570" s="28"/>
      <c r="G570" s="5"/>
      <c r="H570" s="5"/>
      <c r="I570" s="46"/>
      <c r="K570" s="24"/>
      <c r="L570" s="5"/>
    </row>
    <row r="571">
      <c r="A571" s="5" t="s">
        <v>1086</v>
      </c>
      <c r="B571" s="5">
        <v>1.0</v>
      </c>
      <c r="C571" s="5"/>
      <c r="D571" s="5"/>
      <c r="E571" s="24"/>
      <c r="F571" s="28"/>
      <c r="G571" s="5"/>
      <c r="H571" s="5"/>
      <c r="I571" s="46"/>
      <c r="K571" s="24"/>
      <c r="L571" s="5"/>
    </row>
    <row r="572">
      <c r="A572" s="5" t="s">
        <v>1087</v>
      </c>
      <c r="B572" s="5">
        <v>1.0</v>
      </c>
      <c r="C572" s="5"/>
      <c r="D572" s="5"/>
      <c r="E572" s="24"/>
      <c r="F572" s="28"/>
      <c r="G572" s="5"/>
      <c r="H572" s="5"/>
      <c r="I572" s="46"/>
      <c r="K572" s="24"/>
      <c r="L572" s="5"/>
    </row>
    <row r="573">
      <c r="A573" s="5" t="s">
        <v>1088</v>
      </c>
      <c r="B573" s="5">
        <v>1.0</v>
      </c>
      <c r="C573" s="5"/>
      <c r="D573" s="5"/>
      <c r="E573" s="24"/>
      <c r="F573" s="28"/>
      <c r="G573" s="5"/>
      <c r="H573" s="5"/>
      <c r="I573" s="46"/>
      <c r="K573" s="24"/>
      <c r="L573" s="5"/>
    </row>
    <row r="574">
      <c r="A574" s="5" t="s">
        <v>1089</v>
      </c>
      <c r="B574" s="5">
        <v>1.0</v>
      </c>
      <c r="C574" s="5"/>
      <c r="D574" s="5"/>
      <c r="E574" s="24"/>
      <c r="F574" s="28"/>
      <c r="G574" s="5"/>
      <c r="H574" s="5"/>
      <c r="I574" s="46"/>
      <c r="K574" s="24"/>
      <c r="L574" s="5"/>
    </row>
    <row r="575">
      <c r="A575" s="5" t="s">
        <v>1090</v>
      </c>
      <c r="B575" s="5">
        <v>1.0</v>
      </c>
      <c r="C575" s="5"/>
      <c r="D575" s="5"/>
      <c r="E575" s="24"/>
      <c r="F575" s="28"/>
      <c r="G575" s="5"/>
      <c r="H575" s="5"/>
      <c r="I575" s="46"/>
      <c r="K575" s="24"/>
      <c r="L575" s="5"/>
    </row>
    <row r="576">
      <c r="A576" s="5" t="s">
        <v>1091</v>
      </c>
      <c r="B576" s="5">
        <v>1.0</v>
      </c>
      <c r="C576" s="5"/>
      <c r="D576" s="5"/>
      <c r="E576" s="24"/>
      <c r="F576" s="28"/>
      <c r="G576" s="5"/>
      <c r="H576" s="5"/>
      <c r="I576" s="46"/>
      <c r="K576" s="24"/>
      <c r="L576" s="5"/>
    </row>
    <row r="577">
      <c r="A577" s="5" t="s">
        <v>1092</v>
      </c>
      <c r="B577" s="5">
        <v>1.0</v>
      </c>
      <c r="C577" s="5"/>
      <c r="D577" s="5"/>
      <c r="E577" s="24"/>
      <c r="F577" s="28"/>
      <c r="G577" s="5"/>
      <c r="H577" s="5"/>
      <c r="I577" s="46"/>
      <c r="K577" s="24"/>
      <c r="L577" s="5"/>
    </row>
    <row r="578">
      <c r="A578" s="5" t="s">
        <v>1093</v>
      </c>
      <c r="B578" s="5">
        <v>1.0</v>
      </c>
      <c r="C578" s="5"/>
      <c r="D578" s="5"/>
      <c r="E578" s="24"/>
      <c r="F578" s="28"/>
      <c r="G578" s="5"/>
      <c r="H578" s="5"/>
      <c r="I578" s="46"/>
      <c r="K578" s="24"/>
      <c r="L578" s="5"/>
    </row>
    <row r="579">
      <c r="A579" s="5" t="s">
        <v>1094</v>
      </c>
      <c r="B579" s="5">
        <v>1.0</v>
      </c>
      <c r="C579" s="5"/>
      <c r="D579" s="5"/>
      <c r="E579" s="24"/>
      <c r="F579" s="28"/>
      <c r="G579" s="5"/>
      <c r="H579" s="5"/>
      <c r="I579" s="46"/>
      <c r="K579" s="24"/>
      <c r="L579" s="5"/>
    </row>
    <row r="580">
      <c r="A580" s="5" t="s">
        <v>1095</v>
      </c>
      <c r="B580" s="5">
        <v>1.0</v>
      </c>
      <c r="C580" s="5"/>
      <c r="D580" s="5"/>
      <c r="E580" s="24"/>
      <c r="F580" s="28"/>
      <c r="G580" s="5"/>
      <c r="H580" s="5"/>
      <c r="I580" s="46"/>
      <c r="K580" s="24"/>
      <c r="L580" s="5"/>
    </row>
    <row r="581">
      <c r="A581" s="5" t="s">
        <v>1096</v>
      </c>
      <c r="B581" s="5">
        <v>1.0</v>
      </c>
      <c r="C581" s="5"/>
      <c r="D581" s="5"/>
      <c r="E581" s="24"/>
      <c r="F581" s="28"/>
      <c r="G581" s="5"/>
      <c r="H581" s="5"/>
      <c r="I581" s="46"/>
      <c r="K581" s="24"/>
      <c r="L581" s="5"/>
    </row>
    <row r="582">
      <c r="A582" s="5" t="s">
        <v>1097</v>
      </c>
      <c r="B582" s="5">
        <v>1.0</v>
      </c>
      <c r="C582" s="5"/>
      <c r="D582" s="5"/>
      <c r="E582" s="24"/>
      <c r="F582" s="28"/>
      <c r="G582" s="5"/>
      <c r="H582" s="5"/>
      <c r="I582" s="46"/>
      <c r="K582" s="24"/>
      <c r="L582" s="5"/>
    </row>
    <row r="583">
      <c r="A583" s="5" t="s">
        <v>1098</v>
      </c>
      <c r="B583" s="5">
        <v>1.0</v>
      </c>
      <c r="C583" s="5"/>
      <c r="D583" s="5"/>
      <c r="E583" s="24"/>
      <c r="F583" s="28"/>
      <c r="G583" s="5"/>
      <c r="H583" s="5"/>
      <c r="I583" s="46"/>
      <c r="K583" s="24"/>
      <c r="L583" s="5"/>
    </row>
    <row r="584">
      <c r="A584" s="5" t="s">
        <v>1099</v>
      </c>
      <c r="B584" s="5">
        <v>1.0</v>
      </c>
      <c r="C584" s="5"/>
      <c r="D584" s="5"/>
      <c r="E584" s="24"/>
      <c r="F584" s="28"/>
      <c r="G584" s="5"/>
      <c r="H584" s="5"/>
      <c r="I584" s="46"/>
      <c r="K584" s="24"/>
      <c r="L584" s="5"/>
    </row>
    <row r="585">
      <c r="A585" s="5" t="s">
        <v>1100</v>
      </c>
      <c r="B585" s="5">
        <v>1.0</v>
      </c>
      <c r="C585" s="5"/>
      <c r="D585" s="5"/>
      <c r="E585" s="24"/>
      <c r="F585" s="28"/>
      <c r="G585" s="5"/>
      <c r="H585" s="5"/>
      <c r="I585" s="46"/>
      <c r="K585" s="24"/>
      <c r="L585" s="5"/>
    </row>
    <row r="586">
      <c r="A586" s="5" t="s">
        <v>1101</v>
      </c>
      <c r="B586" s="5">
        <v>1.0</v>
      </c>
      <c r="C586" s="5"/>
      <c r="D586" s="5"/>
      <c r="E586" s="24"/>
      <c r="F586" s="28"/>
      <c r="G586" s="5"/>
      <c r="H586" s="5"/>
      <c r="I586" s="46"/>
      <c r="K586" s="24"/>
      <c r="L586" s="5"/>
    </row>
    <row r="587">
      <c r="A587" s="5" t="s">
        <v>1102</v>
      </c>
      <c r="B587" s="5">
        <v>1.0</v>
      </c>
      <c r="C587" s="5"/>
      <c r="D587" s="5"/>
      <c r="E587" s="24"/>
      <c r="F587" s="28"/>
      <c r="G587" s="5"/>
      <c r="H587" s="5"/>
      <c r="I587" s="46"/>
      <c r="K587" s="24"/>
      <c r="L587" s="5"/>
    </row>
    <row r="588">
      <c r="A588" s="5" t="s">
        <v>1103</v>
      </c>
      <c r="B588" s="5">
        <v>1.0</v>
      </c>
      <c r="C588" s="5"/>
      <c r="D588" s="5"/>
      <c r="E588" s="24"/>
      <c r="F588" s="28"/>
      <c r="G588" s="5"/>
      <c r="H588" s="5"/>
      <c r="I588" s="46"/>
      <c r="K588" s="24"/>
      <c r="L588" s="5"/>
    </row>
    <row r="589">
      <c r="A589" s="5" t="s">
        <v>1104</v>
      </c>
      <c r="B589" s="5">
        <v>1.0</v>
      </c>
      <c r="C589" s="5"/>
      <c r="D589" s="5"/>
      <c r="E589" s="24"/>
      <c r="F589" s="28"/>
      <c r="G589" s="5"/>
      <c r="H589" s="5"/>
      <c r="I589" s="46"/>
      <c r="K589" s="24"/>
      <c r="L589" s="5"/>
    </row>
    <row r="590">
      <c r="A590" s="5" t="s">
        <v>1105</v>
      </c>
      <c r="B590" s="5">
        <v>1.0</v>
      </c>
      <c r="C590" s="5"/>
      <c r="D590" s="5"/>
      <c r="E590" s="24"/>
      <c r="F590" s="28"/>
      <c r="G590" s="5"/>
      <c r="H590" s="5"/>
      <c r="I590" s="46"/>
      <c r="K590" s="24"/>
      <c r="L590" s="5"/>
    </row>
    <row r="591">
      <c r="A591" s="5" t="s">
        <v>1106</v>
      </c>
      <c r="B591" s="5">
        <v>1.0</v>
      </c>
      <c r="C591" s="5"/>
      <c r="D591" s="5"/>
      <c r="E591" s="24"/>
      <c r="F591" s="28"/>
      <c r="G591" s="5"/>
      <c r="H591" s="5"/>
      <c r="I591" s="46"/>
      <c r="K591" s="24"/>
      <c r="L591" s="5"/>
    </row>
    <row r="592">
      <c r="A592" s="5" t="s">
        <v>1107</v>
      </c>
      <c r="B592" s="5">
        <v>1.0</v>
      </c>
      <c r="C592" s="5"/>
      <c r="D592" s="5"/>
      <c r="E592" s="24"/>
      <c r="F592" s="28"/>
      <c r="G592" s="5"/>
      <c r="H592" s="5"/>
      <c r="I592" s="46"/>
      <c r="K592" s="24"/>
      <c r="L592" s="5"/>
    </row>
    <row r="593">
      <c r="A593" s="5" t="s">
        <v>1108</v>
      </c>
      <c r="B593" s="5">
        <v>1.0</v>
      </c>
      <c r="C593" s="5"/>
      <c r="D593" s="5"/>
      <c r="E593" s="24"/>
      <c r="F593" s="28"/>
      <c r="G593" s="5"/>
      <c r="H593" s="5"/>
      <c r="I593" s="46"/>
      <c r="K593" s="24"/>
      <c r="L593" s="5"/>
    </row>
    <row r="594">
      <c r="A594" s="5" t="s">
        <v>1109</v>
      </c>
      <c r="B594" s="5">
        <v>1.0</v>
      </c>
      <c r="C594" s="5"/>
      <c r="D594" s="5"/>
      <c r="E594" s="24"/>
      <c r="F594" s="28"/>
      <c r="G594" s="5"/>
      <c r="H594" s="5"/>
      <c r="I594" s="46"/>
      <c r="K594" s="24"/>
      <c r="L594" s="5"/>
    </row>
    <row r="595">
      <c r="A595" s="5" t="s">
        <v>1110</v>
      </c>
      <c r="B595" s="5">
        <v>1.0</v>
      </c>
      <c r="C595" s="5"/>
      <c r="D595" s="5"/>
      <c r="E595" s="24"/>
      <c r="F595" s="28"/>
      <c r="G595" s="5"/>
      <c r="H595" s="5"/>
      <c r="I595" s="46"/>
      <c r="K595" s="24"/>
      <c r="L595" s="5"/>
    </row>
    <row r="596">
      <c r="A596" s="5" t="s">
        <v>1111</v>
      </c>
      <c r="B596" s="5">
        <v>1.0</v>
      </c>
      <c r="C596" s="5"/>
      <c r="D596" s="5"/>
      <c r="E596" s="24"/>
      <c r="F596" s="28"/>
      <c r="G596" s="5"/>
      <c r="H596" s="5"/>
      <c r="I596" s="46"/>
      <c r="K596" s="24"/>
      <c r="L596" s="5"/>
    </row>
    <row r="597">
      <c r="A597" s="5" t="s">
        <v>1112</v>
      </c>
      <c r="B597" s="5">
        <v>1.0</v>
      </c>
      <c r="C597" s="5"/>
      <c r="D597" s="5"/>
      <c r="E597" s="24"/>
      <c r="F597" s="28"/>
      <c r="G597" s="5"/>
      <c r="H597" s="5"/>
      <c r="I597" s="46"/>
      <c r="K597" s="24"/>
      <c r="L597" s="5"/>
    </row>
    <row r="598">
      <c r="A598" s="5" t="s">
        <v>1113</v>
      </c>
      <c r="B598" s="5">
        <v>1.0</v>
      </c>
      <c r="C598" s="5"/>
      <c r="D598" s="5"/>
      <c r="E598" s="24"/>
      <c r="F598" s="28"/>
      <c r="G598" s="5"/>
      <c r="H598" s="5"/>
      <c r="I598" s="46"/>
      <c r="K598" s="24"/>
      <c r="L598" s="5"/>
    </row>
    <row r="599">
      <c r="A599" s="5" t="s">
        <v>1114</v>
      </c>
      <c r="B599" s="5">
        <v>1.0</v>
      </c>
      <c r="C599" s="5"/>
      <c r="D599" s="5"/>
      <c r="E599" s="24"/>
      <c r="F599" s="28"/>
      <c r="G599" s="5"/>
      <c r="H599" s="5"/>
      <c r="I599" s="46"/>
      <c r="K599" s="24"/>
      <c r="L599" s="5"/>
    </row>
    <row r="600">
      <c r="A600" s="5" t="s">
        <v>1115</v>
      </c>
      <c r="B600" s="5">
        <v>1.0</v>
      </c>
      <c r="C600" s="5"/>
      <c r="D600" s="5"/>
      <c r="E600" s="24"/>
      <c r="F600" s="28"/>
      <c r="G600" s="5"/>
      <c r="H600" s="5"/>
      <c r="I600" s="46"/>
      <c r="K600" s="24"/>
      <c r="L600" s="5"/>
    </row>
    <row r="601">
      <c r="A601" s="5" t="s">
        <v>1116</v>
      </c>
      <c r="B601" s="5">
        <v>1.0</v>
      </c>
      <c r="C601" s="5"/>
      <c r="D601" s="5"/>
      <c r="E601" s="24"/>
      <c r="F601" s="28"/>
      <c r="G601" s="5"/>
      <c r="H601" s="5"/>
      <c r="I601" s="46"/>
      <c r="K601" s="24"/>
      <c r="L601" s="5"/>
    </row>
    <row r="602">
      <c r="A602" s="5" t="s">
        <v>1117</v>
      </c>
      <c r="B602" s="5">
        <v>1.0</v>
      </c>
      <c r="C602" s="5"/>
      <c r="D602" s="5"/>
      <c r="E602" s="24"/>
      <c r="F602" s="28"/>
      <c r="G602" s="5"/>
      <c r="H602" s="5"/>
      <c r="I602" s="46"/>
      <c r="K602" s="24"/>
      <c r="L602" s="5"/>
    </row>
    <row r="603">
      <c r="A603" s="5" t="s">
        <v>1118</v>
      </c>
      <c r="B603" s="5">
        <v>1.0</v>
      </c>
      <c r="C603" s="5"/>
      <c r="D603" s="5"/>
      <c r="E603" s="24"/>
      <c r="F603" s="28"/>
      <c r="G603" s="5"/>
      <c r="H603" s="5"/>
      <c r="I603" s="46"/>
      <c r="K603" s="24"/>
      <c r="L603" s="5"/>
    </row>
    <row r="604">
      <c r="A604" s="5" t="s">
        <v>1119</v>
      </c>
      <c r="B604" s="5">
        <v>1.0</v>
      </c>
      <c r="C604" s="5"/>
      <c r="D604" s="5"/>
      <c r="E604" s="24"/>
      <c r="F604" s="28"/>
      <c r="G604" s="5"/>
      <c r="H604" s="5"/>
      <c r="I604" s="46"/>
      <c r="K604" s="24"/>
      <c r="L604" s="5"/>
    </row>
    <row r="605">
      <c r="A605" s="5" t="s">
        <v>1120</v>
      </c>
      <c r="B605" s="5">
        <v>1.0</v>
      </c>
      <c r="C605" s="5"/>
      <c r="D605" s="5"/>
      <c r="E605" s="24"/>
      <c r="F605" s="28"/>
      <c r="G605" s="5"/>
      <c r="H605" s="5"/>
      <c r="I605" s="46"/>
      <c r="K605" s="24"/>
      <c r="L605" s="5"/>
    </row>
    <row r="606">
      <c r="A606" s="5" t="s">
        <v>1121</v>
      </c>
      <c r="B606" s="5">
        <v>1.0</v>
      </c>
      <c r="C606" s="5"/>
      <c r="D606" s="5"/>
      <c r="E606" s="24"/>
      <c r="F606" s="28"/>
      <c r="G606" s="5"/>
      <c r="H606" s="5"/>
      <c r="I606" s="46"/>
      <c r="K606" s="24"/>
      <c r="L606" s="5"/>
    </row>
    <row r="607">
      <c r="A607" s="5" t="s">
        <v>1122</v>
      </c>
      <c r="B607" s="5">
        <v>1.0</v>
      </c>
      <c r="C607" s="5"/>
      <c r="D607" s="5"/>
      <c r="E607" s="24"/>
      <c r="F607" s="28"/>
      <c r="G607" s="5"/>
      <c r="H607" s="5"/>
      <c r="I607" s="46"/>
      <c r="K607" s="24"/>
      <c r="L607" s="5"/>
    </row>
    <row r="608">
      <c r="A608" s="5" t="s">
        <v>1123</v>
      </c>
      <c r="B608" s="5">
        <v>1.0</v>
      </c>
      <c r="C608" s="5"/>
      <c r="D608" s="5"/>
      <c r="E608" s="24"/>
      <c r="F608" s="28"/>
      <c r="G608" s="5"/>
      <c r="H608" s="5"/>
      <c r="I608" s="46"/>
      <c r="K608" s="24"/>
      <c r="L608" s="5"/>
    </row>
    <row r="609">
      <c r="A609" s="5" t="s">
        <v>1124</v>
      </c>
      <c r="B609" s="5">
        <v>1.0</v>
      </c>
      <c r="C609" s="5"/>
      <c r="D609" s="5"/>
      <c r="E609" s="24"/>
      <c r="F609" s="28"/>
      <c r="G609" s="5"/>
      <c r="H609" s="5"/>
      <c r="I609" s="46"/>
      <c r="K609" s="24"/>
      <c r="L609" s="5"/>
    </row>
    <row r="610">
      <c r="A610" s="5" t="s">
        <v>1125</v>
      </c>
      <c r="B610" s="5">
        <v>1.0</v>
      </c>
      <c r="C610" s="5"/>
      <c r="D610" s="5"/>
      <c r="E610" s="24"/>
      <c r="F610" s="28"/>
      <c r="G610" s="5"/>
      <c r="H610" s="5"/>
      <c r="I610" s="46"/>
      <c r="K610" s="24"/>
      <c r="L610" s="5"/>
    </row>
    <row r="611">
      <c r="A611" s="5" t="s">
        <v>1126</v>
      </c>
      <c r="B611" s="5">
        <v>1.0</v>
      </c>
      <c r="C611" s="5"/>
      <c r="D611" s="5"/>
      <c r="E611" s="24"/>
      <c r="F611" s="28"/>
      <c r="G611" s="5"/>
      <c r="H611" s="5"/>
      <c r="I611" s="46"/>
      <c r="K611" s="24"/>
      <c r="L611" s="5"/>
    </row>
    <row r="612">
      <c r="A612" s="5" t="s">
        <v>1127</v>
      </c>
      <c r="B612" s="5">
        <v>1.0</v>
      </c>
      <c r="C612" s="5"/>
      <c r="D612" s="5"/>
      <c r="E612" s="24"/>
      <c r="F612" s="28"/>
      <c r="G612" s="5"/>
      <c r="H612" s="5"/>
      <c r="I612" s="46"/>
      <c r="K612" s="24"/>
      <c r="L612" s="5"/>
    </row>
    <row r="613">
      <c r="A613" s="5" t="s">
        <v>1128</v>
      </c>
      <c r="B613" s="5">
        <v>1.0</v>
      </c>
      <c r="C613" s="5"/>
      <c r="D613" s="5"/>
      <c r="E613" s="24"/>
      <c r="F613" s="28"/>
      <c r="G613" s="5"/>
      <c r="H613" s="5"/>
      <c r="I613" s="46"/>
      <c r="K613" s="24"/>
      <c r="L613" s="5"/>
    </row>
    <row r="614">
      <c r="A614" s="5" t="s">
        <v>1129</v>
      </c>
      <c r="B614" s="5">
        <v>1.0</v>
      </c>
      <c r="C614" s="5"/>
      <c r="D614" s="5"/>
      <c r="E614" s="24"/>
      <c r="F614" s="28"/>
      <c r="G614" s="5"/>
      <c r="H614" s="5"/>
      <c r="I614" s="46"/>
      <c r="K614" s="24"/>
      <c r="L614" s="5"/>
    </row>
    <row r="615">
      <c r="A615" s="5" t="s">
        <v>1130</v>
      </c>
      <c r="B615" s="5">
        <v>1.0</v>
      </c>
      <c r="C615" s="5"/>
      <c r="D615" s="5"/>
      <c r="E615" s="24"/>
      <c r="F615" s="28"/>
      <c r="G615" s="5"/>
      <c r="H615" s="5"/>
      <c r="I615" s="46"/>
      <c r="K615" s="24"/>
      <c r="L615" s="5"/>
    </row>
    <row r="616">
      <c r="A616" s="5" t="s">
        <v>1131</v>
      </c>
      <c r="B616" s="5">
        <v>1.0</v>
      </c>
      <c r="C616" s="5"/>
      <c r="D616" s="5"/>
      <c r="E616" s="24"/>
      <c r="F616" s="28"/>
      <c r="G616" s="5"/>
      <c r="H616" s="5"/>
      <c r="I616" s="46"/>
      <c r="K616" s="24"/>
      <c r="L616" s="5"/>
    </row>
    <row r="617">
      <c r="A617" s="5" t="s">
        <v>1132</v>
      </c>
      <c r="B617" s="5">
        <v>1.0</v>
      </c>
      <c r="C617" s="5"/>
      <c r="D617" s="5"/>
      <c r="E617" s="24"/>
      <c r="F617" s="28"/>
      <c r="G617" s="5"/>
      <c r="H617" s="5"/>
      <c r="I617" s="46"/>
      <c r="K617" s="24"/>
      <c r="L617" s="5"/>
    </row>
    <row r="618">
      <c r="A618" s="5" t="s">
        <v>1133</v>
      </c>
      <c r="B618" s="5">
        <v>1.0</v>
      </c>
      <c r="C618" s="5"/>
      <c r="D618" s="5"/>
      <c r="E618" s="24"/>
      <c r="F618" s="28"/>
      <c r="G618" s="5"/>
      <c r="H618" s="5"/>
      <c r="I618" s="46"/>
      <c r="K618" s="24"/>
      <c r="L618" s="5"/>
    </row>
    <row r="619">
      <c r="A619" s="5" t="s">
        <v>1134</v>
      </c>
      <c r="B619" s="5">
        <v>1.0</v>
      </c>
      <c r="C619" s="5"/>
      <c r="D619" s="5"/>
      <c r="E619" s="24"/>
      <c r="F619" s="28"/>
      <c r="G619" s="5"/>
      <c r="H619" s="5"/>
      <c r="I619" s="46"/>
      <c r="K619" s="24"/>
      <c r="L619" s="5"/>
    </row>
    <row r="620">
      <c r="A620" s="5" t="s">
        <v>1135</v>
      </c>
      <c r="B620" s="5">
        <v>1.0</v>
      </c>
      <c r="C620" s="5"/>
      <c r="D620" s="5"/>
      <c r="E620" s="24"/>
      <c r="F620" s="28"/>
      <c r="G620" s="5"/>
      <c r="H620" s="5"/>
      <c r="I620" s="46"/>
      <c r="K620" s="24"/>
      <c r="L620" s="5"/>
    </row>
    <row r="621">
      <c r="A621" s="5" t="s">
        <v>1136</v>
      </c>
      <c r="B621" s="5">
        <v>1.0</v>
      </c>
      <c r="C621" s="5"/>
      <c r="D621" s="5"/>
      <c r="E621" s="24"/>
      <c r="F621" s="28"/>
      <c r="G621" s="5"/>
      <c r="H621" s="5"/>
      <c r="I621" s="46"/>
      <c r="K621" s="24"/>
      <c r="L621" s="5"/>
    </row>
    <row r="622">
      <c r="A622" s="5" t="s">
        <v>1137</v>
      </c>
      <c r="B622" s="5">
        <v>1.0</v>
      </c>
      <c r="C622" s="5"/>
      <c r="D622" s="5"/>
      <c r="E622" s="24"/>
      <c r="F622" s="28"/>
      <c r="G622" s="5"/>
      <c r="H622" s="5"/>
      <c r="I622" s="46"/>
      <c r="K622" s="24"/>
      <c r="L622" s="5"/>
    </row>
    <row r="623">
      <c r="A623" s="5" t="s">
        <v>1138</v>
      </c>
      <c r="B623" s="5">
        <v>1.0</v>
      </c>
      <c r="C623" s="5"/>
      <c r="D623" s="5"/>
      <c r="E623" s="24"/>
      <c r="F623" s="28"/>
      <c r="G623" s="5"/>
      <c r="H623" s="5"/>
      <c r="I623" s="46"/>
      <c r="K623" s="24"/>
      <c r="L623" s="5"/>
    </row>
    <row r="624">
      <c r="A624" s="5" t="s">
        <v>1139</v>
      </c>
      <c r="B624" s="5">
        <v>1.0</v>
      </c>
      <c r="C624" s="5"/>
      <c r="D624" s="5"/>
      <c r="E624" s="24"/>
      <c r="F624" s="28"/>
      <c r="G624" s="5"/>
      <c r="H624" s="5"/>
      <c r="I624" s="46"/>
      <c r="K624" s="24"/>
      <c r="L624" s="5"/>
    </row>
    <row r="625">
      <c r="A625" s="5" t="s">
        <v>1140</v>
      </c>
      <c r="B625" s="5">
        <v>1.0</v>
      </c>
      <c r="C625" s="5"/>
      <c r="D625" s="5"/>
      <c r="E625" s="24"/>
      <c r="F625" s="28"/>
      <c r="G625" s="5"/>
      <c r="H625" s="5"/>
      <c r="I625" s="46"/>
      <c r="K625" s="24"/>
      <c r="L625" s="5"/>
    </row>
    <row r="626">
      <c r="A626" s="5" t="s">
        <v>1141</v>
      </c>
      <c r="B626" s="5">
        <v>1.0</v>
      </c>
      <c r="C626" s="5"/>
      <c r="D626" s="5"/>
      <c r="E626" s="24"/>
      <c r="F626" s="28"/>
      <c r="G626" s="5"/>
      <c r="H626" s="5"/>
      <c r="I626" s="46"/>
      <c r="K626" s="24"/>
      <c r="L626" s="5"/>
    </row>
    <row r="627">
      <c r="A627" s="5" t="s">
        <v>1142</v>
      </c>
      <c r="B627" s="5">
        <v>1.0</v>
      </c>
      <c r="C627" s="5"/>
      <c r="D627" s="5"/>
      <c r="E627" s="24"/>
      <c r="F627" s="28"/>
      <c r="G627" s="5"/>
      <c r="H627" s="5"/>
      <c r="I627" s="46"/>
      <c r="K627" s="24"/>
      <c r="L627" s="5"/>
    </row>
    <row r="628">
      <c r="A628" s="5" t="s">
        <v>1143</v>
      </c>
      <c r="B628" s="5">
        <v>1.0</v>
      </c>
      <c r="C628" s="5"/>
      <c r="D628" s="5"/>
      <c r="E628" s="24"/>
      <c r="F628" s="28"/>
      <c r="G628" s="5"/>
      <c r="H628" s="5"/>
      <c r="I628" s="46"/>
      <c r="K628" s="24"/>
      <c r="L628" s="5"/>
    </row>
    <row r="629">
      <c r="A629" s="5" t="s">
        <v>1144</v>
      </c>
      <c r="B629" s="5">
        <v>1.0</v>
      </c>
      <c r="C629" s="5"/>
      <c r="D629" s="5"/>
      <c r="E629" s="24"/>
      <c r="F629" s="28"/>
      <c r="G629" s="5"/>
      <c r="H629" s="5"/>
      <c r="I629" s="46"/>
      <c r="K629" s="24"/>
      <c r="L629" s="5"/>
    </row>
    <row r="630">
      <c r="A630" s="5" t="s">
        <v>1145</v>
      </c>
      <c r="B630" s="5">
        <v>1.0</v>
      </c>
      <c r="C630" s="5"/>
      <c r="D630" s="5"/>
      <c r="E630" s="24"/>
      <c r="F630" s="28"/>
      <c r="G630" s="5"/>
      <c r="H630" s="5"/>
      <c r="I630" s="46"/>
      <c r="K630" s="24"/>
      <c r="L630" s="5"/>
    </row>
    <row r="631">
      <c r="A631" s="5" t="s">
        <v>1146</v>
      </c>
      <c r="B631" s="5">
        <v>1.0</v>
      </c>
      <c r="C631" s="5"/>
      <c r="D631" s="5"/>
      <c r="E631" s="24"/>
      <c r="F631" s="28"/>
      <c r="G631" s="5"/>
      <c r="H631" s="5"/>
      <c r="I631" s="46"/>
      <c r="K631" s="24"/>
      <c r="L631" s="5"/>
    </row>
    <row r="632">
      <c r="A632" s="5" t="s">
        <v>1147</v>
      </c>
      <c r="B632" s="5">
        <v>1.0</v>
      </c>
      <c r="C632" s="5"/>
      <c r="D632" s="5"/>
      <c r="E632" s="24"/>
      <c r="F632" s="28"/>
      <c r="G632" s="5"/>
      <c r="H632" s="5"/>
      <c r="I632" s="46"/>
      <c r="K632" s="24"/>
      <c r="L632" s="5"/>
    </row>
    <row r="633">
      <c r="A633" s="5" t="s">
        <v>1148</v>
      </c>
      <c r="B633" s="5">
        <v>1.0</v>
      </c>
      <c r="C633" s="5"/>
      <c r="D633" s="5"/>
      <c r="E633" s="24"/>
      <c r="F633" s="28"/>
      <c r="G633" s="5"/>
      <c r="H633" s="5"/>
      <c r="I633" s="46"/>
      <c r="K633" s="24"/>
      <c r="L633" s="5"/>
    </row>
    <row r="634">
      <c r="A634" s="5" t="s">
        <v>1149</v>
      </c>
      <c r="B634" s="5">
        <v>1.0</v>
      </c>
      <c r="C634" s="5"/>
      <c r="D634" s="5"/>
      <c r="E634" s="24"/>
      <c r="F634" s="28"/>
      <c r="G634" s="5"/>
      <c r="H634" s="5"/>
      <c r="I634" s="46"/>
      <c r="K634" s="24"/>
      <c r="L634" s="5"/>
    </row>
    <row r="635">
      <c r="A635" s="5" t="s">
        <v>1150</v>
      </c>
      <c r="B635" s="5">
        <v>1.0</v>
      </c>
      <c r="C635" s="5"/>
      <c r="D635" s="5"/>
      <c r="E635" s="24"/>
      <c r="F635" s="28"/>
      <c r="G635" s="5"/>
      <c r="H635" s="5"/>
      <c r="I635" s="46"/>
      <c r="K635" s="24"/>
      <c r="L635" s="5"/>
    </row>
    <row r="636">
      <c r="A636" s="5" t="s">
        <v>1151</v>
      </c>
      <c r="B636" s="5">
        <v>1.0</v>
      </c>
      <c r="C636" s="5"/>
      <c r="D636" s="5"/>
      <c r="E636" s="24"/>
      <c r="F636" s="28"/>
      <c r="G636" s="5"/>
      <c r="H636" s="5"/>
      <c r="I636" s="46"/>
      <c r="K636" s="24"/>
      <c r="L636" s="5"/>
    </row>
    <row r="637">
      <c r="A637" s="5" t="s">
        <v>1152</v>
      </c>
      <c r="B637" s="5">
        <v>1.0</v>
      </c>
      <c r="C637" s="5"/>
      <c r="D637" s="5"/>
      <c r="E637" s="24"/>
      <c r="F637" s="28"/>
      <c r="G637" s="5"/>
      <c r="H637" s="5"/>
      <c r="I637" s="46"/>
      <c r="K637" s="24"/>
      <c r="L637" s="5"/>
    </row>
    <row r="638">
      <c r="A638" s="5" t="s">
        <v>1153</v>
      </c>
      <c r="B638" s="5">
        <v>1.0</v>
      </c>
      <c r="C638" s="5"/>
      <c r="D638" s="5"/>
      <c r="E638" s="24"/>
      <c r="F638" s="28"/>
      <c r="G638" s="5"/>
      <c r="H638" s="5"/>
      <c r="I638" s="46"/>
      <c r="K638" s="24"/>
      <c r="L638" s="5"/>
    </row>
    <row r="639">
      <c r="A639" s="5" t="s">
        <v>1154</v>
      </c>
      <c r="B639" s="5">
        <v>1.0</v>
      </c>
      <c r="C639" s="5"/>
      <c r="D639" s="5"/>
      <c r="E639" s="24"/>
      <c r="F639" s="28"/>
      <c r="G639" s="5"/>
      <c r="H639" s="5"/>
      <c r="I639" s="46"/>
      <c r="K639" s="24"/>
      <c r="L639" s="5"/>
    </row>
    <row r="640">
      <c r="A640" s="5" t="s">
        <v>1155</v>
      </c>
      <c r="B640" s="5">
        <v>1.0</v>
      </c>
      <c r="C640" s="5"/>
      <c r="D640" s="5"/>
      <c r="E640" s="24"/>
      <c r="F640" s="28"/>
      <c r="G640" s="5"/>
      <c r="H640" s="5"/>
      <c r="I640" s="46"/>
      <c r="K640" s="24"/>
      <c r="L640" s="5"/>
    </row>
    <row r="641">
      <c r="A641" s="5" t="s">
        <v>1156</v>
      </c>
      <c r="B641" s="5">
        <v>1.0</v>
      </c>
      <c r="C641" s="5"/>
      <c r="D641" s="5"/>
      <c r="E641" s="24"/>
      <c r="F641" s="28"/>
      <c r="G641" s="5"/>
      <c r="H641" s="5"/>
      <c r="I641" s="46"/>
      <c r="K641" s="24"/>
      <c r="L641" s="5"/>
    </row>
    <row r="642">
      <c r="A642" s="5" t="s">
        <v>1157</v>
      </c>
      <c r="B642" s="5">
        <v>1.0</v>
      </c>
      <c r="C642" s="5"/>
      <c r="D642" s="5"/>
      <c r="E642" s="24"/>
      <c r="F642" s="28"/>
      <c r="G642" s="5"/>
      <c r="H642" s="5"/>
      <c r="I642" s="46"/>
      <c r="K642" s="24"/>
      <c r="L642" s="5"/>
    </row>
    <row r="643">
      <c r="A643" s="5" t="s">
        <v>1158</v>
      </c>
      <c r="B643" s="5">
        <v>1.0</v>
      </c>
      <c r="C643" s="5"/>
      <c r="D643" s="5"/>
      <c r="E643" s="24"/>
      <c r="F643" s="28"/>
      <c r="G643" s="5"/>
      <c r="H643" s="5"/>
      <c r="I643" s="46"/>
      <c r="K643" s="24"/>
      <c r="L643" s="5"/>
    </row>
    <row r="644">
      <c r="A644" s="5" t="s">
        <v>1159</v>
      </c>
      <c r="B644" s="5">
        <v>1.0</v>
      </c>
      <c r="C644" s="5"/>
      <c r="D644" s="5"/>
      <c r="E644" s="24"/>
      <c r="F644" s="28"/>
      <c r="G644" s="5"/>
      <c r="H644" s="5"/>
      <c r="I644" s="46"/>
      <c r="K644" s="24"/>
      <c r="L644" s="5"/>
    </row>
    <row r="645">
      <c r="A645" s="5" t="s">
        <v>1160</v>
      </c>
      <c r="B645" s="5">
        <v>1.0</v>
      </c>
      <c r="C645" s="5"/>
      <c r="D645" s="5"/>
      <c r="E645" s="24"/>
      <c r="F645" s="28"/>
      <c r="G645" s="5"/>
      <c r="H645" s="5"/>
      <c r="I645" s="46"/>
      <c r="K645" s="24"/>
      <c r="L645" s="5"/>
    </row>
    <row r="646">
      <c r="A646" s="5" t="s">
        <v>1161</v>
      </c>
      <c r="B646" s="5">
        <v>1.0</v>
      </c>
      <c r="C646" s="5"/>
      <c r="D646" s="5"/>
      <c r="E646" s="24"/>
      <c r="F646" s="28"/>
      <c r="G646" s="5"/>
      <c r="H646" s="5"/>
      <c r="I646" s="46"/>
      <c r="K646" s="24"/>
      <c r="L646" s="5"/>
    </row>
    <row r="647">
      <c r="A647" s="5" t="s">
        <v>1162</v>
      </c>
      <c r="B647" s="5">
        <v>1.0</v>
      </c>
      <c r="C647" s="5"/>
      <c r="D647" s="5"/>
      <c r="E647" s="24"/>
      <c r="F647" s="28"/>
      <c r="G647" s="5"/>
      <c r="H647" s="5"/>
      <c r="I647" s="46"/>
      <c r="K647" s="24"/>
      <c r="L647" s="5"/>
    </row>
    <row r="648">
      <c r="A648" s="5" t="s">
        <v>1163</v>
      </c>
      <c r="B648" s="5">
        <v>1.0</v>
      </c>
      <c r="C648" s="5"/>
      <c r="D648" s="5"/>
      <c r="E648" s="24"/>
      <c r="F648" s="28"/>
      <c r="G648" s="5"/>
      <c r="H648" s="5"/>
      <c r="I648" s="46"/>
      <c r="K648" s="24"/>
      <c r="L648" s="5"/>
    </row>
    <row r="649">
      <c r="A649" s="5" t="s">
        <v>1164</v>
      </c>
      <c r="B649" s="5">
        <v>1.0</v>
      </c>
      <c r="C649" s="5"/>
      <c r="D649" s="5"/>
      <c r="E649" s="24"/>
      <c r="F649" s="28"/>
      <c r="G649" s="5"/>
      <c r="H649" s="5"/>
      <c r="I649" s="46"/>
      <c r="K649" s="24"/>
      <c r="L649" s="5"/>
    </row>
    <row r="650">
      <c r="A650" s="5" t="s">
        <v>1165</v>
      </c>
      <c r="B650" s="5">
        <v>1.0</v>
      </c>
      <c r="C650" s="5"/>
      <c r="D650" s="5"/>
      <c r="E650" s="24"/>
      <c r="F650" s="28"/>
      <c r="G650" s="5"/>
      <c r="H650" s="5"/>
      <c r="I650" s="46"/>
      <c r="K650" s="24"/>
      <c r="L650" s="5"/>
    </row>
    <row r="651">
      <c r="A651" s="5" t="s">
        <v>1166</v>
      </c>
      <c r="B651" s="5">
        <v>1.0</v>
      </c>
      <c r="C651" s="5"/>
      <c r="D651" s="5"/>
      <c r="E651" s="24"/>
      <c r="F651" s="28"/>
      <c r="G651" s="5"/>
      <c r="H651" s="5"/>
      <c r="I651" s="46"/>
      <c r="K651" s="24"/>
      <c r="L651" s="5"/>
    </row>
    <row r="652">
      <c r="A652" s="5" t="s">
        <v>1167</v>
      </c>
      <c r="B652" s="5">
        <v>1.0</v>
      </c>
      <c r="C652" s="5"/>
      <c r="D652" s="5"/>
      <c r="E652" s="24"/>
      <c r="F652" s="28"/>
      <c r="G652" s="5"/>
      <c r="H652" s="5"/>
      <c r="I652" s="46"/>
      <c r="K652" s="24"/>
      <c r="L652" s="5"/>
    </row>
    <row r="653">
      <c r="A653" s="5" t="s">
        <v>1168</v>
      </c>
      <c r="B653" s="5">
        <v>1.0</v>
      </c>
      <c r="C653" s="5"/>
      <c r="D653" s="5"/>
      <c r="E653" s="24"/>
      <c r="F653" s="28"/>
      <c r="G653" s="5"/>
      <c r="H653" s="5"/>
      <c r="I653" s="46"/>
      <c r="K653" s="24"/>
      <c r="L653" s="5"/>
    </row>
    <row r="654">
      <c r="A654" s="5" t="s">
        <v>1169</v>
      </c>
      <c r="B654" s="5">
        <v>1.0</v>
      </c>
      <c r="C654" s="5"/>
      <c r="D654" s="5"/>
      <c r="E654" s="24"/>
      <c r="F654" s="28"/>
      <c r="G654" s="5"/>
      <c r="H654" s="5"/>
      <c r="I654" s="46"/>
      <c r="K654" s="24"/>
      <c r="L654" s="5"/>
    </row>
    <row r="655">
      <c r="A655" s="5" t="s">
        <v>1170</v>
      </c>
      <c r="B655" s="5">
        <v>1.0</v>
      </c>
      <c r="C655" s="5"/>
      <c r="D655" s="5"/>
      <c r="E655" s="24"/>
      <c r="F655" s="28"/>
      <c r="G655" s="5"/>
      <c r="H655" s="5"/>
      <c r="I655" s="46"/>
      <c r="K655" s="24"/>
      <c r="L655" s="5"/>
    </row>
    <row r="656">
      <c r="A656" s="5" t="s">
        <v>1171</v>
      </c>
      <c r="B656" s="5">
        <v>1.0</v>
      </c>
      <c r="C656" s="5"/>
      <c r="D656" s="5"/>
      <c r="E656" s="24"/>
      <c r="F656" s="28"/>
      <c r="G656" s="5"/>
      <c r="H656" s="5"/>
      <c r="I656" s="46"/>
      <c r="K656" s="24"/>
      <c r="L656" s="5"/>
    </row>
    <row r="657">
      <c r="A657" s="5" t="s">
        <v>1172</v>
      </c>
      <c r="B657" s="5">
        <v>1.0</v>
      </c>
      <c r="C657" s="5"/>
      <c r="D657" s="5"/>
      <c r="E657" s="24"/>
      <c r="F657" s="28"/>
      <c r="G657" s="5"/>
      <c r="H657" s="5"/>
      <c r="I657" s="46"/>
      <c r="K657" s="24"/>
      <c r="L657" s="5"/>
    </row>
    <row r="658">
      <c r="A658" s="5" t="s">
        <v>1173</v>
      </c>
      <c r="B658" s="5">
        <v>1.0</v>
      </c>
      <c r="C658" s="5"/>
      <c r="D658" s="5"/>
      <c r="E658" s="24"/>
      <c r="F658" s="28"/>
      <c r="G658" s="5"/>
      <c r="H658" s="5"/>
      <c r="I658" s="46"/>
      <c r="K658" s="24"/>
      <c r="L658" s="5"/>
    </row>
    <row r="659">
      <c r="A659" s="5" t="s">
        <v>1174</v>
      </c>
      <c r="B659" s="5">
        <v>1.0</v>
      </c>
      <c r="C659" s="5"/>
      <c r="D659" s="5"/>
      <c r="E659" s="24"/>
      <c r="F659" s="28"/>
      <c r="G659" s="5"/>
      <c r="H659" s="5"/>
      <c r="I659" s="46"/>
      <c r="K659" s="24"/>
      <c r="L659" s="5"/>
    </row>
    <row r="660">
      <c r="A660" s="5" t="s">
        <v>1175</v>
      </c>
      <c r="B660" s="5">
        <v>1.0</v>
      </c>
      <c r="C660" s="5"/>
      <c r="D660" s="5"/>
      <c r="E660" s="24"/>
      <c r="F660" s="28"/>
      <c r="G660" s="5"/>
      <c r="H660" s="5"/>
      <c r="I660" s="46"/>
      <c r="K660" s="24"/>
      <c r="L660" s="5"/>
    </row>
    <row r="661">
      <c r="A661" s="5" t="s">
        <v>1176</v>
      </c>
      <c r="B661" s="5">
        <v>1.0</v>
      </c>
      <c r="C661" s="5"/>
      <c r="D661" s="5"/>
      <c r="E661" s="24"/>
      <c r="F661" s="28"/>
      <c r="G661" s="5"/>
      <c r="H661" s="5"/>
      <c r="I661" s="46"/>
      <c r="K661" s="24"/>
      <c r="L661" s="5"/>
    </row>
    <row r="662">
      <c r="A662" s="5" t="s">
        <v>1177</v>
      </c>
      <c r="B662" s="5">
        <v>1.0</v>
      </c>
      <c r="C662" s="5"/>
      <c r="D662" s="5"/>
      <c r="E662" s="24"/>
      <c r="F662" s="28"/>
      <c r="G662" s="5"/>
      <c r="H662" s="5"/>
      <c r="I662" s="46"/>
      <c r="K662" s="24"/>
      <c r="L662" s="5"/>
    </row>
    <row r="663">
      <c r="A663" s="5" t="s">
        <v>1178</v>
      </c>
      <c r="B663" s="5">
        <v>1.0</v>
      </c>
      <c r="C663" s="5"/>
      <c r="D663" s="5"/>
      <c r="E663" s="24"/>
      <c r="F663" s="28"/>
      <c r="G663" s="5"/>
      <c r="H663" s="5"/>
      <c r="I663" s="46"/>
      <c r="K663" s="24"/>
      <c r="L663" s="5"/>
    </row>
    <row r="664">
      <c r="A664" s="5" t="s">
        <v>1179</v>
      </c>
      <c r="B664" s="5">
        <v>1.0</v>
      </c>
      <c r="C664" s="5"/>
      <c r="D664" s="5"/>
      <c r="E664" s="24"/>
      <c r="F664" s="28"/>
      <c r="G664" s="5"/>
      <c r="H664" s="5"/>
      <c r="I664" s="46"/>
      <c r="K664" s="24"/>
      <c r="L664" s="5"/>
    </row>
    <row r="665">
      <c r="A665" s="5" t="s">
        <v>1180</v>
      </c>
      <c r="B665" s="5">
        <v>1.0</v>
      </c>
      <c r="C665" s="5"/>
      <c r="D665" s="5"/>
      <c r="E665" s="24"/>
      <c r="F665" s="28"/>
      <c r="G665" s="5"/>
      <c r="H665" s="5"/>
      <c r="I665" s="46"/>
      <c r="K665" s="24"/>
      <c r="L665" s="5"/>
    </row>
    <row r="666">
      <c r="A666" s="5" t="s">
        <v>1181</v>
      </c>
      <c r="B666" s="5">
        <v>1.0</v>
      </c>
      <c r="C666" s="5"/>
      <c r="D666" s="5"/>
      <c r="E666" s="24"/>
      <c r="F666" s="28"/>
      <c r="G666" s="5"/>
      <c r="H666" s="5"/>
      <c r="I666" s="46"/>
      <c r="K666" s="24"/>
      <c r="L666" s="5"/>
    </row>
    <row r="667">
      <c r="A667" s="5" t="s">
        <v>1182</v>
      </c>
      <c r="B667" s="5">
        <v>1.0</v>
      </c>
      <c r="C667" s="5"/>
      <c r="D667" s="5"/>
      <c r="E667" s="24"/>
      <c r="F667" s="28"/>
      <c r="G667" s="5"/>
      <c r="H667" s="5"/>
      <c r="I667" s="46"/>
      <c r="K667" s="24"/>
      <c r="L667" s="5"/>
    </row>
    <row r="668">
      <c r="A668" s="5" t="s">
        <v>1183</v>
      </c>
      <c r="B668" s="5">
        <v>1.0</v>
      </c>
      <c r="C668" s="5"/>
      <c r="D668" s="5"/>
      <c r="E668" s="24"/>
      <c r="F668" s="28"/>
      <c r="G668" s="5"/>
      <c r="H668" s="5"/>
      <c r="I668" s="46"/>
      <c r="K668" s="24"/>
      <c r="L668" s="5"/>
    </row>
    <row r="669">
      <c r="A669" s="5" t="s">
        <v>1184</v>
      </c>
      <c r="B669" s="5">
        <v>1.0</v>
      </c>
      <c r="C669" s="5"/>
      <c r="D669" s="5"/>
      <c r="E669" s="24"/>
      <c r="F669" s="28"/>
      <c r="G669" s="5"/>
      <c r="H669" s="5"/>
      <c r="I669" s="46"/>
      <c r="K669" s="24"/>
      <c r="L669" s="5"/>
    </row>
    <row r="670">
      <c r="A670" s="5" t="s">
        <v>1185</v>
      </c>
      <c r="B670" s="5">
        <v>1.0</v>
      </c>
      <c r="C670" s="5"/>
      <c r="D670" s="5"/>
      <c r="E670" s="24"/>
      <c r="F670" s="28"/>
      <c r="G670" s="5"/>
      <c r="H670" s="5"/>
      <c r="I670" s="46"/>
      <c r="K670" s="24"/>
      <c r="L670" s="5"/>
    </row>
    <row r="671">
      <c r="A671" s="5" t="s">
        <v>1186</v>
      </c>
      <c r="B671" s="5">
        <v>1.0</v>
      </c>
      <c r="C671" s="5"/>
      <c r="D671" s="5"/>
      <c r="E671" s="24"/>
      <c r="F671" s="28"/>
      <c r="G671" s="5"/>
      <c r="H671" s="5"/>
      <c r="I671" s="46"/>
      <c r="K671" s="24"/>
      <c r="L671" s="5"/>
    </row>
    <row r="672">
      <c r="A672" s="5" t="s">
        <v>1187</v>
      </c>
      <c r="B672" s="5">
        <v>1.0</v>
      </c>
      <c r="C672" s="5"/>
      <c r="D672" s="5"/>
      <c r="E672" s="24"/>
      <c r="F672" s="28"/>
      <c r="G672" s="5"/>
      <c r="H672" s="5"/>
      <c r="I672" s="46"/>
      <c r="K672" s="24"/>
      <c r="L672" s="5"/>
    </row>
    <row r="673">
      <c r="A673" s="5" t="s">
        <v>1188</v>
      </c>
      <c r="B673" s="5">
        <v>1.0</v>
      </c>
      <c r="C673" s="5"/>
      <c r="D673" s="5"/>
      <c r="E673" s="24"/>
      <c r="F673" s="28"/>
      <c r="G673" s="5"/>
      <c r="H673" s="5"/>
      <c r="I673" s="46"/>
      <c r="K673" s="24"/>
      <c r="L673" s="5"/>
    </row>
    <row r="674">
      <c r="A674" s="5" t="s">
        <v>1189</v>
      </c>
      <c r="B674" s="5">
        <v>1.0</v>
      </c>
      <c r="C674" s="5"/>
      <c r="D674" s="5"/>
      <c r="E674" s="24"/>
      <c r="F674" s="28"/>
      <c r="G674" s="5"/>
      <c r="H674" s="5"/>
      <c r="I674" s="46"/>
      <c r="K674" s="24"/>
      <c r="L674" s="5"/>
    </row>
    <row r="675">
      <c r="A675" s="5" t="s">
        <v>1190</v>
      </c>
      <c r="B675" s="5">
        <v>1.0</v>
      </c>
      <c r="C675" s="5"/>
      <c r="D675" s="5"/>
      <c r="E675" s="24"/>
      <c r="F675" s="28"/>
      <c r="G675" s="5"/>
      <c r="H675" s="5"/>
      <c r="I675" s="46"/>
      <c r="K675" s="24"/>
      <c r="L675" s="5"/>
    </row>
    <row r="676">
      <c r="A676" s="5" t="s">
        <v>1191</v>
      </c>
      <c r="B676" s="5">
        <v>1.0</v>
      </c>
      <c r="C676" s="5"/>
      <c r="D676" s="5"/>
      <c r="E676" s="24"/>
      <c r="F676" s="28"/>
      <c r="G676" s="5"/>
      <c r="H676" s="5"/>
      <c r="I676" s="46"/>
      <c r="K676" s="24"/>
      <c r="L676" s="5"/>
    </row>
    <row r="677">
      <c r="A677" s="5" t="s">
        <v>1192</v>
      </c>
      <c r="B677" s="5">
        <v>1.0</v>
      </c>
      <c r="C677" s="5"/>
      <c r="D677" s="5"/>
      <c r="E677" s="24"/>
      <c r="F677" s="28"/>
      <c r="G677" s="5"/>
      <c r="H677" s="5"/>
      <c r="I677" s="46"/>
      <c r="K677" s="24"/>
      <c r="L677" s="5"/>
    </row>
    <row r="678">
      <c r="A678" s="5" t="s">
        <v>1193</v>
      </c>
      <c r="B678" s="5">
        <v>1.0</v>
      </c>
      <c r="C678" s="5"/>
      <c r="D678" s="5"/>
      <c r="E678" s="24"/>
      <c r="F678" s="28"/>
      <c r="G678" s="5"/>
      <c r="H678" s="5"/>
      <c r="I678" s="46"/>
      <c r="K678" s="24"/>
      <c r="L678" s="5"/>
    </row>
    <row r="679">
      <c r="A679" s="5" t="s">
        <v>1194</v>
      </c>
      <c r="B679" s="5">
        <v>1.0</v>
      </c>
      <c r="C679" s="5"/>
      <c r="D679" s="5"/>
      <c r="E679" s="24"/>
      <c r="F679" s="28"/>
      <c r="G679" s="5"/>
      <c r="H679" s="5"/>
      <c r="I679" s="46"/>
      <c r="K679" s="24"/>
      <c r="L679" s="5"/>
    </row>
    <row r="680">
      <c r="A680" s="5" t="s">
        <v>1195</v>
      </c>
      <c r="B680" s="5">
        <v>1.0</v>
      </c>
      <c r="C680" s="5"/>
      <c r="D680" s="5"/>
      <c r="E680" s="24"/>
      <c r="F680" s="28"/>
      <c r="G680" s="5"/>
      <c r="H680" s="5"/>
      <c r="I680" s="46"/>
      <c r="K680" s="24"/>
      <c r="L680" s="5"/>
    </row>
    <row r="681">
      <c r="A681" s="5" t="s">
        <v>1196</v>
      </c>
      <c r="B681" s="5">
        <v>1.0</v>
      </c>
      <c r="C681" s="5"/>
      <c r="D681" s="5"/>
      <c r="E681" s="24"/>
      <c r="F681" s="28"/>
      <c r="G681" s="5"/>
      <c r="H681" s="5"/>
      <c r="I681" s="46"/>
      <c r="K681" s="24"/>
      <c r="L681" s="5"/>
    </row>
    <row r="682">
      <c r="A682" s="5" t="s">
        <v>1197</v>
      </c>
      <c r="B682" s="5">
        <v>1.0</v>
      </c>
      <c r="C682" s="5"/>
      <c r="D682" s="5"/>
      <c r="E682" s="24"/>
      <c r="F682" s="28"/>
      <c r="G682" s="5"/>
      <c r="H682" s="5"/>
      <c r="I682" s="46"/>
      <c r="K682" s="24"/>
      <c r="L682" s="5"/>
    </row>
    <row r="683">
      <c r="A683" s="5" t="s">
        <v>1198</v>
      </c>
      <c r="B683" s="5">
        <v>1.0</v>
      </c>
      <c r="C683" s="5"/>
      <c r="D683" s="5"/>
      <c r="E683" s="24"/>
      <c r="F683" s="28"/>
      <c r="G683" s="5"/>
      <c r="H683" s="5"/>
      <c r="I683" s="46"/>
      <c r="K683" s="24"/>
      <c r="L683" s="5"/>
    </row>
    <row r="684">
      <c r="A684" s="5" t="s">
        <v>1199</v>
      </c>
      <c r="B684" s="5">
        <v>1.0</v>
      </c>
      <c r="C684" s="5"/>
      <c r="D684" s="5"/>
      <c r="E684" s="24"/>
      <c r="F684" s="28"/>
      <c r="G684" s="5"/>
      <c r="H684" s="5"/>
      <c r="I684" s="46"/>
      <c r="K684" s="24"/>
      <c r="L684" s="5"/>
    </row>
    <row r="685">
      <c r="A685" s="5" t="s">
        <v>1200</v>
      </c>
      <c r="B685" s="5">
        <v>1.0</v>
      </c>
      <c r="C685" s="5"/>
      <c r="D685" s="5"/>
      <c r="E685" s="24"/>
      <c r="F685" s="28"/>
      <c r="G685" s="5"/>
      <c r="H685" s="5"/>
      <c r="I685" s="46"/>
      <c r="K685" s="24"/>
      <c r="L685" s="5"/>
    </row>
    <row r="686">
      <c r="A686" s="5" t="s">
        <v>1201</v>
      </c>
      <c r="B686" s="5">
        <v>1.0</v>
      </c>
      <c r="C686" s="5"/>
      <c r="D686" s="5"/>
      <c r="E686" s="24"/>
      <c r="F686" s="28"/>
      <c r="G686" s="5"/>
      <c r="H686" s="5"/>
      <c r="I686" s="46"/>
      <c r="K686" s="24"/>
      <c r="L686" s="5"/>
    </row>
    <row r="687">
      <c r="A687" s="5" t="s">
        <v>1202</v>
      </c>
      <c r="B687" s="5">
        <v>1.0</v>
      </c>
      <c r="C687" s="5"/>
      <c r="D687" s="5"/>
      <c r="E687" s="24"/>
      <c r="F687" s="28"/>
      <c r="G687" s="5"/>
      <c r="H687" s="5"/>
      <c r="I687" s="46"/>
      <c r="K687" s="24"/>
      <c r="L687" s="5"/>
    </row>
    <row r="688">
      <c r="A688" s="5" t="s">
        <v>1203</v>
      </c>
      <c r="B688" s="5">
        <v>1.0</v>
      </c>
      <c r="C688" s="5"/>
      <c r="D688" s="5"/>
      <c r="E688" s="24"/>
      <c r="F688" s="28"/>
      <c r="G688" s="5"/>
      <c r="H688" s="5"/>
      <c r="I688" s="46"/>
      <c r="K688" s="24"/>
      <c r="L688" s="5"/>
    </row>
    <row r="689">
      <c r="A689" s="5" t="s">
        <v>1204</v>
      </c>
      <c r="B689" s="5">
        <v>1.0</v>
      </c>
      <c r="C689" s="5"/>
      <c r="D689" s="5"/>
      <c r="E689" s="24"/>
      <c r="F689" s="28"/>
      <c r="G689" s="5"/>
      <c r="H689" s="5"/>
      <c r="I689" s="46"/>
      <c r="K689" s="24"/>
      <c r="L689" s="5"/>
    </row>
    <row r="690">
      <c r="A690" s="5" t="s">
        <v>1205</v>
      </c>
      <c r="B690" s="5">
        <v>1.0</v>
      </c>
      <c r="C690" s="5"/>
      <c r="D690" s="5"/>
      <c r="E690" s="24"/>
      <c r="F690" s="28"/>
      <c r="G690" s="5"/>
      <c r="H690" s="5"/>
      <c r="I690" s="46"/>
      <c r="K690" s="24"/>
      <c r="L690" s="5"/>
    </row>
    <row r="691">
      <c r="A691" s="5" t="s">
        <v>1206</v>
      </c>
      <c r="B691" s="5">
        <v>1.0</v>
      </c>
      <c r="C691" s="5"/>
      <c r="D691" s="5"/>
      <c r="E691" s="24"/>
      <c r="F691" s="28"/>
      <c r="G691" s="5"/>
      <c r="H691" s="5"/>
      <c r="I691" s="46"/>
      <c r="K691" s="24"/>
      <c r="L691" s="5"/>
    </row>
    <row r="692">
      <c r="A692" s="5" t="s">
        <v>1207</v>
      </c>
      <c r="B692" s="5">
        <v>1.0</v>
      </c>
      <c r="C692" s="5"/>
      <c r="D692" s="5"/>
      <c r="E692" s="24"/>
      <c r="F692" s="28"/>
      <c r="G692" s="5"/>
      <c r="H692" s="5"/>
      <c r="I692" s="46"/>
      <c r="K692" s="24"/>
      <c r="L692" s="5"/>
    </row>
    <row r="693">
      <c r="A693" s="5" t="s">
        <v>1208</v>
      </c>
      <c r="B693" s="5">
        <v>1.0</v>
      </c>
      <c r="C693" s="5"/>
      <c r="D693" s="5"/>
      <c r="E693" s="24"/>
      <c r="F693" s="28"/>
      <c r="G693" s="5"/>
      <c r="H693" s="5"/>
      <c r="I693" s="46"/>
      <c r="K693" s="24"/>
      <c r="L693" s="5"/>
    </row>
    <row r="694">
      <c r="A694" s="5" t="s">
        <v>1209</v>
      </c>
      <c r="B694" s="5">
        <v>1.0</v>
      </c>
      <c r="C694" s="5"/>
      <c r="D694" s="5"/>
      <c r="E694" s="24"/>
      <c r="F694" s="28"/>
      <c r="G694" s="5"/>
      <c r="H694" s="5"/>
      <c r="I694" s="46"/>
      <c r="K694" s="24"/>
      <c r="L694" s="5"/>
    </row>
    <row r="695">
      <c r="A695" s="5" t="s">
        <v>1210</v>
      </c>
      <c r="B695" s="5">
        <v>1.0</v>
      </c>
      <c r="C695" s="5"/>
      <c r="D695" s="5"/>
      <c r="E695" s="24"/>
      <c r="F695" s="28"/>
      <c r="G695" s="5"/>
      <c r="H695" s="5"/>
      <c r="I695" s="46"/>
      <c r="K695" s="24"/>
      <c r="L695" s="5"/>
    </row>
    <row r="696">
      <c r="A696" s="5" t="s">
        <v>1211</v>
      </c>
      <c r="B696" s="5">
        <v>1.0</v>
      </c>
      <c r="C696" s="5"/>
      <c r="D696" s="5"/>
      <c r="E696" s="46"/>
      <c r="F696" s="67"/>
      <c r="G696" s="5"/>
      <c r="H696" s="5"/>
      <c r="I696" s="46"/>
      <c r="K696" s="24"/>
      <c r="L696" s="5"/>
    </row>
    <row r="697">
      <c r="A697" s="5" t="s">
        <v>1212</v>
      </c>
      <c r="B697" s="5">
        <v>1.0</v>
      </c>
      <c r="C697" s="5"/>
      <c r="D697" s="5"/>
      <c r="E697" s="24"/>
      <c r="F697" s="28"/>
      <c r="G697" s="5"/>
      <c r="H697" s="5"/>
      <c r="I697" s="46"/>
      <c r="K697" s="24"/>
      <c r="L697" s="5"/>
    </row>
    <row r="698">
      <c r="A698" s="5" t="s">
        <v>1213</v>
      </c>
      <c r="B698" s="5">
        <v>1.0</v>
      </c>
      <c r="C698" s="5"/>
      <c r="D698" s="5"/>
      <c r="E698" s="24"/>
      <c r="F698" s="28"/>
      <c r="G698" s="5"/>
      <c r="H698" s="5"/>
      <c r="I698" s="46"/>
      <c r="K698" s="24"/>
      <c r="L698" s="5"/>
    </row>
    <row r="699">
      <c r="A699" s="5" t="s">
        <v>1214</v>
      </c>
      <c r="B699" s="5">
        <v>1.0</v>
      </c>
      <c r="C699" s="5"/>
      <c r="D699" s="5"/>
      <c r="E699" s="24"/>
      <c r="F699" s="28"/>
      <c r="G699" s="5"/>
      <c r="H699" s="5"/>
      <c r="I699" s="46"/>
      <c r="K699" s="24"/>
      <c r="L699" s="5"/>
    </row>
    <row r="700">
      <c r="A700" s="5" t="s">
        <v>1215</v>
      </c>
      <c r="B700" s="5">
        <v>1.0</v>
      </c>
      <c r="C700" s="5"/>
      <c r="D700" s="5"/>
      <c r="E700" s="24"/>
      <c r="F700" s="28"/>
      <c r="G700" s="5"/>
      <c r="H700" s="5"/>
      <c r="I700" s="46"/>
      <c r="K700" s="24"/>
      <c r="L700" s="5"/>
    </row>
    <row r="701">
      <c r="A701" s="5" t="s">
        <v>1216</v>
      </c>
      <c r="B701" s="5">
        <v>1.0</v>
      </c>
      <c r="C701" s="5"/>
      <c r="D701" s="5"/>
      <c r="E701" s="24"/>
      <c r="F701" s="28"/>
      <c r="G701" s="5"/>
      <c r="H701" s="5"/>
      <c r="I701" s="46"/>
      <c r="K701" s="24"/>
      <c r="L701" s="5"/>
    </row>
    <row r="702">
      <c r="A702" s="5" t="s">
        <v>1217</v>
      </c>
      <c r="B702" s="5">
        <v>1.0</v>
      </c>
      <c r="C702" s="5"/>
      <c r="D702" s="5"/>
      <c r="E702" s="24"/>
      <c r="F702" s="28"/>
      <c r="G702" s="5"/>
      <c r="H702" s="5"/>
      <c r="I702" s="46"/>
      <c r="K702" s="24"/>
      <c r="L702" s="5"/>
    </row>
    <row r="703">
      <c r="A703" s="5" t="s">
        <v>1218</v>
      </c>
      <c r="B703" s="5">
        <v>1.0</v>
      </c>
      <c r="C703" s="5"/>
      <c r="D703" s="5"/>
      <c r="E703" s="24"/>
      <c r="F703" s="28"/>
      <c r="G703" s="5"/>
      <c r="H703" s="5"/>
      <c r="I703" s="46"/>
      <c r="K703" s="24"/>
      <c r="L703" s="5"/>
    </row>
    <row r="704">
      <c r="A704" s="5" t="s">
        <v>1219</v>
      </c>
      <c r="B704" s="5">
        <v>1.0</v>
      </c>
      <c r="C704" s="5"/>
      <c r="D704" s="5"/>
      <c r="E704" s="24"/>
      <c r="F704" s="28"/>
      <c r="G704" s="5"/>
      <c r="H704" s="5"/>
      <c r="I704" s="46"/>
      <c r="K704" s="24"/>
      <c r="L704" s="5"/>
    </row>
    <row r="705">
      <c r="A705" s="5" t="s">
        <v>1220</v>
      </c>
      <c r="B705" s="5">
        <v>1.0</v>
      </c>
      <c r="C705" s="5"/>
      <c r="D705" s="5"/>
      <c r="E705" s="24"/>
      <c r="F705" s="28"/>
      <c r="G705" s="5"/>
      <c r="H705" s="5"/>
      <c r="I705" s="46"/>
      <c r="K705" s="24"/>
      <c r="L705" s="5"/>
    </row>
    <row r="706">
      <c r="A706" s="5" t="s">
        <v>1221</v>
      </c>
      <c r="B706" s="5">
        <v>1.0</v>
      </c>
      <c r="C706" s="5"/>
      <c r="D706" s="5"/>
      <c r="E706" s="24"/>
      <c r="F706" s="28"/>
      <c r="G706" s="5"/>
      <c r="H706" s="5"/>
      <c r="I706" s="46"/>
      <c r="K706" s="24"/>
      <c r="L706" s="5"/>
    </row>
    <row r="707">
      <c r="A707" s="5" t="s">
        <v>1222</v>
      </c>
      <c r="B707" s="5">
        <v>1.0</v>
      </c>
      <c r="C707" s="5"/>
      <c r="D707" s="5"/>
      <c r="E707" s="24"/>
      <c r="F707" s="28"/>
      <c r="G707" s="5"/>
      <c r="H707" s="5"/>
      <c r="I707" s="46"/>
      <c r="K707" s="24"/>
      <c r="L707" s="5"/>
    </row>
    <row r="708">
      <c r="A708" s="5" t="s">
        <v>1223</v>
      </c>
      <c r="B708" s="5">
        <v>1.0</v>
      </c>
      <c r="C708" s="5"/>
      <c r="D708" s="5"/>
      <c r="E708" s="24"/>
      <c r="F708" s="28"/>
      <c r="G708" s="5"/>
      <c r="H708" s="5"/>
      <c r="I708" s="46"/>
      <c r="K708" s="24"/>
      <c r="L708" s="5"/>
    </row>
    <row r="709">
      <c r="A709" s="5" t="s">
        <v>1224</v>
      </c>
      <c r="B709" s="5">
        <v>1.0</v>
      </c>
      <c r="C709" s="5"/>
      <c r="D709" s="5"/>
      <c r="E709" s="24"/>
      <c r="F709" s="28"/>
      <c r="G709" s="5"/>
      <c r="H709" s="5"/>
      <c r="I709" s="46"/>
      <c r="K709" s="24"/>
      <c r="L709" s="5"/>
    </row>
    <row r="710">
      <c r="A710" s="5" t="s">
        <v>1225</v>
      </c>
      <c r="B710" s="5">
        <v>1.0</v>
      </c>
      <c r="C710" s="5"/>
      <c r="D710" s="5"/>
      <c r="E710" s="24"/>
      <c r="F710" s="28"/>
      <c r="G710" s="5"/>
      <c r="H710" s="5"/>
      <c r="I710" s="46"/>
      <c r="K710" s="24"/>
      <c r="L710" s="5"/>
    </row>
    <row r="711">
      <c r="A711" s="5" t="s">
        <v>1226</v>
      </c>
      <c r="B711" s="5">
        <v>1.0</v>
      </c>
      <c r="C711" s="5"/>
      <c r="D711" s="5"/>
      <c r="E711" s="24"/>
      <c r="F711" s="28"/>
      <c r="G711" s="5"/>
      <c r="H711" s="5"/>
      <c r="I711" s="46"/>
      <c r="K711" s="24"/>
      <c r="L711" s="5"/>
    </row>
    <row r="712">
      <c r="A712" s="5" t="s">
        <v>1227</v>
      </c>
      <c r="B712" s="5">
        <v>1.0</v>
      </c>
      <c r="C712" s="5"/>
      <c r="D712" s="5"/>
      <c r="E712" s="24"/>
      <c r="F712" s="28"/>
      <c r="G712" s="5"/>
      <c r="H712" s="5"/>
      <c r="I712" s="46"/>
      <c r="K712" s="24"/>
      <c r="L712" s="5"/>
    </row>
    <row r="713">
      <c r="A713" s="5" t="s">
        <v>1228</v>
      </c>
      <c r="B713" s="5">
        <v>1.0</v>
      </c>
      <c r="C713" s="5"/>
      <c r="D713" s="5"/>
      <c r="E713" s="24"/>
      <c r="F713" s="28"/>
      <c r="G713" s="5"/>
      <c r="H713" s="5"/>
      <c r="I713" s="46"/>
      <c r="K713" s="24"/>
      <c r="L713" s="5"/>
    </row>
    <row r="714">
      <c r="A714" s="5" t="s">
        <v>1229</v>
      </c>
      <c r="B714" s="5">
        <v>1.0</v>
      </c>
      <c r="C714" s="5"/>
      <c r="D714" s="5"/>
      <c r="E714" s="24"/>
      <c r="F714" s="28"/>
      <c r="G714" s="5"/>
      <c r="H714" s="5"/>
      <c r="I714" s="46"/>
      <c r="K714" s="24"/>
      <c r="L714" s="5"/>
    </row>
    <row r="715">
      <c r="A715" s="5" t="s">
        <v>1230</v>
      </c>
      <c r="B715" s="5">
        <v>1.0</v>
      </c>
      <c r="C715" s="5"/>
      <c r="D715" s="5"/>
      <c r="E715" s="24"/>
      <c r="F715" s="28"/>
      <c r="G715" s="5"/>
      <c r="H715" s="5"/>
      <c r="I715" s="46"/>
      <c r="K715" s="24"/>
      <c r="L715" s="5"/>
    </row>
    <row r="716">
      <c r="A716" s="5" t="s">
        <v>1231</v>
      </c>
      <c r="B716" s="5">
        <v>1.0</v>
      </c>
      <c r="C716" s="5"/>
      <c r="D716" s="5"/>
      <c r="E716" s="24"/>
      <c r="F716" s="28"/>
      <c r="G716" s="5"/>
      <c r="H716" s="5"/>
      <c r="I716" s="46"/>
      <c r="K716" s="24"/>
      <c r="L716" s="5"/>
    </row>
    <row r="717">
      <c r="A717" s="5" t="s">
        <v>1232</v>
      </c>
      <c r="B717" s="5">
        <v>1.0</v>
      </c>
      <c r="C717" s="5"/>
      <c r="D717" s="5"/>
      <c r="E717" s="24"/>
      <c r="F717" s="28"/>
      <c r="G717" s="5"/>
      <c r="H717" s="5"/>
      <c r="I717" s="46"/>
      <c r="K717" s="24"/>
      <c r="L717" s="5"/>
    </row>
    <row r="718">
      <c r="A718" s="5" t="s">
        <v>1233</v>
      </c>
      <c r="B718" s="5">
        <v>1.0</v>
      </c>
      <c r="C718" s="5"/>
      <c r="D718" s="5"/>
      <c r="E718" s="24"/>
      <c r="F718" s="28"/>
      <c r="G718" s="5"/>
      <c r="H718" s="5"/>
      <c r="I718" s="46"/>
      <c r="K718" s="24"/>
      <c r="L718" s="5"/>
    </row>
    <row r="719">
      <c r="A719" s="5" t="s">
        <v>1234</v>
      </c>
      <c r="B719" s="5">
        <v>1.0</v>
      </c>
      <c r="C719" s="5"/>
      <c r="D719" s="5"/>
      <c r="E719" s="24"/>
      <c r="F719" s="28"/>
      <c r="G719" s="5"/>
      <c r="H719" s="5"/>
      <c r="I719" s="46"/>
      <c r="K719" s="24"/>
      <c r="L719" s="5"/>
    </row>
    <row r="720">
      <c r="A720" s="5" t="s">
        <v>1235</v>
      </c>
      <c r="B720" s="5">
        <v>1.0</v>
      </c>
      <c r="C720" s="5"/>
      <c r="D720" s="5"/>
      <c r="E720" s="24"/>
      <c r="F720" s="28"/>
      <c r="G720" s="5"/>
      <c r="H720" s="5"/>
      <c r="I720" s="46"/>
      <c r="K720" s="24"/>
      <c r="L720" s="5"/>
    </row>
    <row r="721">
      <c r="A721" s="5" t="s">
        <v>1236</v>
      </c>
      <c r="B721" s="5">
        <v>1.0</v>
      </c>
      <c r="C721" s="5"/>
      <c r="D721" s="5"/>
      <c r="E721" s="24"/>
      <c r="F721" s="28"/>
      <c r="G721" s="5"/>
      <c r="H721" s="5"/>
      <c r="I721" s="46"/>
      <c r="K721" s="24"/>
      <c r="L721" s="5"/>
    </row>
    <row r="722">
      <c r="A722" s="5" t="s">
        <v>1237</v>
      </c>
      <c r="B722" s="5">
        <v>1.0</v>
      </c>
      <c r="C722" s="5"/>
      <c r="D722" s="5"/>
      <c r="E722" s="24"/>
      <c r="F722" s="28"/>
      <c r="G722" s="5"/>
      <c r="H722" s="5"/>
      <c r="I722" s="46"/>
      <c r="K722" s="24"/>
      <c r="L722" s="5"/>
    </row>
    <row r="723">
      <c r="A723" s="5" t="s">
        <v>1238</v>
      </c>
      <c r="B723" s="5">
        <v>1.0</v>
      </c>
      <c r="C723" s="5"/>
      <c r="D723" s="5"/>
      <c r="E723" s="24"/>
      <c r="F723" s="28"/>
      <c r="G723" s="5"/>
      <c r="H723" s="5"/>
      <c r="I723" s="46"/>
      <c r="K723" s="24"/>
      <c r="L723" s="5"/>
    </row>
    <row r="724">
      <c r="A724" s="5" t="s">
        <v>1239</v>
      </c>
      <c r="B724" s="5">
        <v>1.0</v>
      </c>
      <c r="C724" s="5"/>
      <c r="D724" s="5"/>
      <c r="E724" s="24"/>
      <c r="F724" s="28"/>
      <c r="G724" s="5"/>
      <c r="H724" s="5"/>
      <c r="I724" s="46"/>
      <c r="K724" s="24"/>
      <c r="L724" s="5"/>
    </row>
    <row r="725">
      <c r="A725" s="5" t="s">
        <v>1240</v>
      </c>
      <c r="B725" s="5">
        <v>1.0</v>
      </c>
      <c r="C725" s="5"/>
      <c r="D725" s="5"/>
      <c r="E725" s="24"/>
      <c r="F725" s="28"/>
      <c r="G725" s="5"/>
      <c r="H725" s="5"/>
      <c r="I725" s="46"/>
      <c r="K725" s="24"/>
      <c r="L725" s="5"/>
    </row>
    <row r="726">
      <c r="A726" s="5" t="s">
        <v>1241</v>
      </c>
      <c r="B726" s="5">
        <v>1.0</v>
      </c>
      <c r="C726" s="5"/>
      <c r="D726" s="5"/>
      <c r="E726" s="24"/>
      <c r="F726" s="28"/>
      <c r="G726" s="5"/>
      <c r="H726" s="5"/>
      <c r="I726" s="46"/>
      <c r="K726" s="24"/>
      <c r="L726" s="5"/>
    </row>
    <row r="727">
      <c r="A727" s="5" t="s">
        <v>1242</v>
      </c>
      <c r="B727" s="5">
        <v>1.0</v>
      </c>
      <c r="C727" s="5"/>
      <c r="D727" s="5"/>
      <c r="E727" s="24"/>
      <c r="F727" s="28"/>
      <c r="G727" s="5"/>
      <c r="H727" s="5"/>
      <c r="I727" s="46"/>
      <c r="K727" s="24"/>
      <c r="L727" s="5"/>
    </row>
    <row r="728">
      <c r="A728" s="5" t="s">
        <v>1243</v>
      </c>
      <c r="B728" s="5">
        <v>1.0</v>
      </c>
      <c r="C728" s="5"/>
      <c r="D728" s="5"/>
      <c r="E728" s="24"/>
      <c r="F728" s="28"/>
      <c r="G728" s="5"/>
      <c r="H728" s="5"/>
      <c r="I728" s="46"/>
      <c r="K728" s="24"/>
      <c r="L728" s="5"/>
    </row>
    <row r="729">
      <c r="A729" s="5" t="s">
        <v>1244</v>
      </c>
      <c r="B729" s="5">
        <v>1.0</v>
      </c>
      <c r="C729" s="5"/>
      <c r="D729" s="5"/>
      <c r="E729" s="24"/>
      <c r="F729" s="28"/>
      <c r="G729" s="5"/>
      <c r="H729" s="5"/>
      <c r="I729" s="46"/>
      <c r="K729" s="24"/>
      <c r="L729" s="5"/>
    </row>
    <row r="730">
      <c r="A730" s="5" t="s">
        <v>1245</v>
      </c>
      <c r="B730" s="5">
        <v>1.0</v>
      </c>
      <c r="C730" s="5"/>
      <c r="D730" s="5"/>
      <c r="E730" s="24"/>
      <c r="F730" s="28"/>
      <c r="G730" s="5"/>
      <c r="H730" s="5"/>
      <c r="I730" s="46"/>
      <c r="K730" s="24"/>
      <c r="L730" s="5"/>
    </row>
    <row r="731">
      <c r="A731" s="5" t="s">
        <v>1246</v>
      </c>
      <c r="B731" s="5">
        <v>1.0</v>
      </c>
      <c r="C731" s="5"/>
      <c r="D731" s="5"/>
      <c r="E731" s="24"/>
      <c r="F731" s="28"/>
      <c r="G731" s="5"/>
      <c r="H731" s="5"/>
      <c r="I731" s="46"/>
      <c r="K731" s="24"/>
      <c r="L731" s="5"/>
    </row>
    <row r="732">
      <c r="A732" s="5" t="s">
        <v>1247</v>
      </c>
      <c r="B732" s="5">
        <v>1.0</v>
      </c>
      <c r="C732" s="5"/>
      <c r="D732" s="5"/>
      <c r="E732" s="24"/>
      <c r="F732" s="28"/>
      <c r="G732" s="5"/>
      <c r="H732" s="5"/>
      <c r="I732" s="46"/>
      <c r="K732" s="24"/>
      <c r="L732" s="5"/>
    </row>
    <row r="733">
      <c r="A733" s="5" t="s">
        <v>1248</v>
      </c>
      <c r="B733" s="5">
        <v>1.0</v>
      </c>
      <c r="C733" s="5"/>
      <c r="D733" s="5"/>
      <c r="E733" s="24"/>
      <c r="F733" s="28"/>
      <c r="G733" s="5"/>
      <c r="H733" s="5"/>
      <c r="I733" s="46"/>
      <c r="K733" s="24"/>
      <c r="L733" s="5"/>
    </row>
    <row r="734">
      <c r="A734" s="5" t="s">
        <v>1249</v>
      </c>
      <c r="B734" s="5">
        <v>1.0</v>
      </c>
      <c r="C734" s="5"/>
      <c r="D734" s="5"/>
      <c r="E734" s="24"/>
      <c r="F734" s="28"/>
      <c r="G734" s="5"/>
      <c r="H734" s="5"/>
      <c r="I734" s="46"/>
      <c r="K734" s="24"/>
      <c r="L734" s="5"/>
    </row>
    <row r="735">
      <c r="A735" s="5" t="s">
        <v>1250</v>
      </c>
      <c r="B735" s="5">
        <v>1.0</v>
      </c>
      <c r="C735" s="5"/>
      <c r="D735" s="5"/>
      <c r="E735" s="24"/>
      <c r="F735" s="28"/>
      <c r="G735" s="5"/>
      <c r="H735" s="5"/>
      <c r="I735" s="46"/>
      <c r="K735" s="24"/>
      <c r="L735" s="5"/>
    </row>
    <row r="736">
      <c r="A736" s="5" t="s">
        <v>1251</v>
      </c>
      <c r="B736" s="5">
        <v>1.0</v>
      </c>
      <c r="C736" s="5"/>
      <c r="D736" s="5"/>
      <c r="E736" s="24"/>
      <c r="F736" s="28"/>
      <c r="G736" s="5"/>
      <c r="H736" s="5"/>
      <c r="I736" s="46"/>
      <c r="K736" s="24"/>
      <c r="L736" s="5"/>
    </row>
    <row r="737">
      <c r="A737" s="5" t="s">
        <v>1252</v>
      </c>
      <c r="B737" s="5">
        <v>1.0</v>
      </c>
      <c r="C737" s="5"/>
      <c r="D737" s="5"/>
      <c r="E737" s="24"/>
      <c r="F737" s="28"/>
      <c r="G737" s="5"/>
      <c r="H737" s="5"/>
      <c r="I737" s="46"/>
      <c r="K737" s="24"/>
      <c r="L737" s="5"/>
    </row>
    <row r="738">
      <c r="A738" s="5" t="s">
        <v>1253</v>
      </c>
      <c r="B738" s="5">
        <v>1.0</v>
      </c>
      <c r="C738" s="5"/>
      <c r="D738" s="5"/>
      <c r="E738" s="24"/>
      <c r="F738" s="28"/>
      <c r="G738" s="5"/>
      <c r="H738" s="5"/>
      <c r="I738" s="46"/>
      <c r="K738" s="24"/>
      <c r="L738" s="5"/>
    </row>
    <row r="739">
      <c r="A739" s="5" t="s">
        <v>1254</v>
      </c>
      <c r="B739" s="5">
        <v>1.0</v>
      </c>
      <c r="C739" s="5"/>
      <c r="D739" s="5"/>
      <c r="E739" s="24"/>
      <c r="F739" s="28"/>
      <c r="G739" s="5"/>
      <c r="H739" s="5"/>
      <c r="I739" s="46"/>
      <c r="K739" s="24"/>
      <c r="L739" s="5"/>
    </row>
    <row r="740">
      <c r="A740" s="5" t="s">
        <v>1255</v>
      </c>
      <c r="B740" s="5">
        <v>1.0</v>
      </c>
      <c r="C740" s="5"/>
      <c r="D740" s="5"/>
      <c r="E740" s="24"/>
      <c r="F740" s="28"/>
      <c r="G740" s="5"/>
      <c r="H740" s="5"/>
      <c r="I740" s="46"/>
      <c r="K740" s="24"/>
      <c r="L740" s="5"/>
    </row>
    <row r="741">
      <c r="A741" s="5" t="s">
        <v>1256</v>
      </c>
      <c r="B741" s="5">
        <v>1.0</v>
      </c>
      <c r="C741" s="5"/>
      <c r="D741" s="5"/>
      <c r="E741" s="24"/>
      <c r="F741" s="28"/>
      <c r="G741" s="5"/>
      <c r="H741" s="5"/>
      <c r="I741" s="46"/>
      <c r="K741" s="24"/>
      <c r="L741" s="5"/>
    </row>
    <row r="742">
      <c r="A742" s="5" t="s">
        <v>1257</v>
      </c>
      <c r="B742" s="5">
        <v>1.0</v>
      </c>
      <c r="C742" s="5"/>
      <c r="D742" s="5"/>
      <c r="E742" s="24"/>
      <c r="F742" s="28"/>
      <c r="G742" s="5"/>
      <c r="H742" s="5"/>
      <c r="I742" s="46"/>
      <c r="K742" s="24"/>
      <c r="L742" s="5"/>
    </row>
    <row r="743">
      <c r="A743" s="5" t="s">
        <v>1258</v>
      </c>
      <c r="B743" s="5">
        <v>1.0</v>
      </c>
      <c r="C743" s="5"/>
      <c r="D743" s="5"/>
      <c r="E743" s="24"/>
      <c r="F743" s="28"/>
      <c r="G743" s="5"/>
      <c r="H743" s="5"/>
      <c r="I743" s="46"/>
      <c r="K743" s="24"/>
      <c r="L743" s="5"/>
    </row>
    <row r="744">
      <c r="A744" s="5" t="s">
        <v>1259</v>
      </c>
      <c r="B744" s="5">
        <v>1.0</v>
      </c>
      <c r="C744" s="5"/>
      <c r="D744" s="5"/>
      <c r="E744" s="24"/>
      <c r="F744" s="28"/>
      <c r="G744" s="5"/>
      <c r="H744" s="5"/>
      <c r="I744" s="46"/>
      <c r="K744" s="24"/>
      <c r="L744" s="5"/>
    </row>
    <row r="745">
      <c r="A745" s="5" t="s">
        <v>1260</v>
      </c>
      <c r="B745" s="5">
        <v>1.0</v>
      </c>
      <c r="C745" s="5"/>
      <c r="D745" s="5"/>
      <c r="E745" s="24"/>
      <c r="F745" s="28"/>
      <c r="G745" s="5"/>
      <c r="H745" s="5"/>
      <c r="I745" s="46"/>
      <c r="K745" s="24"/>
      <c r="L745" s="5"/>
    </row>
    <row r="746">
      <c r="A746" s="5" t="s">
        <v>1261</v>
      </c>
      <c r="B746" s="5">
        <v>1.0</v>
      </c>
      <c r="C746" s="5"/>
      <c r="D746" s="5"/>
      <c r="E746" s="24"/>
      <c r="F746" s="28"/>
      <c r="G746" s="5"/>
      <c r="H746" s="5"/>
      <c r="I746" s="46"/>
      <c r="K746" s="24"/>
      <c r="L746" s="5"/>
    </row>
    <row r="747">
      <c r="A747" s="5" t="s">
        <v>1262</v>
      </c>
      <c r="B747" s="5">
        <v>1.0</v>
      </c>
      <c r="C747" s="5"/>
      <c r="D747" s="5"/>
      <c r="E747" s="24"/>
      <c r="F747" s="28"/>
      <c r="G747" s="5"/>
      <c r="H747" s="5"/>
      <c r="I747" s="46"/>
      <c r="K747" s="24"/>
      <c r="L747" s="5"/>
    </row>
    <row r="748">
      <c r="A748" s="5" t="s">
        <v>1263</v>
      </c>
      <c r="B748" s="5">
        <v>1.0</v>
      </c>
      <c r="C748" s="5"/>
      <c r="D748" s="5"/>
      <c r="E748" s="24"/>
      <c r="F748" s="28"/>
      <c r="G748" s="5"/>
      <c r="H748" s="5"/>
      <c r="I748" s="46"/>
      <c r="K748" s="24"/>
      <c r="L748" s="5"/>
    </row>
    <row r="749">
      <c r="A749" s="5" t="s">
        <v>1264</v>
      </c>
      <c r="B749" s="5">
        <v>1.0</v>
      </c>
      <c r="C749" s="5"/>
      <c r="D749" s="5"/>
      <c r="E749" s="24"/>
      <c r="F749" s="28"/>
      <c r="G749" s="5"/>
      <c r="H749" s="5"/>
      <c r="I749" s="46"/>
      <c r="K749" s="24"/>
      <c r="L749" s="5"/>
    </row>
    <row r="750">
      <c r="A750" s="5" t="s">
        <v>1265</v>
      </c>
      <c r="B750" s="5">
        <v>1.0</v>
      </c>
      <c r="C750" s="5"/>
      <c r="D750" s="5"/>
      <c r="E750" s="24"/>
      <c r="F750" s="28"/>
      <c r="G750" s="5"/>
      <c r="H750" s="5"/>
      <c r="I750" s="46"/>
      <c r="K750" s="24"/>
      <c r="L750" s="5"/>
    </row>
    <row r="751">
      <c r="A751" s="5" t="s">
        <v>1266</v>
      </c>
      <c r="B751" s="5">
        <v>1.0</v>
      </c>
      <c r="C751" s="5"/>
      <c r="D751" s="5"/>
      <c r="E751" s="24"/>
      <c r="F751" s="28"/>
      <c r="G751" s="5"/>
      <c r="H751" s="5"/>
      <c r="I751" s="46"/>
      <c r="K751" s="24"/>
      <c r="L751" s="5"/>
    </row>
    <row r="752">
      <c r="A752" s="5" t="s">
        <v>1267</v>
      </c>
      <c r="B752" s="5">
        <v>1.0</v>
      </c>
      <c r="C752" s="5"/>
      <c r="D752" s="5"/>
      <c r="E752" s="24"/>
      <c r="F752" s="28"/>
      <c r="G752" s="5"/>
      <c r="H752" s="5"/>
      <c r="I752" s="46"/>
      <c r="K752" s="24"/>
      <c r="L752" s="5"/>
    </row>
    <row r="753">
      <c r="A753" s="5" t="s">
        <v>1268</v>
      </c>
      <c r="B753" s="5">
        <v>1.0</v>
      </c>
      <c r="C753" s="5"/>
      <c r="D753" s="5"/>
      <c r="E753" s="24"/>
      <c r="F753" s="28"/>
      <c r="G753" s="5"/>
      <c r="H753" s="5"/>
      <c r="I753" s="46"/>
      <c r="K753" s="24"/>
      <c r="L753" s="5"/>
    </row>
    <row r="754">
      <c r="A754" s="5" t="s">
        <v>1269</v>
      </c>
      <c r="B754" s="5">
        <v>1.0</v>
      </c>
      <c r="C754" s="5"/>
      <c r="D754" s="5"/>
      <c r="E754" s="24"/>
      <c r="F754" s="28"/>
      <c r="G754" s="5"/>
      <c r="H754" s="5"/>
      <c r="I754" s="46"/>
      <c r="K754" s="24"/>
      <c r="L754" s="5"/>
    </row>
    <row r="755">
      <c r="A755" s="5" t="s">
        <v>1270</v>
      </c>
      <c r="B755" s="5">
        <v>1.0</v>
      </c>
      <c r="C755" s="5"/>
      <c r="D755" s="5"/>
      <c r="E755" s="24"/>
      <c r="F755" s="28"/>
      <c r="G755" s="5"/>
      <c r="H755" s="5"/>
      <c r="I755" s="46"/>
      <c r="K755" s="24"/>
      <c r="L755" s="5"/>
    </row>
    <row r="756">
      <c r="A756" s="5" t="s">
        <v>1271</v>
      </c>
      <c r="B756" s="5">
        <v>1.0</v>
      </c>
      <c r="C756" s="5"/>
      <c r="D756" s="5"/>
      <c r="E756" s="24"/>
      <c r="F756" s="28"/>
      <c r="G756" s="5"/>
      <c r="H756" s="5"/>
      <c r="I756" s="46"/>
      <c r="K756" s="24"/>
      <c r="L756" s="5"/>
    </row>
    <row r="757">
      <c r="A757" s="5" t="s">
        <v>1272</v>
      </c>
      <c r="B757" s="5">
        <v>1.0</v>
      </c>
      <c r="C757" s="5"/>
      <c r="D757" s="5"/>
      <c r="E757" s="24"/>
      <c r="F757" s="28"/>
      <c r="G757" s="5"/>
      <c r="H757" s="5"/>
      <c r="I757" s="46"/>
      <c r="K757" s="24"/>
      <c r="L757" s="5"/>
    </row>
    <row r="758">
      <c r="A758" s="5" t="s">
        <v>1273</v>
      </c>
      <c r="B758" s="5">
        <v>1.0</v>
      </c>
      <c r="C758" s="5"/>
      <c r="D758" s="5"/>
      <c r="E758" s="24"/>
      <c r="F758" s="28"/>
      <c r="G758" s="5"/>
      <c r="H758" s="5"/>
      <c r="I758" s="46"/>
      <c r="K758" s="24"/>
      <c r="L758" s="5"/>
    </row>
    <row r="759">
      <c r="A759" s="5" t="s">
        <v>1274</v>
      </c>
      <c r="B759" s="5">
        <v>1.0</v>
      </c>
      <c r="C759" s="5"/>
      <c r="D759" s="5"/>
      <c r="E759" s="24"/>
      <c r="F759" s="28"/>
      <c r="G759" s="5"/>
      <c r="H759" s="5"/>
      <c r="I759" s="46"/>
      <c r="K759" s="24"/>
      <c r="L759" s="5"/>
    </row>
    <row r="760">
      <c r="A760" s="5" t="s">
        <v>1275</v>
      </c>
      <c r="B760" s="5">
        <v>1.0</v>
      </c>
      <c r="C760" s="5"/>
      <c r="D760" s="5"/>
      <c r="E760" s="24"/>
      <c r="F760" s="28"/>
      <c r="G760" s="5"/>
      <c r="H760" s="5"/>
      <c r="I760" s="46"/>
      <c r="K760" s="24"/>
      <c r="L760" s="5"/>
    </row>
    <row r="761">
      <c r="A761" s="5" t="s">
        <v>1276</v>
      </c>
      <c r="B761" s="5">
        <v>1.0</v>
      </c>
      <c r="C761" s="5"/>
      <c r="D761" s="5"/>
      <c r="E761" s="24"/>
      <c r="F761" s="28"/>
      <c r="G761" s="5"/>
      <c r="H761" s="5"/>
      <c r="I761" s="46"/>
      <c r="K761" s="24"/>
      <c r="L761" s="5"/>
    </row>
    <row r="762">
      <c r="A762" s="5" t="s">
        <v>1277</v>
      </c>
      <c r="B762" s="5">
        <v>1.0</v>
      </c>
      <c r="C762" s="5"/>
      <c r="D762" s="5"/>
      <c r="E762" s="24"/>
      <c r="F762" s="28"/>
      <c r="G762" s="5"/>
      <c r="H762" s="5"/>
      <c r="I762" s="46"/>
      <c r="K762" s="24"/>
      <c r="L762" s="5"/>
    </row>
    <row r="763">
      <c r="A763" s="5" t="s">
        <v>1278</v>
      </c>
      <c r="B763" s="5">
        <v>1.0</v>
      </c>
      <c r="C763" s="5"/>
      <c r="D763" s="5"/>
      <c r="E763" s="24"/>
      <c r="F763" s="28"/>
      <c r="G763" s="5"/>
      <c r="H763" s="5"/>
      <c r="I763" s="46"/>
      <c r="K763" s="24"/>
      <c r="L763" s="5"/>
    </row>
    <row r="764">
      <c r="A764" s="5" t="s">
        <v>1279</v>
      </c>
      <c r="B764" s="5">
        <v>1.0</v>
      </c>
      <c r="C764" s="5"/>
      <c r="D764" s="5"/>
      <c r="E764" s="24"/>
      <c r="F764" s="28"/>
      <c r="G764" s="5"/>
      <c r="H764" s="5"/>
      <c r="I764" s="46"/>
      <c r="K764" s="24"/>
      <c r="L764" s="5"/>
    </row>
    <row r="765">
      <c r="A765" s="5" t="s">
        <v>1280</v>
      </c>
      <c r="B765" s="5">
        <v>1.0</v>
      </c>
      <c r="C765" s="5"/>
      <c r="D765" s="5"/>
      <c r="E765" s="24"/>
      <c r="F765" s="28"/>
      <c r="G765" s="5"/>
      <c r="H765" s="5"/>
      <c r="I765" s="46"/>
      <c r="K765" s="24"/>
      <c r="L765" s="5"/>
    </row>
    <row r="766">
      <c r="A766" s="5" t="s">
        <v>1281</v>
      </c>
      <c r="B766" s="5">
        <v>1.0</v>
      </c>
      <c r="C766" s="5"/>
      <c r="D766" s="5"/>
      <c r="E766" s="24"/>
      <c r="F766" s="28"/>
      <c r="G766" s="5"/>
      <c r="H766" s="5"/>
      <c r="I766" s="46"/>
      <c r="K766" s="24"/>
      <c r="L766" s="5"/>
    </row>
    <row r="767">
      <c r="A767" s="5" t="s">
        <v>1282</v>
      </c>
      <c r="B767" s="5">
        <v>1.0</v>
      </c>
      <c r="C767" s="5"/>
      <c r="D767" s="5"/>
      <c r="E767" s="24"/>
      <c r="F767" s="28"/>
      <c r="G767" s="5"/>
      <c r="H767" s="5"/>
      <c r="I767" s="46"/>
      <c r="K767" s="24"/>
      <c r="L767" s="5"/>
    </row>
    <row r="768">
      <c r="A768" s="5" t="s">
        <v>1283</v>
      </c>
      <c r="B768" s="5">
        <v>1.0</v>
      </c>
      <c r="C768" s="5"/>
      <c r="D768" s="5"/>
      <c r="E768" s="24"/>
      <c r="F768" s="28"/>
      <c r="G768" s="5"/>
      <c r="H768" s="5"/>
      <c r="I768" s="46"/>
      <c r="K768" s="24"/>
      <c r="L768" s="5"/>
    </row>
    <row r="769">
      <c r="A769" s="5" t="s">
        <v>1284</v>
      </c>
      <c r="B769" s="5">
        <v>1.0</v>
      </c>
      <c r="C769" s="5"/>
      <c r="D769" s="5"/>
      <c r="E769" s="24"/>
      <c r="F769" s="28"/>
      <c r="G769" s="5"/>
      <c r="H769" s="5"/>
      <c r="I769" s="46"/>
      <c r="K769" s="24"/>
      <c r="L769" s="5"/>
    </row>
    <row r="770">
      <c r="A770" s="5" t="s">
        <v>1285</v>
      </c>
      <c r="B770" s="5">
        <v>1.0</v>
      </c>
      <c r="C770" s="5"/>
      <c r="D770" s="5"/>
      <c r="E770" s="24"/>
      <c r="F770" s="28"/>
      <c r="G770" s="5"/>
      <c r="H770" s="5"/>
      <c r="I770" s="46"/>
      <c r="K770" s="24"/>
      <c r="L770" s="5"/>
    </row>
    <row r="771">
      <c r="A771" s="5" t="s">
        <v>1286</v>
      </c>
      <c r="B771" s="5">
        <v>1.0</v>
      </c>
      <c r="C771" s="5"/>
      <c r="D771" s="5"/>
      <c r="E771" s="24"/>
      <c r="F771" s="28"/>
      <c r="G771" s="5"/>
      <c r="H771" s="5"/>
      <c r="I771" s="46"/>
      <c r="K771" s="24"/>
      <c r="L771" s="5"/>
    </row>
    <row r="772">
      <c r="A772" s="5" t="s">
        <v>1287</v>
      </c>
      <c r="B772" s="5">
        <v>1.0</v>
      </c>
      <c r="C772" s="5"/>
      <c r="D772" s="5"/>
      <c r="E772" s="24"/>
      <c r="F772" s="28"/>
      <c r="G772" s="5"/>
      <c r="H772" s="5"/>
      <c r="I772" s="46"/>
      <c r="K772" s="24"/>
      <c r="L772" s="5"/>
    </row>
    <row r="773">
      <c r="A773" s="5" t="s">
        <v>1288</v>
      </c>
      <c r="B773" s="5">
        <v>1.0</v>
      </c>
      <c r="C773" s="5"/>
      <c r="D773" s="5"/>
      <c r="E773" s="24"/>
      <c r="F773" s="28"/>
      <c r="G773" s="5"/>
      <c r="H773" s="5"/>
      <c r="I773" s="46"/>
      <c r="K773" s="24"/>
      <c r="L773" s="5"/>
    </row>
    <row r="774">
      <c r="A774" s="5" t="s">
        <v>1289</v>
      </c>
      <c r="B774" s="5">
        <v>1.0</v>
      </c>
      <c r="C774" s="5"/>
      <c r="D774" s="5"/>
      <c r="E774" s="24"/>
      <c r="F774" s="28"/>
      <c r="G774" s="5"/>
      <c r="H774" s="5"/>
      <c r="I774" s="46"/>
      <c r="K774" s="24"/>
      <c r="L774" s="5"/>
    </row>
    <row r="775">
      <c r="A775" s="5" t="s">
        <v>1290</v>
      </c>
      <c r="B775" s="5">
        <v>1.0</v>
      </c>
      <c r="C775" s="5"/>
      <c r="D775" s="5"/>
      <c r="E775" s="24"/>
      <c r="F775" s="28"/>
      <c r="G775" s="5"/>
      <c r="H775" s="5"/>
      <c r="I775" s="46"/>
      <c r="K775" s="24"/>
      <c r="L775" s="5"/>
    </row>
    <row r="776">
      <c r="A776" s="5" t="s">
        <v>1291</v>
      </c>
      <c r="B776" s="5">
        <v>1.0</v>
      </c>
      <c r="C776" s="5"/>
      <c r="D776" s="5"/>
      <c r="E776" s="24"/>
      <c r="F776" s="28"/>
      <c r="G776" s="5"/>
      <c r="H776" s="5"/>
      <c r="I776" s="46"/>
      <c r="K776" s="24"/>
      <c r="L776" s="5"/>
    </row>
    <row r="777">
      <c r="A777" s="5" t="s">
        <v>1292</v>
      </c>
      <c r="B777" s="5">
        <v>1.0</v>
      </c>
      <c r="C777" s="5"/>
      <c r="D777" s="5"/>
      <c r="E777" s="24"/>
      <c r="F777" s="28"/>
      <c r="G777" s="5"/>
      <c r="H777" s="5"/>
      <c r="I777" s="46"/>
      <c r="K777" s="24"/>
      <c r="L777" s="5"/>
    </row>
    <row r="778">
      <c r="A778" s="5" t="s">
        <v>1293</v>
      </c>
      <c r="B778" s="5">
        <v>1.0</v>
      </c>
      <c r="C778" s="5"/>
      <c r="D778" s="5"/>
      <c r="E778" s="24"/>
      <c r="F778" s="28"/>
      <c r="G778" s="5"/>
      <c r="H778" s="5"/>
      <c r="I778" s="46"/>
      <c r="K778" s="24"/>
      <c r="L778" s="5"/>
    </row>
    <row r="779">
      <c r="A779" s="5" t="s">
        <v>1294</v>
      </c>
      <c r="B779" s="5">
        <v>1.0</v>
      </c>
      <c r="C779" s="5"/>
      <c r="D779" s="5"/>
      <c r="E779" s="24"/>
      <c r="F779" s="28"/>
      <c r="G779" s="5"/>
      <c r="H779" s="5"/>
      <c r="I779" s="46"/>
      <c r="K779" s="24"/>
      <c r="L779" s="5"/>
    </row>
    <row r="780">
      <c r="A780" s="5" t="s">
        <v>1295</v>
      </c>
      <c r="B780" s="5">
        <v>1.0</v>
      </c>
      <c r="C780" s="5"/>
      <c r="D780" s="5"/>
      <c r="E780" s="24"/>
      <c r="F780" s="28"/>
      <c r="G780" s="5"/>
      <c r="H780" s="5"/>
      <c r="I780" s="46"/>
      <c r="K780" s="24"/>
      <c r="L780" s="5"/>
    </row>
    <row r="781">
      <c r="A781" s="5" t="s">
        <v>1296</v>
      </c>
      <c r="B781" s="5">
        <v>1.0</v>
      </c>
      <c r="C781" s="5"/>
      <c r="D781" s="5"/>
      <c r="E781" s="24"/>
      <c r="F781" s="28"/>
      <c r="G781" s="5"/>
      <c r="H781" s="5"/>
      <c r="I781" s="46"/>
      <c r="K781" s="24"/>
      <c r="L781" s="5"/>
    </row>
    <row r="782">
      <c r="A782" s="5" t="s">
        <v>1297</v>
      </c>
      <c r="B782" s="5">
        <v>1.0</v>
      </c>
      <c r="C782" s="5"/>
      <c r="D782" s="5"/>
      <c r="E782" s="24"/>
      <c r="F782" s="28"/>
      <c r="G782" s="5"/>
      <c r="H782" s="5"/>
      <c r="I782" s="46"/>
      <c r="K782" s="24"/>
      <c r="L782" s="5"/>
    </row>
    <row r="783">
      <c r="A783" s="5" t="s">
        <v>1298</v>
      </c>
      <c r="B783" s="5">
        <v>1.0</v>
      </c>
      <c r="C783" s="5"/>
      <c r="D783" s="5"/>
      <c r="E783" s="24"/>
      <c r="F783" s="28"/>
      <c r="G783" s="5"/>
      <c r="H783" s="5"/>
      <c r="I783" s="46"/>
      <c r="K783" s="24"/>
      <c r="L783" s="5"/>
    </row>
    <row r="784">
      <c r="A784" s="5" t="s">
        <v>1299</v>
      </c>
      <c r="B784" s="5">
        <v>1.0</v>
      </c>
      <c r="C784" s="5"/>
      <c r="D784" s="5"/>
      <c r="E784" s="24"/>
      <c r="F784" s="28"/>
      <c r="G784" s="5"/>
      <c r="H784" s="5"/>
      <c r="I784" s="46"/>
      <c r="K784" s="24"/>
      <c r="L784" s="5"/>
    </row>
    <row r="785">
      <c r="A785" s="5" t="s">
        <v>1300</v>
      </c>
      <c r="B785" s="5">
        <v>1.0</v>
      </c>
      <c r="C785" s="5"/>
      <c r="D785" s="5"/>
      <c r="E785" s="24"/>
      <c r="F785" s="28"/>
      <c r="G785" s="5"/>
      <c r="H785" s="5"/>
      <c r="I785" s="46"/>
      <c r="K785" s="24"/>
      <c r="L785" s="5"/>
    </row>
    <row r="786">
      <c r="A786" s="5" t="s">
        <v>1301</v>
      </c>
      <c r="B786" s="5">
        <v>1.0</v>
      </c>
      <c r="C786" s="5"/>
      <c r="D786" s="5"/>
      <c r="E786" s="24"/>
      <c r="F786" s="28"/>
      <c r="G786" s="5"/>
      <c r="H786" s="5"/>
      <c r="I786" s="46"/>
      <c r="K786" s="24"/>
      <c r="L786" s="5"/>
    </row>
    <row r="787">
      <c r="A787" s="5" t="s">
        <v>1302</v>
      </c>
      <c r="B787" s="5">
        <v>1.0</v>
      </c>
      <c r="C787" s="5"/>
      <c r="D787" s="5"/>
      <c r="E787" s="24"/>
      <c r="F787" s="28"/>
      <c r="G787" s="5"/>
      <c r="H787" s="5"/>
      <c r="I787" s="46"/>
      <c r="K787" s="24"/>
      <c r="L787" s="5"/>
    </row>
    <row r="788">
      <c r="A788" s="5" t="s">
        <v>1303</v>
      </c>
      <c r="B788" s="5">
        <v>1.0</v>
      </c>
      <c r="C788" s="5"/>
      <c r="D788" s="5"/>
      <c r="E788" s="24"/>
      <c r="F788" s="28"/>
      <c r="G788" s="5"/>
      <c r="H788" s="5"/>
      <c r="I788" s="46"/>
      <c r="K788" s="24"/>
      <c r="L788" s="5"/>
    </row>
    <row r="789">
      <c r="A789" s="5" t="s">
        <v>1304</v>
      </c>
      <c r="B789" s="5">
        <v>1.0</v>
      </c>
      <c r="C789" s="5"/>
      <c r="D789" s="5"/>
      <c r="E789" s="24"/>
      <c r="F789" s="28"/>
      <c r="G789" s="5"/>
      <c r="H789" s="5"/>
      <c r="I789" s="46"/>
      <c r="K789" s="24"/>
      <c r="L789" s="5"/>
    </row>
    <row r="790">
      <c r="A790" s="5" t="s">
        <v>1305</v>
      </c>
      <c r="B790" s="5">
        <v>1.0</v>
      </c>
      <c r="C790" s="5"/>
      <c r="D790" s="5"/>
      <c r="E790" s="24"/>
      <c r="F790" s="28"/>
      <c r="G790" s="5"/>
      <c r="H790" s="5"/>
      <c r="I790" s="46"/>
      <c r="K790" s="24"/>
      <c r="L790" s="5"/>
    </row>
    <row r="791">
      <c r="A791" s="5" t="s">
        <v>1306</v>
      </c>
      <c r="B791" s="5">
        <v>1.0</v>
      </c>
      <c r="C791" s="5"/>
      <c r="D791" s="5"/>
      <c r="E791" s="24"/>
      <c r="F791" s="28"/>
      <c r="G791" s="5"/>
      <c r="H791" s="5"/>
      <c r="I791" s="46"/>
      <c r="K791" s="24"/>
      <c r="L791" s="5"/>
    </row>
    <row r="792">
      <c r="A792" s="5" t="s">
        <v>1307</v>
      </c>
      <c r="B792" s="5">
        <v>1.0</v>
      </c>
      <c r="C792" s="5"/>
      <c r="D792" s="5"/>
      <c r="E792" s="24"/>
      <c r="F792" s="28"/>
      <c r="G792" s="5"/>
      <c r="H792" s="5"/>
      <c r="I792" s="46"/>
      <c r="K792" s="24"/>
      <c r="L792" s="5"/>
    </row>
    <row r="793">
      <c r="A793" s="5" t="s">
        <v>1308</v>
      </c>
      <c r="B793" s="5">
        <v>1.0</v>
      </c>
      <c r="C793" s="5"/>
      <c r="D793" s="5"/>
      <c r="E793" s="24"/>
      <c r="F793" s="28"/>
      <c r="G793" s="5"/>
      <c r="H793" s="5"/>
      <c r="I793" s="46"/>
      <c r="K793" s="24"/>
      <c r="L793" s="5"/>
    </row>
    <row r="794">
      <c r="A794" s="5" t="s">
        <v>1309</v>
      </c>
      <c r="B794" s="5">
        <v>1.0</v>
      </c>
      <c r="C794" s="5"/>
      <c r="D794" s="5"/>
      <c r="E794" s="24"/>
      <c r="F794" s="28"/>
      <c r="G794" s="5"/>
      <c r="H794" s="5"/>
      <c r="I794" s="46"/>
      <c r="K794" s="24"/>
      <c r="L794" s="5"/>
    </row>
    <row r="795">
      <c r="A795" s="5" t="s">
        <v>1310</v>
      </c>
      <c r="B795" s="5">
        <v>1.0</v>
      </c>
      <c r="C795" s="5"/>
      <c r="D795" s="5"/>
      <c r="E795" s="24"/>
      <c r="F795" s="28"/>
      <c r="G795" s="5"/>
      <c r="H795" s="5"/>
      <c r="I795" s="46"/>
      <c r="K795" s="24"/>
      <c r="L795" s="5"/>
    </row>
    <row r="796">
      <c r="A796" s="5" t="s">
        <v>1311</v>
      </c>
      <c r="B796" s="5">
        <v>1.0</v>
      </c>
      <c r="C796" s="5"/>
      <c r="D796" s="5"/>
      <c r="E796" s="24"/>
      <c r="F796" s="28"/>
      <c r="G796" s="5"/>
      <c r="H796" s="5"/>
      <c r="I796" s="46"/>
      <c r="K796" s="24"/>
      <c r="L796" s="5"/>
    </row>
    <row r="797">
      <c r="A797" s="5" t="s">
        <v>1312</v>
      </c>
      <c r="B797" s="5">
        <v>1.0</v>
      </c>
      <c r="C797" s="5"/>
      <c r="D797" s="5"/>
      <c r="E797" s="24"/>
      <c r="F797" s="28"/>
      <c r="G797" s="5"/>
      <c r="H797" s="5"/>
      <c r="I797" s="46"/>
      <c r="K797" s="24"/>
      <c r="L797" s="5"/>
    </row>
    <row r="798">
      <c r="A798" s="5" t="s">
        <v>1313</v>
      </c>
      <c r="B798" s="5">
        <v>1.0</v>
      </c>
      <c r="C798" s="5"/>
      <c r="D798" s="5"/>
      <c r="E798" s="24"/>
      <c r="F798" s="28"/>
      <c r="G798" s="5"/>
      <c r="H798" s="5"/>
      <c r="I798" s="46"/>
      <c r="K798" s="24"/>
      <c r="L798" s="5"/>
    </row>
    <row r="799">
      <c r="A799" s="5" t="s">
        <v>1314</v>
      </c>
      <c r="B799" s="5">
        <v>1.0</v>
      </c>
      <c r="C799" s="5"/>
      <c r="D799" s="5"/>
      <c r="E799" s="46"/>
      <c r="F799" s="67"/>
      <c r="G799" s="5"/>
      <c r="H799" s="5"/>
      <c r="I799" s="46"/>
      <c r="K799" s="24"/>
      <c r="L799" s="5"/>
    </row>
    <row r="800">
      <c r="A800" s="5" t="s">
        <v>1315</v>
      </c>
      <c r="B800" s="5">
        <v>1.0</v>
      </c>
      <c r="C800" s="5"/>
      <c r="D800" s="5"/>
      <c r="E800" s="24"/>
      <c r="F800" s="28"/>
      <c r="G800" s="5"/>
      <c r="H800" s="5"/>
      <c r="I800" s="46"/>
      <c r="K800" s="24"/>
      <c r="L800" s="5"/>
    </row>
    <row r="801">
      <c r="A801" s="5" t="s">
        <v>1316</v>
      </c>
      <c r="B801" s="5">
        <v>1.0</v>
      </c>
      <c r="C801" s="5"/>
      <c r="D801" s="5"/>
      <c r="E801" s="24"/>
      <c r="F801" s="28"/>
      <c r="G801" s="5"/>
      <c r="H801" s="5"/>
      <c r="I801" s="46"/>
      <c r="K801" s="24"/>
      <c r="L801" s="5"/>
    </row>
    <row r="802">
      <c r="A802" s="5" t="s">
        <v>1317</v>
      </c>
      <c r="B802" s="5">
        <v>1.0</v>
      </c>
      <c r="C802" s="5"/>
      <c r="D802" s="5"/>
      <c r="E802" s="24"/>
      <c r="F802" s="28"/>
      <c r="G802" s="5"/>
      <c r="H802" s="5"/>
      <c r="I802" s="46"/>
      <c r="K802" s="24"/>
      <c r="L802" s="5"/>
    </row>
    <row r="803">
      <c r="A803" s="5" t="s">
        <v>1318</v>
      </c>
      <c r="B803" s="5">
        <v>1.0</v>
      </c>
      <c r="C803" s="5"/>
      <c r="D803" s="5"/>
      <c r="E803" s="24"/>
      <c r="F803" s="28"/>
      <c r="G803" s="5"/>
      <c r="H803" s="5"/>
      <c r="I803" s="46"/>
      <c r="K803" s="24"/>
      <c r="L803" s="5"/>
    </row>
    <row r="804">
      <c r="A804" s="5" t="s">
        <v>1319</v>
      </c>
      <c r="B804" s="5">
        <v>1.0</v>
      </c>
      <c r="C804" s="5"/>
      <c r="D804" s="5"/>
      <c r="E804" s="24"/>
      <c r="F804" s="28"/>
      <c r="G804" s="5"/>
      <c r="H804" s="5"/>
      <c r="I804" s="46"/>
      <c r="K804" s="24"/>
      <c r="L804" s="5"/>
    </row>
    <row r="805">
      <c r="A805" s="5" t="s">
        <v>1320</v>
      </c>
      <c r="B805" s="5">
        <v>1.0</v>
      </c>
      <c r="C805" s="5"/>
      <c r="D805" s="5"/>
      <c r="E805" s="24"/>
      <c r="F805" s="28"/>
      <c r="G805" s="5"/>
      <c r="H805" s="5"/>
      <c r="I805" s="46"/>
      <c r="K805" s="24"/>
      <c r="L805" s="5"/>
    </row>
    <row r="806">
      <c r="A806" s="5" t="s">
        <v>1321</v>
      </c>
      <c r="B806" s="5">
        <v>1.0</v>
      </c>
      <c r="C806" s="5"/>
      <c r="D806" s="5"/>
      <c r="E806" s="24"/>
      <c r="F806" s="28"/>
      <c r="G806" s="5"/>
      <c r="H806" s="5"/>
      <c r="I806" s="46"/>
      <c r="K806" s="24"/>
      <c r="L806" s="5"/>
    </row>
    <row r="807">
      <c r="A807" s="5" t="s">
        <v>1322</v>
      </c>
      <c r="B807" s="5">
        <v>1.0</v>
      </c>
      <c r="C807" s="5"/>
      <c r="D807" s="5"/>
      <c r="E807" s="24"/>
      <c r="F807" s="28"/>
      <c r="G807" s="5"/>
      <c r="H807" s="5"/>
      <c r="I807" s="46"/>
      <c r="K807" s="24"/>
      <c r="L807" s="5"/>
    </row>
    <row r="808">
      <c r="A808" s="5" t="s">
        <v>1323</v>
      </c>
      <c r="B808" s="5">
        <v>1.0</v>
      </c>
      <c r="C808" s="5"/>
      <c r="D808" s="5"/>
      <c r="E808" s="24"/>
      <c r="F808" s="28"/>
      <c r="G808" s="5"/>
      <c r="H808" s="5"/>
      <c r="I808" s="46"/>
      <c r="K808" s="24"/>
      <c r="L808" s="5"/>
    </row>
    <row r="809">
      <c r="A809" s="5" t="s">
        <v>1324</v>
      </c>
      <c r="B809" s="5">
        <v>1.0</v>
      </c>
      <c r="C809" s="5"/>
      <c r="D809" s="5"/>
      <c r="E809" s="24"/>
      <c r="F809" s="28"/>
      <c r="G809" s="5"/>
      <c r="H809" s="5"/>
      <c r="I809" s="46"/>
      <c r="K809" s="24"/>
      <c r="L809" s="5"/>
    </row>
    <row r="810">
      <c r="A810" s="5" t="s">
        <v>1325</v>
      </c>
      <c r="B810" s="5">
        <v>1.0</v>
      </c>
      <c r="C810" s="5"/>
      <c r="D810" s="5"/>
      <c r="E810" s="24"/>
      <c r="F810" s="28"/>
      <c r="G810" s="5"/>
      <c r="H810" s="5"/>
      <c r="I810" s="46"/>
      <c r="K810" s="24"/>
      <c r="L810" s="5"/>
    </row>
    <row r="811">
      <c r="A811" s="5" t="s">
        <v>1326</v>
      </c>
      <c r="B811" s="5">
        <v>1.0</v>
      </c>
      <c r="C811" s="5"/>
      <c r="D811" s="5"/>
      <c r="E811" s="24"/>
      <c r="F811" s="28"/>
      <c r="G811" s="5"/>
      <c r="H811" s="5"/>
      <c r="I811" s="46"/>
      <c r="K811" s="24"/>
      <c r="L811" s="5"/>
    </row>
    <row r="812">
      <c r="A812" s="5" t="s">
        <v>1327</v>
      </c>
      <c r="B812" s="5">
        <v>1.0</v>
      </c>
      <c r="C812" s="5"/>
      <c r="D812" s="5"/>
      <c r="E812" s="24"/>
      <c r="F812" s="28"/>
      <c r="G812" s="5"/>
      <c r="H812" s="5"/>
      <c r="I812" s="46"/>
      <c r="K812" s="24"/>
      <c r="L812" s="5"/>
    </row>
    <row r="813">
      <c r="A813" s="5" t="s">
        <v>1328</v>
      </c>
      <c r="B813" s="5">
        <v>1.0</v>
      </c>
      <c r="C813" s="5"/>
      <c r="D813" s="5"/>
      <c r="E813" s="24"/>
      <c r="F813" s="28"/>
      <c r="G813" s="5"/>
      <c r="H813" s="5"/>
      <c r="I813" s="46"/>
      <c r="K813" s="24"/>
      <c r="L813" s="5"/>
    </row>
    <row r="814">
      <c r="A814" s="5" t="s">
        <v>1329</v>
      </c>
      <c r="B814" s="5">
        <v>1.0</v>
      </c>
      <c r="C814" s="5"/>
      <c r="D814" s="5"/>
      <c r="E814" s="24"/>
      <c r="F814" s="28"/>
      <c r="G814" s="5"/>
      <c r="H814" s="5"/>
      <c r="I814" s="46"/>
      <c r="K814" s="24"/>
      <c r="L814" s="5"/>
    </row>
    <row r="815">
      <c r="A815" s="5" t="s">
        <v>1330</v>
      </c>
      <c r="B815" s="5">
        <v>1.0</v>
      </c>
      <c r="C815" s="5"/>
      <c r="D815" s="5"/>
      <c r="E815" s="24"/>
      <c r="F815" s="28"/>
      <c r="G815" s="5"/>
      <c r="H815" s="5"/>
      <c r="I815" s="46"/>
      <c r="K815" s="24"/>
      <c r="L815" s="5"/>
    </row>
    <row r="816">
      <c r="A816" s="5" t="s">
        <v>1331</v>
      </c>
      <c r="B816" s="5">
        <v>1.0</v>
      </c>
      <c r="C816" s="5"/>
      <c r="D816" s="5"/>
      <c r="E816" s="24"/>
      <c r="F816" s="28"/>
      <c r="G816" s="5"/>
      <c r="H816" s="5"/>
      <c r="I816" s="46"/>
      <c r="K816" s="24"/>
      <c r="L816" s="5"/>
    </row>
    <row r="817">
      <c r="A817" s="5" t="s">
        <v>1332</v>
      </c>
      <c r="B817" s="5">
        <v>1.0</v>
      </c>
      <c r="C817" s="5"/>
      <c r="D817" s="5"/>
      <c r="E817" s="24"/>
      <c r="F817" s="28"/>
      <c r="G817" s="5"/>
      <c r="H817" s="5"/>
      <c r="I817" s="46"/>
      <c r="K817" s="24"/>
      <c r="L817" s="5"/>
    </row>
    <row r="818">
      <c r="A818" s="5" t="s">
        <v>1333</v>
      </c>
      <c r="B818" s="5">
        <v>1.0</v>
      </c>
      <c r="C818" s="5"/>
      <c r="D818" s="5"/>
      <c r="E818" s="24"/>
      <c r="F818" s="28"/>
      <c r="G818" s="5"/>
      <c r="H818" s="5"/>
      <c r="I818" s="46"/>
      <c r="K818" s="24"/>
      <c r="L818" s="5"/>
    </row>
    <row r="819">
      <c r="A819" s="5" t="s">
        <v>1334</v>
      </c>
      <c r="B819" s="5">
        <v>1.0</v>
      </c>
      <c r="C819" s="5"/>
      <c r="D819" s="5"/>
      <c r="E819" s="24"/>
      <c r="F819" s="28"/>
      <c r="G819" s="5"/>
      <c r="H819" s="5"/>
      <c r="I819" s="46"/>
      <c r="K819" s="24"/>
      <c r="L819" s="5"/>
    </row>
    <row r="820">
      <c r="A820" s="5" t="s">
        <v>1335</v>
      </c>
      <c r="B820" s="5">
        <v>1.0</v>
      </c>
      <c r="C820" s="5"/>
      <c r="D820" s="5"/>
      <c r="E820" s="24"/>
      <c r="F820" s="28"/>
      <c r="G820" s="5"/>
      <c r="H820" s="5"/>
      <c r="I820" s="46"/>
      <c r="K820" s="24"/>
      <c r="L820" s="5"/>
    </row>
    <row r="821">
      <c r="A821" s="5" t="s">
        <v>1336</v>
      </c>
      <c r="B821" s="5">
        <v>1.0</v>
      </c>
      <c r="C821" s="5"/>
      <c r="D821" s="5"/>
      <c r="E821" s="24"/>
      <c r="F821" s="28"/>
      <c r="G821" s="5"/>
      <c r="H821" s="5"/>
      <c r="I821" s="46"/>
      <c r="K821" s="24"/>
      <c r="L821" s="5"/>
    </row>
    <row r="822">
      <c r="A822" s="5" t="s">
        <v>1337</v>
      </c>
      <c r="B822" s="5">
        <v>1.0</v>
      </c>
      <c r="C822" s="5"/>
      <c r="D822" s="5"/>
      <c r="E822" s="24"/>
      <c r="F822" s="28"/>
      <c r="G822" s="5"/>
      <c r="H822" s="5"/>
      <c r="I822" s="46"/>
      <c r="K822" s="24"/>
      <c r="L822" s="5"/>
    </row>
    <row r="823">
      <c r="A823" s="5" t="s">
        <v>1338</v>
      </c>
      <c r="B823" s="5">
        <v>1.0</v>
      </c>
      <c r="C823" s="5"/>
      <c r="D823" s="5"/>
      <c r="E823" s="24"/>
      <c r="F823" s="28"/>
      <c r="G823" s="5"/>
      <c r="H823" s="5"/>
      <c r="I823" s="46"/>
      <c r="K823" s="24"/>
      <c r="L823" s="5"/>
    </row>
    <row r="824">
      <c r="A824" s="5" t="s">
        <v>1339</v>
      </c>
      <c r="B824" s="5">
        <v>1.0</v>
      </c>
      <c r="C824" s="5"/>
      <c r="D824" s="5"/>
      <c r="E824" s="24"/>
      <c r="F824" s="28"/>
      <c r="G824" s="5"/>
      <c r="H824" s="5"/>
      <c r="I824" s="46"/>
      <c r="K824" s="24"/>
      <c r="L824" s="5"/>
    </row>
    <row r="825">
      <c r="A825" s="5" t="s">
        <v>1340</v>
      </c>
      <c r="B825" s="5">
        <v>1.0</v>
      </c>
      <c r="C825" s="5"/>
      <c r="D825" s="5"/>
      <c r="E825" s="24"/>
      <c r="F825" s="28"/>
      <c r="G825" s="5"/>
      <c r="H825" s="5"/>
      <c r="I825" s="46"/>
      <c r="K825" s="24"/>
      <c r="L825" s="5"/>
    </row>
    <row r="826">
      <c r="A826" s="5" t="s">
        <v>1341</v>
      </c>
      <c r="B826" s="5">
        <v>1.0</v>
      </c>
      <c r="C826" s="5"/>
      <c r="D826" s="5"/>
      <c r="E826" s="24"/>
      <c r="F826" s="28"/>
      <c r="G826" s="5"/>
      <c r="H826" s="5"/>
      <c r="I826" s="46"/>
      <c r="K826" s="24"/>
      <c r="L826" s="5"/>
    </row>
    <row r="827">
      <c r="A827" s="5" t="s">
        <v>1342</v>
      </c>
      <c r="B827" s="5">
        <v>1.0</v>
      </c>
      <c r="C827" s="5"/>
      <c r="D827" s="5"/>
      <c r="E827" s="24"/>
      <c r="F827" s="28"/>
      <c r="G827" s="5"/>
      <c r="H827" s="5"/>
      <c r="I827" s="46"/>
      <c r="K827" s="24"/>
      <c r="L827" s="5"/>
    </row>
    <row r="828">
      <c r="A828" s="5" t="s">
        <v>1343</v>
      </c>
      <c r="B828" s="5">
        <v>1.0</v>
      </c>
      <c r="C828" s="5"/>
      <c r="D828" s="5"/>
      <c r="E828" s="24"/>
      <c r="F828" s="28"/>
      <c r="G828" s="5"/>
      <c r="H828" s="5"/>
      <c r="I828" s="46"/>
      <c r="K828" s="5"/>
      <c r="L828" s="5"/>
    </row>
    <row r="829">
      <c r="A829" s="5" t="s">
        <v>1344</v>
      </c>
      <c r="B829" s="5">
        <v>1.0</v>
      </c>
      <c r="C829" s="5"/>
      <c r="D829" s="5"/>
      <c r="E829" s="24"/>
      <c r="F829" s="28"/>
      <c r="G829" s="5"/>
      <c r="H829" s="5"/>
      <c r="I829" s="46"/>
      <c r="K829" s="5"/>
      <c r="L829" s="5"/>
    </row>
    <row r="830">
      <c r="A830" s="5" t="s">
        <v>1345</v>
      </c>
      <c r="B830" s="5">
        <v>1.0</v>
      </c>
      <c r="C830" s="5"/>
      <c r="D830" s="5"/>
      <c r="E830" s="24"/>
      <c r="F830" s="28"/>
      <c r="G830" s="5"/>
      <c r="H830" s="5"/>
      <c r="I830" s="46"/>
      <c r="K830" s="5"/>
      <c r="L830" s="5"/>
    </row>
    <row r="831">
      <c r="A831" s="5" t="s">
        <v>1346</v>
      </c>
      <c r="B831" s="5">
        <v>1.0</v>
      </c>
      <c r="C831" s="5"/>
      <c r="D831" s="5"/>
      <c r="E831" s="24"/>
      <c r="F831" s="28"/>
      <c r="G831" s="5"/>
      <c r="H831" s="5"/>
      <c r="I831" s="46"/>
      <c r="K831" s="5"/>
      <c r="L831" s="5"/>
    </row>
    <row r="832">
      <c r="A832" s="5" t="s">
        <v>1347</v>
      </c>
      <c r="B832" s="5">
        <v>1.0</v>
      </c>
      <c r="C832" s="5"/>
      <c r="D832" s="5"/>
      <c r="E832" s="24"/>
      <c r="F832" s="28"/>
      <c r="G832" s="5"/>
      <c r="H832" s="5"/>
      <c r="I832" s="46"/>
      <c r="K832" s="5"/>
      <c r="L832" s="5"/>
    </row>
    <row r="833">
      <c r="A833" s="5" t="s">
        <v>1348</v>
      </c>
      <c r="B833" s="5">
        <v>1.0</v>
      </c>
      <c r="C833" s="5"/>
      <c r="D833" s="5"/>
      <c r="E833" s="24"/>
      <c r="F833" s="28"/>
      <c r="G833" s="5"/>
      <c r="H833" s="5"/>
      <c r="I833" s="46"/>
      <c r="K833" s="5"/>
      <c r="L833" s="5"/>
    </row>
    <row r="834">
      <c r="A834" s="5" t="s">
        <v>1349</v>
      </c>
      <c r="B834" s="5">
        <v>1.0</v>
      </c>
      <c r="C834" s="5"/>
      <c r="D834" s="5"/>
      <c r="E834" s="24"/>
      <c r="F834" s="28"/>
      <c r="G834" s="5"/>
      <c r="H834" s="5"/>
      <c r="I834" s="46"/>
      <c r="K834" s="5"/>
      <c r="L834" s="5"/>
    </row>
    <row r="835">
      <c r="A835" s="5" t="s">
        <v>1350</v>
      </c>
      <c r="B835" s="5">
        <v>1.0</v>
      </c>
      <c r="C835" s="5"/>
      <c r="D835" s="5"/>
      <c r="E835" s="24"/>
      <c r="F835" s="28"/>
      <c r="G835" s="5"/>
      <c r="H835" s="5"/>
      <c r="I835" s="46"/>
      <c r="K835" s="5"/>
      <c r="L835" s="5"/>
    </row>
    <row r="836">
      <c r="A836" s="5" t="s">
        <v>1351</v>
      </c>
      <c r="B836" s="5">
        <v>1.0</v>
      </c>
      <c r="C836" s="5"/>
      <c r="D836" s="5"/>
      <c r="E836" s="24"/>
      <c r="F836" s="28"/>
      <c r="G836" s="5"/>
      <c r="H836" s="5"/>
      <c r="I836" s="46"/>
      <c r="K836" s="5"/>
      <c r="L836" s="5"/>
    </row>
    <row r="837">
      <c r="A837" s="5" t="s">
        <v>1352</v>
      </c>
      <c r="B837" s="5">
        <v>1.0</v>
      </c>
      <c r="C837" s="5"/>
      <c r="D837" s="5"/>
      <c r="E837" s="24"/>
      <c r="F837" s="28"/>
      <c r="G837" s="5"/>
      <c r="H837" s="5"/>
      <c r="I837" s="46"/>
      <c r="K837" s="5"/>
      <c r="L837" s="5"/>
    </row>
    <row r="838">
      <c r="A838" s="5" t="s">
        <v>1353</v>
      </c>
      <c r="B838" s="5">
        <v>1.0</v>
      </c>
      <c r="C838" s="5"/>
      <c r="D838" s="5"/>
      <c r="E838" s="24"/>
      <c r="F838" s="28"/>
      <c r="G838" s="5"/>
      <c r="H838" s="5"/>
      <c r="I838" s="46"/>
      <c r="K838" s="5"/>
      <c r="L838" s="5"/>
    </row>
    <row r="839">
      <c r="A839" s="5" t="s">
        <v>1354</v>
      </c>
      <c r="B839" s="5">
        <v>1.0</v>
      </c>
      <c r="C839" s="5"/>
      <c r="D839" s="5"/>
      <c r="E839" s="24"/>
      <c r="F839" s="28"/>
      <c r="G839" s="46"/>
      <c r="H839" s="28"/>
      <c r="I839" s="13"/>
      <c r="K839" s="46"/>
      <c r="L839" s="5"/>
    </row>
    <row r="840">
      <c r="A840" s="5" t="s">
        <v>1355</v>
      </c>
      <c r="B840" s="5">
        <v>1.0</v>
      </c>
      <c r="C840" s="5"/>
      <c r="D840" s="5"/>
      <c r="E840" s="24"/>
      <c r="F840" s="28"/>
      <c r="G840" s="46"/>
      <c r="H840" s="28"/>
      <c r="I840" s="13"/>
      <c r="K840" s="46"/>
      <c r="L840" s="5"/>
    </row>
    <row r="841">
      <c r="A841" s="5" t="s">
        <v>1356</v>
      </c>
      <c r="B841" s="5">
        <v>1.0</v>
      </c>
      <c r="C841" s="5"/>
      <c r="D841" s="5"/>
      <c r="E841" s="24"/>
      <c r="F841" s="28"/>
      <c r="G841" s="46"/>
      <c r="H841" s="28"/>
      <c r="I841" s="13"/>
      <c r="K841" s="46"/>
      <c r="L841" s="5"/>
    </row>
    <row r="842">
      <c r="A842" s="5" t="s">
        <v>1357</v>
      </c>
      <c r="B842" s="5">
        <v>1.0</v>
      </c>
      <c r="C842" s="5"/>
      <c r="D842" s="5"/>
      <c r="E842" s="24"/>
      <c r="F842" s="28"/>
      <c r="G842" s="46"/>
      <c r="H842" s="28"/>
      <c r="I842" s="13"/>
      <c r="K842" s="46"/>
      <c r="L842" s="5"/>
    </row>
    <row r="843">
      <c r="A843" s="5" t="s">
        <v>1358</v>
      </c>
      <c r="B843" s="5">
        <v>1.0</v>
      </c>
      <c r="C843" s="5"/>
      <c r="D843" s="5"/>
      <c r="E843" s="24"/>
      <c r="F843" s="28"/>
      <c r="G843" s="46"/>
      <c r="H843" s="6"/>
      <c r="I843" s="13"/>
      <c r="K843" s="46"/>
      <c r="L843" s="5"/>
    </row>
    <row r="844">
      <c r="A844" s="5" t="s">
        <v>1359</v>
      </c>
      <c r="B844" s="5">
        <v>1.0</v>
      </c>
      <c r="C844" s="5"/>
      <c r="D844" s="5"/>
      <c r="E844" s="24"/>
      <c r="F844" s="28"/>
      <c r="G844" s="46"/>
      <c r="H844" s="6"/>
      <c r="I844" s="13"/>
      <c r="K844" s="46"/>
      <c r="L844" s="5"/>
    </row>
    <row r="845">
      <c r="A845" s="5" t="s">
        <v>154</v>
      </c>
      <c r="B845" s="8">
        <v>1.0</v>
      </c>
      <c r="C845" s="5"/>
      <c r="D845" s="5"/>
      <c r="E845" s="5"/>
      <c r="F845" s="5"/>
      <c r="G845" s="5"/>
      <c r="H845" s="5"/>
      <c r="I845" s="46"/>
      <c r="J845" s="5"/>
      <c r="K845" s="5"/>
      <c r="L845" s="5"/>
    </row>
    <row r="846">
      <c r="A846" s="43" t="s">
        <v>1360</v>
      </c>
      <c r="B846" s="8">
        <v>1.0</v>
      </c>
    </row>
    <row r="847">
      <c r="A847" s="43" t="s">
        <v>1361</v>
      </c>
      <c r="B847" s="8">
        <v>1.0</v>
      </c>
    </row>
    <row r="848">
      <c r="A848" s="43" t="s">
        <v>1362</v>
      </c>
      <c r="B848" s="8">
        <v>1.0</v>
      </c>
    </row>
    <row r="849">
      <c r="A849" s="5" t="s">
        <v>1363</v>
      </c>
      <c r="B849" s="6" t="str">
        <f t="shared" ref="B849:B860" si="1">concat("https://www.tsip.ai/force/",A849)</f>
        <v>https://www.tsip.ai/force/41171d6c-b043-407e-ae82-cd819bb75ace</v>
      </c>
      <c r="C849" s="36"/>
      <c r="F849" s="9" t="s">
        <v>16</v>
      </c>
      <c r="G849" s="9" t="s">
        <v>16</v>
      </c>
      <c r="H849" s="9" t="s">
        <v>16</v>
      </c>
      <c r="I849" s="9" t="s">
        <v>16</v>
      </c>
      <c r="J849" s="9" t="s">
        <v>16</v>
      </c>
      <c r="L849" s="4" t="s">
        <v>215</v>
      </c>
      <c r="M849" s="5" t="b">
        <v>0</v>
      </c>
    </row>
    <row r="850">
      <c r="A850" s="5" t="s">
        <v>1364</v>
      </c>
      <c r="B850" s="6" t="str">
        <f t="shared" si="1"/>
        <v>https://www.tsip.ai/force/43991026-c2b8-42ee-bf35-03cecf958956</v>
      </c>
      <c r="C850" s="36"/>
      <c r="F850" s="9" t="s">
        <v>16</v>
      </c>
      <c r="G850" s="9" t="s">
        <v>16</v>
      </c>
      <c r="H850" s="9" t="s">
        <v>16</v>
      </c>
      <c r="I850" s="9" t="s">
        <v>16</v>
      </c>
      <c r="J850" s="9" t="s">
        <v>16</v>
      </c>
      <c r="L850" s="4" t="s">
        <v>215</v>
      </c>
      <c r="M850" s="5" t="b">
        <v>0</v>
      </c>
    </row>
    <row r="851">
      <c r="A851" s="5" t="s">
        <v>1365</v>
      </c>
      <c r="B851" s="6" t="str">
        <f t="shared" si="1"/>
        <v>https://www.tsip.ai/force/48137868-ebbe-46a1-a255-fdb000e28377</v>
      </c>
      <c r="C851" s="36"/>
      <c r="F851" s="9" t="s">
        <v>16</v>
      </c>
      <c r="G851" s="9" t="s">
        <v>16</v>
      </c>
      <c r="H851" s="9" t="s">
        <v>16</v>
      </c>
      <c r="I851" s="9" t="s">
        <v>16</v>
      </c>
      <c r="J851" s="9" t="s">
        <v>16</v>
      </c>
      <c r="L851" s="4" t="s">
        <v>215</v>
      </c>
      <c r="M851" s="5" t="b">
        <v>0</v>
      </c>
    </row>
    <row r="852">
      <c r="A852" s="5" t="s">
        <v>1366</v>
      </c>
      <c r="B852" s="6" t="str">
        <f t="shared" si="1"/>
        <v>https://www.tsip.ai/force/4ac90d1c-2ee4-4048-86a9-6668d1432262</v>
      </c>
      <c r="C852" s="36"/>
      <c r="F852" s="9" t="s">
        <v>16</v>
      </c>
      <c r="G852" s="9" t="s">
        <v>16</v>
      </c>
      <c r="H852" s="9" t="s">
        <v>16</v>
      </c>
      <c r="I852" s="9" t="s">
        <v>16</v>
      </c>
      <c r="J852" s="9" t="s">
        <v>16</v>
      </c>
      <c r="L852" s="4" t="s">
        <v>215</v>
      </c>
      <c r="M852" s="5" t="b">
        <v>0</v>
      </c>
    </row>
    <row r="853">
      <c r="A853" s="5" t="s">
        <v>1367</v>
      </c>
      <c r="B853" s="6" t="str">
        <f t="shared" si="1"/>
        <v>https://www.tsip.ai/force/3b4441d4-b901-4332-95cb-67b1b69b5f69</v>
      </c>
      <c r="C853" s="36"/>
      <c r="F853" s="9" t="s">
        <v>16</v>
      </c>
      <c r="G853" s="9" t="s">
        <v>16</v>
      </c>
      <c r="H853" s="9" t="s">
        <v>16</v>
      </c>
      <c r="I853" s="9" t="s">
        <v>16</v>
      </c>
      <c r="J853" s="9" t="s">
        <v>16</v>
      </c>
      <c r="L853" s="4" t="s">
        <v>215</v>
      </c>
      <c r="M853" s="5" t="b">
        <v>0</v>
      </c>
    </row>
    <row r="854">
      <c r="A854" s="5" t="s">
        <v>1368</v>
      </c>
      <c r="B854" s="6" t="str">
        <f t="shared" si="1"/>
        <v>https://www.tsip.ai/force/60cf94d4-339a-4007-94af-41169711dc8b</v>
      </c>
      <c r="C854" s="36"/>
      <c r="F854" s="9" t="s">
        <v>16</v>
      </c>
      <c r="G854" s="9" t="s">
        <v>16</v>
      </c>
      <c r="H854" s="9" t="s">
        <v>16</v>
      </c>
      <c r="I854" s="9" t="s">
        <v>16</v>
      </c>
      <c r="J854" s="9" t="s">
        <v>16</v>
      </c>
      <c r="L854" s="4" t="s">
        <v>215</v>
      </c>
      <c r="M854" s="5" t="b">
        <v>0</v>
      </c>
    </row>
    <row r="855">
      <c r="A855" s="5" t="s">
        <v>1369</v>
      </c>
      <c r="B855" s="6" t="str">
        <f t="shared" si="1"/>
        <v>https://www.tsip.ai/force/62d11b38-03bf-44e7-b3e6-6fb984781208</v>
      </c>
      <c r="C855" s="36"/>
      <c r="F855" s="9" t="s">
        <v>16</v>
      </c>
      <c r="G855" s="9" t="s">
        <v>16</v>
      </c>
      <c r="H855" s="9" t="s">
        <v>16</v>
      </c>
      <c r="I855" s="9" t="s">
        <v>16</v>
      </c>
      <c r="J855" s="9" t="s">
        <v>16</v>
      </c>
      <c r="L855" s="4" t="s">
        <v>215</v>
      </c>
      <c r="M855" s="5" t="b">
        <v>0</v>
      </c>
    </row>
    <row r="856">
      <c r="A856" s="5" t="s">
        <v>1370</v>
      </c>
      <c r="B856" s="6" t="str">
        <f t="shared" si="1"/>
        <v>https://www.tsip.ai/force/741a829d-c9be-41f2-9f0f-a995859abea4</v>
      </c>
      <c r="C856" s="20" t="s">
        <v>46</v>
      </c>
      <c r="F856" s="9" t="s">
        <v>16</v>
      </c>
      <c r="G856" s="9" t="s">
        <v>16</v>
      </c>
      <c r="H856" s="9" t="s">
        <v>16</v>
      </c>
      <c r="I856" s="9" t="s">
        <v>16</v>
      </c>
      <c r="J856" s="9" t="s">
        <v>16</v>
      </c>
      <c r="L856" s="4" t="s">
        <v>215</v>
      </c>
      <c r="M856" s="5" t="b">
        <v>0</v>
      </c>
    </row>
    <row r="857">
      <c r="A857" s="5" t="s">
        <v>1371</v>
      </c>
      <c r="B857" s="6" t="str">
        <f t="shared" si="1"/>
        <v>https://www.tsip.ai/force/7512373f-8811-4e62-bd72-7b0907d2a264</v>
      </c>
      <c r="C857" s="20" t="s">
        <v>46</v>
      </c>
      <c r="F857" s="9" t="s">
        <v>16</v>
      </c>
      <c r="G857" s="9" t="s">
        <v>16</v>
      </c>
      <c r="H857" s="9" t="s">
        <v>16</v>
      </c>
      <c r="I857" s="9" t="s">
        <v>16</v>
      </c>
      <c r="J857" s="9" t="s">
        <v>16</v>
      </c>
      <c r="L857" s="4" t="s">
        <v>215</v>
      </c>
      <c r="M857" s="5" t="b">
        <v>0</v>
      </c>
    </row>
    <row r="858">
      <c r="A858" s="5" t="s">
        <v>1372</v>
      </c>
      <c r="B858" s="6" t="str">
        <f t="shared" si="1"/>
        <v>https://www.tsip.ai/force/7c174a47-933a-4a3b-9bca-f65449579434</v>
      </c>
      <c r="C858" s="20" t="s">
        <v>39</v>
      </c>
      <c r="F858" s="9" t="s">
        <v>16</v>
      </c>
      <c r="G858" s="9" t="s">
        <v>16</v>
      </c>
      <c r="H858" s="9" t="s">
        <v>16</v>
      </c>
      <c r="I858" s="9" t="s">
        <v>16</v>
      </c>
      <c r="J858" s="9" t="s">
        <v>16</v>
      </c>
      <c r="L858" s="4" t="s">
        <v>215</v>
      </c>
      <c r="M858" s="5" t="b">
        <v>0</v>
      </c>
    </row>
    <row r="859">
      <c r="A859" s="5" t="s">
        <v>1373</v>
      </c>
      <c r="B859" s="6" t="str">
        <f t="shared" si="1"/>
        <v>https://www.tsip.ai/force/7cf006dd-bb9a-449c-a32a-bae62b9d96b4</v>
      </c>
      <c r="C859" s="20" t="s">
        <v>46</v>
      </c>
      <c r="F859" s="9" t="s">
        <v>16</v>
      </c>
      <c r="G859" s="9" t="s">
        <v>16</v>
      </c>
      <c r="H859" s="9" t="s">
        <v>16</v>
      </c>
      <c r="I859" s="9" t="s">
        <v>16</v>
      </c>
      <c r="J859" s="9" t="s">
        <v>16</v>
      </c>
      <c r="L859" s="4" t="s">
        <v>215</v>
      </c>
      <c r="M859" s="5" t="b">
        <v>0</v>
      </c>
    </row>
    <row r="860">
      <c r="A860" s="5" t="s">
        <v>1374</v>
      </c>
      <c r="B860" s="6" t="str">
        <f t="shared" si="1"/>
        <v>https://www.tsip.ai/force/50f6c1b6-e424-4f62-b36f-111c6449258d</v>
      </c>
      <c r="C860" s="20" t="s">
        <v>46</v>
      </c>
      <c r="F860" s="9" t="s">
        <v>16</v>
      </c>
      <c r="G860" s="9" t="s">
        <v>16</v>
      </c>
      <c r="H860" s="9" t="s">
        <v>16</v>
      </c>
      <c r="I860" s="9" t="s">
        <v>16</v>
      </c>
      <c r="J860" s="9" t="s">
        <v>16</v>
      </c>
      <c r="L860" s="4" t="s">
        <v>215</v>
      </c>
      <c r="M860" s="5" t="b">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4" max="4" width="37.88"/>
    <col customWidth="1" min="6" max="8" width="14.0"/>
    <col customWidth="1" min="9" max="9" width="16.13"/>
    <col customWidth="1" min="11" max="11" width="21.38"/>
    <col customWidth="1" min="13" max="13" width="30.75"/>
  </cols>
  <sheetData>
    <row r="1" ht="60.0" customHeight="1">
      <c r="A1" s="68" t="s">
        <v>0</v>
      </c>
      <c r="B1" s="68" t="s">
        <v>1</v>
      </c>
      <c r="C1" s="68" t="s">
        <v>1375</v>
      </c>
      <c r="D1" s="68" t="s">
        <v>3</v>
      </c>
      <c r="E1" s="68" t="s">
        <v>4</v>
      </c>
      <c r="F1" s="68" t="s">
        <v>5</v>
      </c>
      <c r="G1" s="68" t="s">
        <v>7</v>
      </c>
      <c r="H1" s="69" t="s">
        <v>8</v>
      </c>
      <c r="I1" s="68" t="s">
        <v>9</v>
      </c>
      <c r="J1" s="68" t="s">
        <v>11</v>
      </c>
      <c r="K1" s="70" t="s">
        <v>1376</v>
      </c>
      <c r="L1" s="70" t="s">
        <v>1377</v>
      </c>
      <c r="M1" s="71" t="s">
        <v>1378</v>
      </c>
    </row>
    <row r="2" ht="21.0" customHeight="1">
      <c r="A2" s="5" t="s">
        <v>1379</v>
      </c>
      <c r="B2" s="6" t="str">
        <f t="shared" ref="B2:B41" si="1">concat("https://www.tsip.ai/force/",A2)</f>
        <v>https://www.tsip.ai/force/f61610de-33d8-4e1d-b40e-c6cad426cefa</v>
      </c>
      <c r="C2" s="20" t="s">
        <v>256</v>
      </c>
      <c r="D2" s="4" t="s">
        <v>1380</v>
      </c>
      <c r="E2" s="4">
        <v>60.0</v>
      </c>
      <c r="F2" s="9" t="s">
        <v>1381</v>
      </c>
      <c r="G2" s="9" t="s">
        <v>1381</v>
      </c>
      <c r="H2" s="9" t="s">
        <v>1381</v>
      </c>
      <c r="I2" s="72">
        <v>46161.0</v>
      </c>
      <c r="J2" s="8" t="b">
        <v>1</v>
      </c>
      <c r="K2" s="20" t="s">
        <v>1382</v>
      </c>
      <c r="L2" s="8">
        <v>3.0</v>
      </c>
      <c r="M2" s="73" t="s">
        <v>1383</v>
      </c>
    </row>
    <row r="3" ht="21.0" customHeight="1">
      <c r="A3" s="5" t="s">
        <v>1384</v>
      </c>
      <c r="B3" s="6" t="str">
        <f t="shared" si="1"/>
        <v>https://www.tsip.ai/force/fe294ac6-9f9f-4c74-8864-e3be7962c3cb</v>
      </c>
      <c r="C3" s="20" t="s">
        <v>256</v>
      </c>
      <c r="D3" s="4" t="s">
        <v>1385</v>
      </c>
      <c r="E3" s="4">
        <v>75.0</v>
      </c>
      <c r="F3" s="9" t="s">
        <v>1381</v>
      </c>
      <c r="G3" s="9" t="s">
        <v>1381</v>
      </c>
      <c r="H3" s="9" t="s">
        <v>1381</v>
      </c>
      <c r="I3" s="72">
        <v>46161.0</v>
      </c>
      <c r="J3" s="8" t="b">
        <v>1</v>
      </c>
      <c r="K3" s="20" t="s">
        <v>1382</v>
      </c>
      <c r="L3" s="8">
        <v>3.0</v>
      </c>
      <c r="M3" s="74" t="s">
        <v>1386</v>
      </c>
    </row>
    <row r="4">
      <c r="A4" s="5" t="s">
        <v>1387</v>
      </c>
      <c r="B4" s="6" t="str">
        <f t="shared" si="1"/>
        <v>https://www.tsip.ai/force/017a6e0d-12ed-4efc-bfa5-ea70840080e3</v>
      </c>
      <c r="C4" s="36"/>
      <c r="F4" s="9" t="s">
        <v>1381</v>
      </c>
      <c r="G4" s="9" t="s">
        <v>1381</v>
      </c>
      <c r="H4" s="9" t="s">
        <v>1381</v>
      </c>
      <c r="J4" s="5" t="b">
        <v>0</v>
      </c>
      <c r="K4" s="36"/>
      <c r="L4" s="5"/>
    </row>
    <row r="5">
      <c r="A5" s="5" t="s">
        <v>1388</v>
      </c>
      <c r="B5" s="6" t="str">
        <f t="shared" si="1"/>
        <v>https://www.tsip.ai/force/035f0506-b19c-4def-8a75-b196f8448cdf</v>
      </c>
      <c r="C5" s="20" t="s">
        <v>1389</v>
      </c>
      <c r="D5" s="4" t="s">
        <v>1390</v>
      </c>
      <c r="E5" s="4">
        <v>90.0</v>
      </c>
      <c r="F5" s="9" t="s">
        <v>1381</v>
      </c>
      <c r="G5" s="9" t="s">
        <v>1381</v>
      </c>
      <c r="H5" s="9" t="s">
        <v>1381</v>
      </c>
      <c r="I5" s="72">
        <v>46161.0</v>
      </c>
      <c r="J5" s="8" t="b">
        <v>1</v>
      </c>
      <c r="K5" s="20" t="s">
        <v>1382</v>
      </c>
      <c r="L5" s="8">
        <v>2.0</v>
      </c>
      <c r="M5" s="75" t="s">
        <v>1391</v>
      </c>
    </row>
    <row r="6">
      <c r="A6" s="5" t="s">
        <v>1392</v>
      </c>
      <c r="B6" s="6" t="str">
        <f t="shared" si="1"/>
        <v>https://www.tsip.ai/force/04c58cea-57df-4a08-8386-096d4a1d6668</v>
      </c>
      <c r="C6" s="20" t="s">
        <v>1393</v>
      </c>
      <c r="D6" s="4" t="s">
        <v>1394</v>
      </c>
      <c r="E6" s="4">
        <v>75.0</v>
      </c>
      <c r="F6" s="9" t="s">
        <v>1381</v>
      </c>
      <c r="G6" s="9" t="s">
        <v>1381</v>
      </c>
      <c r="H6" s="9" t="s">
        <v>1381</v>
      </c>
      <c r="I6" s="72">
        <v>46162.0</v>
      </c>
      <c r="J6" s="8" t="b">
        <v>0</v>
      </c>
      <c r="K6" s="36"/>
      <c r="L6" s="5"/>
    </row>
    <row r="7">
      <c r="A7" s="5" t="s">
        <v>1395</v>
      </c>
      <c r="B7" s="6" t="str">
        <f t="shared" si="1"/>
        <v>https://www.tsip.ai/force/06473005-29a0-45b5-b35f-2f1b9d245aa8</v>
      </c>
      <c r="C7" s="20" t="s">
        <v>1393</v>
      </c>
      <c r="D7" s="4" t="s">
        <v>1396</v>
      </c>
      <c r="E7" s="4">
        <v>75.0</v>
      </c>
      <c r="F7" s="9" t="s">
        <v>1381</v>
      </c>
      <c r="G7" s="9" t="s">
        <v>1381</v>
      </c>
      <c r="H7" s="9" t="s">
        <v>1381</v>
      </c>
      <c r="I7" s="72">
        <v>46162.0</v>
      </c>
      <c r="J7" s="8" t="b">
        <v>1</v>
      </c>
      <c r="K7" s="20" t="s">
        <v>1382</v>
      </c>
      <c r="L7" s="8">
        <v>3.0</v>
      </c>
      <c r="M7" s="75" t="s">
        <v>1397</v>
      </c>
    </row>
    <row r="8">
      <c r="A8" s="5" t="s">
        <v>1398</v>
      </c>
      <c r="B8" s="6" t="str">
        <f t="shared" si="1"/>
        <v>https://www.tsip.ai/force/0a2ffe07-f1e1-4e5e-8388-40197e5244b8</v>
      </c>
      <c r="C8" s="20" t="s">
        <v>1399</v>
      </c>
      <c r="D8" s="4" t="s">
        <v>1400</v>
      </c>
      <c r="E8" s="4">
        <v>83.0</v>
      </c>
      <c r="F8" s="9">
        <v>4.0</v>
      </c>
      <c r="G8" s="9" t="s">
        <v>1401</v>
      </c>
      <c r="H8" s="76">
        <v>1.0</v>
      </c>
      <c r="I8" s="22">
        <v>46163.0</v>
      </c>
      <c r="J8" s="8" t="b">
        <v>1</v>
      </c>
      <c r="L8" s="5"/>
    </row>
    <row r="9">
      <c r="A9" s="5" t="s">
        <v>1402</v>
      </c>
      <c r="B9" s="6" t="str">
        <f t="shared" si="1"/>
        <v>https://www.tsip.ai/force/137946c6-2d25-40b1-b21e-86ad86196443</v>
      </c>
      <c r="C9" s="20" t="s">
        <v>1399</v>
      </c>
      <c r="F9" s="9" t="s">
        <v>1381</v>
      </c>
      <c r="G9" s="9" t="s">
        <v>1381</v>
      </c>
      <c r="H9" s="9" t="s">
        <v>1381</v>
      </c>
      <c r="J9" s="5" t="b">
        <v>0</v>
      </c>
      <c r="L9" s="5"/>
    </row>
    <row r="10">
      <c r="A10" s="5" t="s">
        <v>1403</v>
      </c>
      <c r="B10" s="6" t="str">
        <f t="shared" si="1"/>
        <v>https://www.tsip.ai/force/1559ae3b-d368-4483-89eb-652b19ff8a6d</v>
      </c>
      <c r="C10" s="7" t="s">
        <v>138</v>
      </c>
      <c r="D10" s="4" t="s">
        <v>1404</v>
      </c>
      <c r="E10" s="4">
        <v>80.0</v>
      </c>
      <c r="F10" s="9">
        <v>5.0</v>
      </c>
      <c r="G10" s="9">
        <v>100.0</v>
      </c>
      <c r="H10" s="9" t="s">
        <v>1381</v>
      </c>
      <c r="I10" s="72">
        <v>46162.0</v>
      </c>
      <c r="J10" s="8" t="b">
        <v>1</v>
      </c>
      <c r="K10" s="20" t="s">
        <v>1382</v>
      </c>
      <c r="L10" s="8">
        <v>4.0</v>
      </c>
      <c r="M10" s="77" t="s">
        <v>1405</v>
      </c>
    </row>
    <row r="11">
      <c r="A11" s="5" t="s">
        <v>1406</v>
      </c>
      <c r="B11" s="6" t="str">
        <f t="shared" si="1"/>
        <v>https://www.tsip.ai/force/15f2b6bb-22dd-4057-a12c-5d6c722af03e</v>
      </c>
      <c r="C11" s="7" t="s">
        <v>138</v>
      </c>
      <c r="F11" s="9" t="s">
        <v>1381</v>
      </c>
      <c r="G11" s="9" t="s">
        <v>1381</v>
      </c>
      <c r="H11" s="9" t="s">
        <v>1381</v>
      </c>
      <c r="J11" s="5" t="b">
        <v>0</v>
      </c>
      <c r="L11" s="5"/>
    </row>
    <row r="12">
      <c r="A12" s="5" t="s">
        <v>1407</v>
      </c>
      <c r="B12" s="6" t="str">
        <f t="shared" si="1"/>
        <v>https://www.tsip.ai/force/172507df-9689-4d99-b211-934424a2586d</v>
      </c>
      <c r="C12" s="7" t="s">
        <v>1408</v>
      </c>
      <c r="D12" s="77" t="s">
        <v>1409</v>
      </c>
      <c r="E12" s="4">
        <v>90.0</v>
      </c>
      <c r="F12" s="9" t="s">
        <v>1381</v>
      </c>
      <c r="G12" s="9" t="s">
        <v>1381</v>
      </c>
      <c r="H12" s="9" t="s">
        <v>1381</v>
      </c>
      <c r="I12" s="72">
        <v>46163.0</v>
      </c>
      <c r="J12" s="8" t="b">
        <v>1</v>
      </c>
      <c r="K12" s="20" t="s">
        <v>1382</v>
      </c>
      <c r="L12" s="5"/>
    </row>
    <row r="13">
      <c r="A13" s="5" t="s">
        <v>1410</v>
      </c>
      <c r="B13" s="6" t="str">
        <f t="shared" si="1"/>
        <v>https://www.tsip.ai/force/17a88eb2-ef37-4094-8255-57602e6f4427</v>
      </c>
      <c r="C13" s="7" t="s">
        <v>1408</v>
      </c>
      <c r="F13" s="9" t="s">
        <v>1381</v>
      </c>
      <c r="G13" s="9" t="s">
        <v>1381</v>
      </c>
      <c r="H13" s="9" t="s">
        <v>1381</v>
      </c>
      <c r="J13" s="5" t="b">
        <v>0</v>
      </c>
      <c r="L13" s="5"/>
    </row>
    <row r="14">
      <c r="A14" s="5" t="s">
        <v>1411</v>
      </c>
      <c r="B14" s="6" t="str">
        <f t="shared" si="1"/>
        <v>https://www.tsip.ai/force/18f5665c-58c0-4e6a-aa1c-dc2ddaa45083</v>
      </c>
      <c r="C14" s="20" t="s">
        <v>1412</v>
      </c>
      <c r="D14" s="4" t="s">
        <v>1413</v>
      </c>
      <c r="F14" s="9" t="s">
        <v>1381</v>
      </c>
      <c r="G14" s="9" t="s">
        <v>1381</v>
      </c>
      <c r="H14" s="9" t="s">
        <v>1381</v>
      </c>
      <c r="J14" s="5" t="b">
        <v>0</v>
      </c>
      <c r="L14" s="5"/>
    </row>
    <row r="15">
      <c r="A15" s="5" t="s">
        <v>1414</v>
      </c>
      <c r="B15" s="6" t="str">
        <f t="shared" si="1"/>
        <v>https://www.tsip.ai/force/1af8d289-a2f3-45a7-b829-6c76051a2e1f</v>
      </c>
      <c r="C15" s="20" t="s">
        <v>1412</v>
      </c>
      <c r="D15" s="4" t="s">
        <v>1415</v>
      </c>
      <c r="E15" s="4">
        <v>180.0</v>
      </c>
      <c r="F15" s="9" t="s">
        <v>1381</v>
      </c>
      <c r="G15" s="9" t="s">
        <v>1381</v>
      </c>
      <c r="H15" s="9" t="s">
        <v>1381</v>
      </c>
      <c r="J15" s="5" t="b">
        <v>0</v>
      </c>
      <c r="L15" s="5"/>
    </row>
    <row r="16">
      <c r="A16" s="5" t="s">
        <v>1416</v>
      </c>
      <c r="B16" s="6" t="str">
        <f t="shared" si="1"/>
        <v>https://www.tsip.ai/force/1bb297ef-c0de-4a85-b10f-c4aaffedd0f9</v>
      </c>
      <c r="C16" s="20" t="s">
        <v>1417</v>
      </c>
      <c r="D16" s="4" t="s">
        <v>1418</v>
      </c>
      <c r="E16" s="4">
        <v>105.0</v>
      </c>
      <c r="F16" s="9" t="s">
        <v>1381</v>
      </c>
      <c r="G16" s="9" t="s">
        <v>1381</v>
      </c>
      <c r="H16" s="9" t="s">
        <v>1381</v>
      </c>
      <c r="I16" s="72">
        <v>46161.0</v>
      </c>
      <c r="J16" s="8" t="b">
        <v>1</v>
      </c>
      <c r="K16" s="20" t="s">
        <v>1382</v>
      </c>
      <c r="L16" s="8">
        <v>3.0</v>
      </c>
      <c r="M16" s="74" t="s">
        <v>1419</v>
      </c>
    </row>
    <row r="17" ht="15.0" customHeight="1">
      <c r="A17" s="5" t="s">
        <v>1420</v>
      </c>
      <c r="B17" s="6" t="str">
        <f t="shared" si="1"/>
        <v>https://www.tsip.ai/force/29c50543-7df8-4f07-86de-42cd3dfe3518</v>
      </c>
      <c r="C17" s="20" t="s">
        <v>1421</v>
      </c>
      <c r="D17" s="4" t="s">
        <v>1422</v>
      </c>
      <c r="E17" s="4">
        <v>68.0</v>
      </c>
      <c r="F17" s="9">
        <v>4.0</v>
      </c>
      <c r="G17" s="78">
        <v>0.97</v>
      </c>
      <c r="H17" s="76">
        <v>1.0</v>
      </c>
      <c r="I17" s="72">
        <v>46161.0</v>
      </c>
      <c r="J17" s="8" t="b">
        <v>1</v>
      </c>
      <c r="K17" s="20" t="s">
        <v>1382</v>
      </c>
      <c r="L17" s="8">
        <v>4.0</v>
      </c>
      <c r="M17" s="79" t="s">
        <v>1423</v>
      </c>
    </row>
    <row r="18">
      <c r="A18" s="5" t="s">
        <v>1424</v>
      </c>
      <c r="B18" s="6" t="str">
        <f t="shared" si="1"/>
        <v>https://www.tsip.ai/force/34bae99b-d264-490b-8dcc-cb9470b6cea9</v>
      </c>
      <c r="C18" s="13" t="s">
        <v>1425</v>
      </c>
      <c r="F18" s="9" t="s">
        <v>1381</v>
      </c>
      <c r="G18" s="9" t="s">
        <v>1381</v>
      </c>
      <c r="H18" s="9" t="s">
        <v>1381</v>
      </c>
      <c r="J18" s="5" t="b">
        <v>0</v>
      </c>
      <c r="L18" s="5"/>
    </row>
    <row r="19">
      <c r="A19" s="5" t="s">
        <v>1426</v>
      </c>
      <c r="B19" s="6" t="str">
        <f t="shared" si="1"/>
        <v>https://www.tsip.ai/force/47496d6b-0a37-42b7-bfd0-676a2695bc10</v>
      </c>
      <c r="C19" s="7" t="s">
        <v>1389</v>
      </c>
      <c r="F19" s="9" t="s">
        <v>1381</v>
      </c>
      <c r="G19" s="9" t="s">
        <v>1381</v>
      </c>
      <c r="H19" s="9" t="s">
        <v>1381</v>
      </c>
      <c r="J19" s="5" t="b">
        <v>0</v>
      </c>
      <c r="L19" s="5"/>
    </row>
    <row r="20">
      <c r="A20" s="5" t="s">
        <v>1427</v>
      </c>
      <c r="B20" s="6" t="str">
        <f t="shared" si="1"/>
        <v>https://www.tsip.ai/force/49174f45-dbab-4409-86de-c84fdb5a929a</v>
      </c>
      <c r="C20" s="20" t="s">
        <v>1428</v>
      </c>
      <c r="D20" s="4" t="s">
        <v>1429</v>
      </c>
      <c r="E20" s="4">
        <v>98.0</v>
      </c>
      <c r="F20" s="9" t="s">
        <v>1381</v>
      </c>
      <c r="G20" s="9" t="s">
        <v>1381</v>
      </c>
      <c r="H20" s="9" t="s">
        <v>1381</v>
      </c>
      <c r="I20" s="72">
        <v>46161.0</v>
      </c>
      <c r="J20" s="8" t="b">
        <v>1</v>
      </c>
      <c r="K20" s="20" t="s">
        <v>1382</v>
      </c>
      <c r="L20" s="8">
        <v>4.0</v>
      </c>
      <c r="M20" s="80" t="s">
        <v>1430</v>
      </c>
    </row>
    <row r="21">
      <c r="A21" s="5" t="s">
        <v>1431</v>
      </c>
      <c r="B21" s="6" t="str">
        <f t="shared" si="1"/>
        <v>https://www.tsip.ai/force/52a81288-b941-4399-a756-140d63708bd3</v>
      </c>
      <c r="C21" s="20" t="s">
        <v>1428</v>
      </c>
      <c r="D21" s="4" t="s">
        <v>1432</v>
      </c>
      <c r="E21" s="4">
        <v>60.0</v>
      </c>
      <c r="F21" s="9" t="s">
        <v>1381</v>
      </c>
      <c r="G21" s="9" t="s">
        <v>1381</v>
      </c>
      <c r="H21" s="9" t="s">
        <v>1381</v>
      </c>
      <c r="I21" s="72">
        <v>46162.0</v>
      </c>
      <c r="J21" s="8" t="b">
        <v>1</v>
      </c>
      <c r="K21" s="20"/>
      <c r="L21" s="5"/>
      <c r="M21" s="81"/>
    </row>
    <row r="22">
      <c r="A22" s="5" t="s">
        <v>1433</v>
      </c>
      <c r="B22" s="6" t="str">
        <f t="shared" si="1"/>
        <v>https://www.tsip.ai/force/7bcd454a-587c-4354-9933-3d0bff3d232a</v>
      </c>
      <c r="C22" s="7" t="s">
        <v>1434</v>
      </c>
      <c r="D22" s="4" t="s">
        <v>1435</v>
      </c>
      <c r="E22" s="4">
        <v>40.0</v>
      </c>
      <c r="F22" s="9" t="s">
        <v>1381</v>
      </c>
      <c r="G22" s="9" t="s">
        <v>1381</v>
      </c>
      <c r="H22" s="9" t="s">
        <v>1381</v>
      </c>
      <c r="I22" s="72">
        <v>46163.0</v>
      </c>
      <c r="J22" s="8" t="b">
        <v>1</v>
      </c>
      <c r="L22" s="5"/>
    </row>
    <row r="23">
      <c r="A23" s="5" t="s">
        <v>1436</v>
      </c>
      <c r="B23" s="6" t="str">
        <f t="shared" si="1"/>
        <v>https://www.tsip.ai/force/7d34a324-931a-465c-9ddb-b7cca61049d6</v>
      </c>
      <c r="C23" s="7" t="s">
        <v>1437</v>
      </c>
      <c r="F23" s="9" t="s">
        <v>1381</v>
      </c>
      <c r="G23" s="9" t="s">
        <v>1381</v>
      </c>
      <c r="H23" s="9" t="s">
        <v>1381</v>
      </c>
      <c r="J23" s="5" t="b">
        <v>0</v>
      </c>
      <c r="L23" s="5"/>
    </row>
    <row r="24">
      <c r="A24" s="5" t="s">
        <v>1438</v>
      </c>
      <c r="B24" s="6" t="str">
        <f t="shared" si="1"/>
        <v>https://www.tsip.ai/force/11d63782-a9ac-4050-8408-ba259a0df940</v>
      </c>
      <c r="C24" s="7" t="s">
        <v>1439</v>
      </c>
      <c r="F24" s="9" t="s">
        <v>1381</v>
      </c>
      <c r="G24" s="9" t="s">
        <v>1381</v>
      </c>
      <c r="H24" s="9" t="s">
        <v>1381</v>
      </c>
      <c r="J24" s="5" t="b">
        <v>0</v>
      </c>
      <c r="L24" s="5"/>
    </row>
    <row r="25">
      <c r="A25" s="5" t="s">
        <v>1440</v>
      </c>
      <c r="B25" s="6" t="str">
        <f t="shared" si="1"/>
        <v>https://www.tsip.ai/force/13d86739-f0c2-4ea9-bc25-031647cb348a</v>
      </c>
      <c r="C25" s="20" t="s">
        <v>1441</v>
      </c>
      <c r="F25" s="9" t="s">
        <v>1381</v>
      </c>
      <c r="G25" s="9" t="s">
        <v>1381</v>
      </c>
      <c r="H25" s="9" t="s">
        <v>1381</v>
      </c>
      <c r="J25" s="5" t="b">
        <v>0</v>
      </c>
      <c r="L25" s="5"/>
    </row>
    <row r="26">
      <c r="A26" s="5" t="s">
        <v>1442</v>
      </c>
      <c r="B26" s="6" t="str">
        <f t="shared" si="1"/>
        <v>https://www.tsip.ai/force/1418dd3a-c080-4e72-baf7-a7c582fdcf06</v>
      </c>
      <c r="C26" s="7" t="s">
        <v>1443</v>
      </c>
      <c r="F26" s="9" t="s">
        <v>1381</v>
      </c>
      <c r="G26" s="9" t="s">
        <v>1381</v>
      </c>
      <c r="H26" s="9" t="s">
        <v>1381</v>
      </c>
      <c r="J26" s="5" t="b">
        <v>0</v>
      </c>
      <c r="L26" s="5"/>
    </row>
    <row r="27">
      <c r="A27" s="5" t="s">
        <v>1444</v>
      </c>
      <c r="B27" s="6" t="str">
        <f t="shared" si="1"/>
        <v>https://www.tsip.ai/force/1455f0d4-b252-42e8-98b8-5560a78ebfe3</v>
      </c>
      <c r="C27" s="13"/>
      <c r="F27" s="9" t="s">
        <v>1381</v>
      </c>
      <c r="G27" s="9" t="s">
        <v>1381</v>
      </c>
      <c r="H27" s="9" t="s">
        <v>1381</v>
      </c>
      <c r="J27" s="5" t="b">
        <v>0</v>
      </c>
      <c r="L27" s="5"/>
    </row>
    <row r="28">
      <c r="A28" s="5" t="s">
        <v>1445</v>
      </c>
      <c r="B28" s="6" t="str">
        <f t="shared" si="1"/>
        <v>https://www.tsip.ai/force/156ad62e-145a-403b-b64f-e9e681b19702</v>
      </c>
      <c r="C28" s="13"/>
      <c r="F28" s="9" t="s">
        <v>1381</v>
      </c>
      <c r="G28" s="9" t="s">
        <v>1381</v>
      </c>
      <c r="H28" s="9" t="s">
        <v>1381</v>
      </c>
      <c r="J28" s="5" t="b">
        <v>0</v>
      </c>
      <c r="L28" s="5"/>
    </row>
    <row r="29">
      <c r="A29" s="5" t="s">
        <v>1446</v>
      </c>
      <c r="B29" s="6" t="str">
        <f t="shared" si="1"/>
        <v>https://www.tsip.ai/force/162bdf3d-475d-46e6-b5c2-6cca7919a4d5</v>
      </c>
      <c r="C29" s="13"/>
      <c r="F29" s="9" t="s">
        <v>1381</v>
      </c>
      <c r="G29" s="9" t="s">
        <v>1381</v>
      </c>
      <c r="H29" s="9" t="s">
        <v>1381</v>
      </c>
      <c r="J29" s="5" t="b">
        <v>0</v>
      </c>
      <c r="L29" s="5"/>
    </row>
    <row r="30">
      <c r="A30" s="5" t="s">
        <v>1447</v>
      </c>
      <c r="B30" s="6" t="str">
        <f t="shared" si="1"/>
        <v>https://www.tsip.ai/force/19530fd4-46b1-4ac4-8067-e9e62b767960</v>
      </c>
      <c r="C30" s="36"/>
      <c r="F30" s="9" t="s">
        <v>1381</v>
      </c>
      <c r="G30" s="9" t="s">
        <v>1381</v>
      </c>
      <c r="H30" s="9" t="s">
        <v>1381</v>
      </c>
      <c r="J30" s="5" t="b">
        <v>0</v>
      </c>
      <c r="L30" s="5"/>
    </row>
    <row r="31">
      <c r="A31" s="5" t="s">
        <v>1448</v>
      </c>
      <c r="B31" s="6" t="str">
        <f t="shared" si="1"/>
        <v>https://www.tsip.ai/force/19f1b207-7b14-45e5-bb94-b287575c7ea4</v>
      </c>
      <c r="C31" s="36"/>
      <c r="F31" s="9" t="s">
        <v>1381</v>
      </c>
      <c r="G31" s="9" t="s">
        <v>1381</v>
      </c>
      <c r="H31" s="9" t="s">
        <v>1381</v>
      </c>
      <c r="J31" s="5" t="b">
        <v>0</v>
      </c>
      <c r="L31" s="5"/>
    </row>
    <row r="32">
      <c r="A32" s="5" t="s">
        <v>1449</v>
      </c>
      <c r="B32" s="6" t="str">
        <f t="shared" si="1"/>
        <v>https://www.tsip.ai/force/1b70ca3c-db6a-4349-a077-c90e017e8efe</v>
      </c>
      <c r="C32" s="36"/>
      <c r="F32" s="9" t="s">
        <v>1381</v>
      </c>
      <c r="G32" s="9" t="s">
        <v>1381</v>
      </c>
      <c r="H32" s="9" t="s">
        <v>1381</v>
      </c>
      <c r="J32" s="5" t="b">
        <v>0</v>
      </c>
      <c r="L32" s="5"/>
    </row>
    <row r="33">
      <c r="A33" s="5" t="s">
        <v>1450</v>
      </c>
      <c r="B33" s="6" t="str">
        <f t="shared" si="1"/>
        <v>https://www.tsip.ai/force/1ba0bd5e-2aaa-4d53-84a2-5a5ddbc22877</v>
      </c>
      <c r="C33" s="36"/>
      <c r="F33" s="9" t="s">
        <v>1381</v>
      </c>
      <c r="G33" s="9" t="s">
        <v>1381</v>
      </c>
      <c r="H33" s="9" t="s">
        <v>1381</v>
      </c>
      <c r="J33" s="5" t="b">
        <v>0</v>
      </c>
      <c r="L33" s="5"/>
    </row>
    <row r="34">
      <c r="A34" s="5" t="s">
        <v>1451</v>
      </c>
      <c r="B34" s="6" t="str">
        <f t="shared" si="1"/>
        <v>https://www.tsip.ai/force/1bb0c6bb-2d66-4ca7-9a95-412171a6b54e</v>
      </c>
      <c r="C34" s="36"/>
      <c r="F34" s="9" t="s">
        <v>1381</v>
      </c>
      <c r="G34" s="9" t="s">
        <v>1381</v>
      </c>
      <c r="H34" s="9" t="s">
        <v>1381</v>
      </c>
      <c r="J34" s="5" t="b">
        <v>0</v>
      </c>
      <c r="L34" s="5"/>
    </row>
    <row r="35">
      <c r="A35" s="5" t="s">
        <v>1452</v>
      </c>
      <c r="B35" s="6" t="str">
        <f t="shared" si="1"/>
        <v>https://www.tsip.ai/force/21cc4460-e6ea-4b1e-8c23-01341d66ca33</v>
      </c>
      <c r="C35" s="36"/>
      <c r="F35" s="9" t="s">
        <v>1381</v>
      </c>
      <c r="G35" s="9" t="s">
        <v>1381</v>
      </c>
      <c r="H35" s="9" t="s">
        <v>1381</v>
      </c>
      <c r="J35" s="5" t="b">
        <v>0</v>
      </c>
      <c r="L35" s="5"/>
    </row>
    <row r="36">
      <c r="A36" s="5" t="s">
        <v>1453</v>
      </c>
      <c r="B36" s="6" t="str">
        <f t="shared" si="1"/>
        <v>https://www.tsip.ai/force/2517884c-fb41-4997-803d-b58f6948a966</v>
      </c>
      <c r="C36" s="36"/>
      <c r="F36" s="9" t="s">
        <v>1381</v>
      </c>
      <c r="G36" s="9" t="s">
        <v>1381</v>
      </c>
      <c r="H36" s="9" t="s">
        <v>1381</v>
      </c>
      <c r="J36" s="5" t="b">
        <v>0</v>
      </c>
      <c r="L36" s="5"/>
    </row>
    <row r="37">
      <c r="A37" s="5" t="s">
        <v>1454</v>
      </c>
      <c r="B37" s="6" t="str">
        <f t="shared" si="1"/>
        <v>https://www.tsip.ai/force/2546e176-164b-4eb3-a6ee-b28eb4f5f10f</v>
      </c>
      <c r="C37" s="36"/>
      <c r="F37" s="9" t="s">
        <v>1381</v>
      </c>
      <c r="G37" s="9" t="s">
        <v>1381</v>
      </c>
      <c r="H37" s="9" t="s">
        <v>1381</v>
      </c>
      <c r="J37" s="5" t="b">
        <v>0</v>
      </c>
      <c r="L37" s="5"/>
    </row>
    <row r="38">
      <c r="A38" s="5" t="s">
        <v>1455</v>
      </c>
      <c r="B38" s="6" t="str">
        <f t="shared" si="1"/>
        <v>https://www.tsip.ai/force/2fbb9781-71a0-4b18-9c4d-c014ce85ad4a</v>
      </c>
      <c r="C38" s="36"/>
      <c r="F38" s="9" t="s">
        <v>1381</v>
      </c>
      <c r="G38" s="9" t="s">
        <v>1381</v>
      </c>
      <c r="H38" s="9" t="s">
        <v>1381</v>
      </c>
      <c r="J38" s="5" t="b">
        <v>0</v>
      </c>
      <c r="L38" s="5"/>
    </row>
    <row r="39">
      <c r="A39" s="5" t="s">
        <v>1456</v>
      </c>
      <c r="B39" s="6" t="str">
        <f t="shared" si="1"/>
        <v>https://www.tsip.ai/force/306466f8-0745-4cc2-a116-f7a2310f1b1c</v>
      </c>
      <c r="C39" s="36"/>
      <c r="F39" s="9" t="s">
        <v>1381</v>
      </c>
      <c r="G39" s="9" t="s">
        <v>1381</v>
      </c>
      <c r="H39" s="9" t="s">
        <v>1381</v>
      </c>
      <c r="J39" s="5" t="b">
        <v>0</v>
      </c>
      <c r="L39" s="5"/>
    </row>
    <row r="40">
      <c r="A40" s="5" t="s">
        <v>1457</v>
      </c>
      <c r="B40" s="6" t="str">
        <f t="shared" si="1"/>
        <v>https://www.tsip.ai/force/3230b3b2-daed-4e71-b785-11ab2a8fca5e</v>
      </c>
      <c r="C40" s="36"/>
      <c r="F40" s="9" t="s">
        <v>1381</v>
      </c>
      <c r="G40" s="9" t="s">
        <v>1381</v>
      </c>
      <c r="H40" s="9" t="s">
        <v>1381</v>
      </c>
      <c r="J40" s="5" t="b">
        <v>0</v>
      </c>
      <c r="L40" s="5"/>
    </row>
    <row r="41">
      <c r="A41" s="5" t="s">
        <v>1458</v>
      </c>
      <c r="B41" s="6" t="str">
        <f t="shared" si="1"/>
        <v>https://www.tsip.ai/force/37183b05-9883-4062-b7fc-a902e0adbfd0</v>
      </c>
      <c r="C41" s="36"/>
      <c r="F41" s="9" t="s">
        <v>1381</v>
      </c>
      <c r="G41" s="9" t="s">
        <v>1381</v>
      </c>
      <c r="H41" s="9" t="s">
        <v>1381</v>
      </c>
      <c r="J41" s="5" t="b">
        <v>0</v>
      </c>
      <c r="L41" s="5"/>
    </row>
    <row r="42">
      <c r="C42" s="36"/>
    </row>
    <row r="43">
      <c r="C43" s="36"/>
    </row>
    <row r="44">
      <c r="C44" s="36"/>
    </row>
    <row r="45">
      <c r="C45" s="36"/>
    </row>
    <row r="46">
      <c r="C46" s="36"/>
    </row>
    <row r="47">
      <c r="C47" s="36"/>
    </row>
    <row r="48">
      <c r="C48" s="36"/>
    </row>
    <row r="49">
      <c r="C49" s="36"/>
    </row>
    <row r="50">
      <c r="C50" s="36"/>
    </row>
    <row r="51">
      <c r="C51" s="36"/>
    </row>
    <row r="52">
      <c r="C52" s="36"/>
    </row>
    <row r="53">
      <c r="C53" s="36"/>
    </row>
    <row r="54">
      <c r="C54" s="36"/>
    </row>
    <row r="55">
      <c r="C55" s="36"/>
    </row>
    <row r="56">
      <c r="C56" s="36"/>
    </row>
    <row r="57">
      <c r="C57" s="36"/>
    </row>
    <row r="58">
      <c r="C58" s="36"/>
    </row>
    <row r="59">
      <c r="C59" s="36"/>
    </row>
    <row r="60">
      <c r="C60" s="36"/>
    </row>
    <row r="61">
      <c r="C61" s="36"/>
    </row>
    <row r="62">
      <c r="C62" s="36"/>
    </row>
    <row r="63">
      <c r="C63" s="36"/>
    </row>
    <row r="64">
      <c r="C64" s="36"/>
    </row>
    <row r="65">
      <c r="C65" s="36"/>
    </row>
    <row r="66">
      <c r="C66" s="36"/>
    </row>
    <row r="67">
      <c r="C67" s="36"/>
    </row>
    <row r="68">
      <c r="C68" s="36"/>
    </row>
    <row r="69">
      <c r="C69" s="36"/>
    </row>
    <row r="70">
      <c r="C70" s="36"/>
    </row>
    <row r="71">
      <c r="C71" s="36"/>
    </row>
    <row r="72">
      <c r="C72" s="36"/>
    </row>
    <row r="73">
      <c r="C73" s="36"/>
    </row>
    <row r="74">
      <c r="C74" s="36"/>
    </row>
    <row r="75">
      <c r="C75" s="36"/>
    </row>
    <row r="76">
      <c r="C76" s="36"/>
    </row>
    <row r="77">
      <c r="C77" s="36"/>
    </row>
    <row r="78">
      <c r="C78" s="36"/>
    </row>
    <row r="79">
      <c r="C79" s="36"/>
    </row>
    <row r="80">
      <c r="C80" s="36"/>
    </row>
    <row r="81">
      <c r="C81" s="36"/>
    </row>
    <row r="82">
      <c r="C82" s="36"/>
    </row>
    <row r="83">
      <c r="C83" s="36"/>
    </row>
    <row r="84">
      <c r="C84" s="36"/>
    </row>
    <row r="85">
      <c r="C85" s="36"/>
    </row>
    <row r="86">
      <c r="C86" s="36"/>
    </row>
    <row r="87">
      <c r="C87" s="36"/>
    </row>
    <row r="88">
      <c r="C88" s="36"/>
    </row>
    <row r="89">
      <c r="C89" s="36"/>
    </row>
    <row r="90">
      <c r="C90" s="36"/>
    </row>
    <row r="91">
      <c r="C91" s="36"/>
    </row>
    <row r="92">
      <c r="C92" s="36"/>
    </row>
    <row r="93">
      <c r="C93" s="36"/>
    </row>
    <row r="94">
      <c r="C94" s="36"/>
    </row>
    <row r="95">
      <c r="C95" s="36"/>
    </row>
    <row r="96">
      <c r="C96" s="36"/>
    </row>
    <row r="97">
      <c r="C97" s="36"/>
    </row>
    <row r="98">
      <c r="C98" s="36"/>
    </row>
    <row r="99">
      <c r="C99" s="36"/>
    </row>
    <row r="100">
      <c r="C100" s="36"/>
    </row>
    <row r="101">
      <c r="C101" s="36"/>
    </row>
    <row r="102">
      <c r="C102" s="36"/>
    </row>
    <row r="103">
      <c r="C103" s="36"/>
    </row>
    <row r="104">
      <c r="C104" s="36"/>
    </row>
    <row r="105">
      <c r="C105" s="36"/>
    </row>
    <row r="106">
      <c r="C106" s="36"/>
    </row>
    <row r="107">
      <c r="C107" s="36"/>
    </row>
    <row r="108">
      <c r="C108" s="36"/>
    </row>
    <row r="109">
      <c r="C109" s="36"/>
    </row>
    <row r="110">
      <c r="C110" s="36"/>
    </row>
    <row r="111">
      <c r="C111" s="36"/>
    </row>
    <row r="112">
      <c r="C112" s="36"/>
    </row>
    <row r="113">
      <c r="C113" s="36"/>
    </row>
    <row r="114">
      <c r="C114" s="36"/>
    </row>
    <row r="115">
      <c r="C115" s="36"/>
    </row>
    <row r="116">
      <c r="C116" s="36"/>
    </row>
    <row r="117">
      <c r="C117" s="36"/>
    </row>
    <row r="118">
      <c r="C118" s="36"/>
    </row>
    <row r="119">
      <c r="C119" s="36"/>
    </row>
    <row r="120">
      <c r="C120" s="36"/>
    </row>
    <row r="121">
      <c r="C121" s="36"/>
    </row>
    <row r="122">
      <c r="C122" s="36"/>
    </row>
    <row r="123">
      <c r="C123" s="36"/>
    </row>
    <row r="124">
      <c r="C124" s="36"/>
    </row>
    <row r="125">
      <c r="C125" s="36"/>
    </row>
    <row r="126">
      <c r="C126" s="36"/>
    </row>
    <row r="127">
      <c r="C127" s="36"/>
    </row>
    <row r="128">
      <c r="C128" s="36"/>
    </row>
    <row r="129">
      <c r="C129" s="36"/>
    </row>
    <row r="130">
      <c r="C130" s="36"/>
    </row>
    <row r="131">
      <c r="C131" s="36"/>
    </row>
    <row r="132">
      <c r="C132" s="36"/>
    </row>
    <row r="133">
      <c r="C133" s="36"/>
    </row>
    <row r="134">
      <c r="C134" s="36"/>
    </row>
    <row r="135">
      <c r="C135" s="36"/>
    </row>
    <row r="136">
      <c r="C136" s="36"/>
    </row>
    <row r="137">
      <c r="C137" s="36"/>
    </row>
    <row r="138">
      <c r="C138" s="36"/>
    </row>
    <row r="139">
      <c r="C139" s="36"/>
    </row>
    <row r="140">
      <c r="C140" s="36"/>
    </row>
    <row r="141">
      <c r="C141" s="36"/>
    </row>
    <row r="142">
      <c r="C142" s="36"/>
    </row>
    <row r="143">
      <c r="C143" s="36"/>
    </row>
    <row r="144">
      <c r="C144" s="36"/>
    </row>
    <row r="145">
      <c r="C145" s="36"/>
    </row>
    <row r="146">
      <c r="C146" s="36"/>
    </row>
    <row r="147">
      <c r="C147" s="36"/>
    </row>
    <row r="148">
      <c r="C148" s="36"/>
    </row>
    <row r="149">
      <c r="C149" s="36"/>
    </row>
    <row r="150">
      <c r="C150" s="36"/>
    </row>
    <row r="151">
      <c r="C151" s="36"/>
    </row>
    <row r="152">
      <c r="C152" s="36"/>
    </row>
    <row r="153">
      <c r="C153" s="36"/>
    </row>
    <row r="154">
      <c r="C154" s="36"/>
    </row>
    <row r="155">
      <c r="C155" s="36"/>
    </row>
    <row r="156">
      <c r="C156" s="36"/>
    </row>
    <row r="157">
      <c r="C157" s="36"/>
    </row>
    <row r="158">
      <c r="C158" s="36"/>
    </row>
    <row r="159">
      <c r="C159" s="36"/>
    </row>
    <row r="160">
      <c r="C160" s="36"/>
    </row>
    <row r="161">
      <c r="C161" s="36"/>
    </row>
    <row r="162">
      <c r="C162" s="36"/>
    </row>
    <row r="163">
      <c r="C163" s="36"/>
    </row>
    <row r="164">
      <c r="C164" s="36"/>
    </row>
    <row r="165">
      <c r="C165" s="36"/>
    </row>
    <row r="166">
      <c r="C166" s="36"/>
    </row>
    <row r="167">
      <c r="C167" s="36"/>
    </row>
    <row r="168">
      <c r="C168" s="36"/>
    </row>
    <row r="169">
      <c r="C169" s="36"/>
    </row>
    <row r="170">
      <c r="C170" s="36"/>
    </row>
    <row r="171">
      <c r="C171" s="36"/>
    </row>
    <row r="172">
      <c r="C172" s="36"/>
    </row>
    <row r="173">
      <c r="C173" s="36"/>
    </row>
    <row r="174">
      <c r="C174" s="36"/>
    </row>
    <row r="175">
      <c r="C175" s="36"/>
    </row>
    <row r="176">
      <c r="C176" s="36"/>
    </row>
    <row r="177">
      <c r="C177" s="36"/>
    </row>
    <row r="178">
      <c r="C178" s="36"/>
    </row>
    <row r="179">
      <c r="C179" s="36"/>
    </row>
    <row r="180">
      <c r="C180" s="36"/>
    </row>
    <row r="181">
      <c r="C181" s="36"/>
    </row>
    <row r="182">
      <c r="C182" s="36"/>
    </row>
    <row r="183">
      <c r="C183" s="36"/>
    </row>
    <row r="184">
      <c r="C184" s="36"/>
    </row>
    <row r="185">
      <c r="C185" s="36"/>
    </row>
    <row r="186">
      <c r="C186" s="36"/>
    </row>
    <row r="187">
      <c r="C187" s="36"/>
    </row>
    <row r="188">
      <c r="C188" s="36"/>
    </row>
    <row r="189">
      <c r="C189" s="36"/>
    </row>
    <row r="190">
      <c r="C190" s="36"/>
    </row>
    <row r="191">
      <c r="C191" s="36"/>
    </row>
    <row r="192">
      <c r="C192" s="36"/>
    </row>
    <row r="193">
      <c r="C193" s="36"/>
    </row>
    <row r="194">
      <c r="C194" s="36"/>
    </row>
    <row r="195">
      <c r="C195" s="36"/>
    </row>
    <row r="196">
      <c r="C196" s="36"/>
    </row>
    <row r="197">
      <c r="C197" s="36"/>
    </row>
    <row r="198">
      <c r="C198" s="36"/>
    </row>
    <row r="199">
      <c r="C199" s="36"/>
    </row>
    <row r="200">
      <c r="C200" s="36"/>
    </row>
    <row r="201">
      <c r="C201" s="36"/>
    </row>
    <row r="202">
      <c r="C202" s="36"/>
    </row>
    <row r="203">
      <c r="C203" s="36"/>
    </row>
    <row r="204">
      <c r="C204" s="36"/>
    </row>
    <row r="205">
      <c r="C205" s="36"/>
    </row>
    <row r="206">
      <c r="C206" s="36"/>
    </row>
    <row r="207">
      <c r="C207" s="36"/>
    </row>
    <row r="208">
      <c r="C208" s="36"/>
    </row>
    <row r="209">
      <c r="C209" s="36"/>
    </row>
    <row r="210">
      <c r="C210" s="36"/>
    </row>
    <row r="211">
      <c r="C211" s="36"/>
    </row>
    <row r="212">
      <c r="C212" s="36"/>
    </row>
    <row r="213">
      <c r="C213" s="36"/>
    </row>
    <row r="214">
      <c r="C214" s="36"/>
    </row>
    <row r="215">
      <c r="C215" s="36"/>
    </row>
    <row r="216">
      <c r="C216" s="36"/>
    </row>
    <row r="217">
      <c r="C217" s="36"/>
    </row>
    <row r="218">
      <c r="C218" s="36"/>
    </row>
    <row r="219">
      <c r="C219" s="36"/>
    </row>
    <row r="220">
      <c r="C220" s="36"/>
    </row>
    <row r="221">
      <c r="C221" s="36"/>
    </row>
    <row r="222">
      <c r="C222" s="36"/>
    </row>
    <row r="223">
      <c r="C223" s="36"/>
    </row>
    <row r="224">
      <c r="C224" s="36"/>
    </row>
    <row r="225">
      <c r="C225" s="36"/>
    </row>
    <row r="226">
      <c r="C226" s="36"/>
    </row>
    <row r="227">
      <c r="C227" s="36"/>
    </row>
    <row r="228">
      <c r="C228" s="36"/>
    </row>
    <row r="229">
      <c r="C229" s="36"/>
    </row>
    <row r="230">
      <c r="C230" s="36"/>
    </row>
    <row r="231">
      <c r="C231" s="36"/>
    </row>
    <row r="232">
      <c r="C232" s="36"/>
    </row>
    <row r="233">
      <c r="C233" s="36"/>
    </row>
    <row r="234">
      <c r="C234" s="36"/>
    </row>
    <row r="235">
      <c r="C235" s="36"/>
    </row>
    <row r="236">
      <c r="C236" s="36"/>
    </row>
    <row r="237">
      <c r="C237" s="36"/>
    </row>
    <row r="238">
      <c r="C238" s="36"/>
    </row>
    <row r="239">
      <c r="C239" s="36"/>
    </row>
    <row r="240">
      <c r="C240" s="36"/>
    </row>
    <row r="241">
      <c r="C241" s="36"/>
    </row>
    <row r="242">
      <c r="C242" s="36"/>
    </row>
    <row r="243">
      <c r="C243" s="36"/>
    </row>
    <row r="244">
      <c r="C244" s="36"/>
    </row>
    <row r="245">
      <c r="C245" s="36"/>
    </row>
    <row r="246">
      <c r="C246" s="36"/>
    </row>
    <row r="247">
      <c r="C247" s="36"/>
    </row>
    <row r="248">
      <c r="C248" s="36"/>
    </row>
    <row r="249">
      <c r="C249" s="36"/>
    </row>
    <row r="250">
      <c r="C250" s="36"/>
    </row>
    <row r="251">
      <c r="C251" s="36"/>
    </row>
    <row r="252">
      <c r="C252" s="36"/>
    </row>
    <row r="253">
      <c r="C253" s="36"/>
    </row>
    <row r="254">
      <c r="C254" s="36"/>
    </row>
    <row r="255">
      <c r="C255" s="36"/>
    </row>
    <row r="256">
      <c r="C256" s="36"/>
    </row>
    <row r="257">
      <c r="C257" s="36"/>
    </row>
    <row r="258">
      <c r="C258" s="36"/>
    </row>
    <row r="259">
      <c r="C259" s="36"/>
    </row>
    <row r="260">
      <c r="C260" s="36"/>
    </row>
    <row r="261">
      <c r="C261" s="36"/>
    </row>
    <row r="262">
      <c r="C262" s="36"/>
    </row>
    <row r="263">
      <c r="C263" s="36"/>
    </row>
    <row r="264">
      <c r="C264" s="36"/>
    </row>
    <row r="265">
      <c r="C265" s="36"/>
    </row>
    <row r="266">
      <c r="C266" s="36"/>
    </row>
    <row r="267">
      <c r="C267" s="36"/>
    </row>
    <row r="268">
      <c r="C268" s="36"/>
    </row>
    <row r="269">
      <c r="C269" s="36"/>
    </row>
    <row r="270">
      <c r="C270" s="36"/>
    </row>
    <row r="271">
      <c r="C271" s="36"/>
    </row>
    <row r="272">
      <c r="C272" s="36"/>
    </row>
    <row r="273">
      <c r="C273" s="36"/>
    </row>
    <row r="274">
      <c r="C274" s="36"/>
    </row>
    <row r="275">
      <c r="C275" s="36"/>
    </row>
    <row r="276">
      <c r="C276" s="36"/>
    </row>
    <row r="277">
      <c r="C277" s="36"/>
    </row>
    <row r="278">
      <c r="C278" s="36"/>
    </row>
    <row r="279">
      <c r="C279" s="36"/>
    </row>
    <row r="280">
      <c r="C280" s="36"/>
    </row>
    <row r="281">
      <c r="C281" s="36"/>
    </row>
    <row r="282">
      <c r="C282" s="36"/>
    </row>
    <row r="283">
      <c r="C283" s="36"/>
    </row>
    <row r="284">
      <c r="C284" s="36"/>
    </row>
    <row r="285">
      <c r="C285" s="36"/>
    </row>
    <row r="286">
      <c r="C286" s="36"/>
    </row>
    <row r="287">
      <c r="C287" s="36"/>
    </row>
    <row r="288">
      <c r="C288" s="36"/>
    </row>
    <row r="289">
      <c r="C289" s="36"/>
    </row>
    <row r="290">
      <c r="C290" s="36"/>
    </row>
    <row r="291">
      <c r="C291" s="36"/>
    </row>
    <row r="292">
      <c r="C292" s="36"/>
    </row>
    <row r="293">
      <c r="C293" s="36"/>
    </row>
    <row r="294">
      <c r="C294" s="36"/>
    </row>
    <row r="295">
      <c r="C295" s="36"/>
    </row>
    <row r="296">
      <c r="C296" s="36"/>
    </row>
    <row r="297">
      <c r="C297" s="36"/>
    </row>
    <row r="298">
      <c r="C298" s="36"/>
    </row>
    <row r="299">
      <c r="C299" s="36"/>
    </row>
    <row r="300">
      <c r="C300" s="36"/>
    </row>
    <row r="301">
      <c r="C301" s="36"/>
    </row>
    <row r="302">
      <c r="C302" s="36"/>
    </row>
    <row r="303">
      <c r="C303" s="36"/>
    </row>
    <row r="304">
      <c r="C304" s="36"/>
    </row>
    <row r="305">
      <c r="C305" s="36"/>
    </row>
    <row r="306">
      <c r="C306" s="36"/>
    </row>
    <row r="307">
      <c r="C307" s="36"/>
    </row>
    <row r="308">
      <c r="C308" s="36"/>
    </row>
    <row r="309">
      <c r="C309" s="36"/>
    </row>
    <row r="310">
      <c r="C310" s="36"/>
    </row>
    <row r="311">
      <c r="C311" s="36"/>
    </row>
    <row r="312">
      <c r="C312" s="36"/>
    </row>
    <row r="313">
      <c r="C313" s="36"/>
    </row>
    <row r="314">
      <c r="C314" s="36"/>
    </row>
    <row r="315">
      <c r="C315" s="36"/>
    </row>
    <row r="316">
      <c r="C316" s="36"/>
    </row>
    <row r="317">
      <c r="C317" s="36"/>
    </row>
    <row r="318">
      <c r="C318" s="36"/>
    </row>
    <row r="319">
      <c r="C319" s="36"/>
    </row>
    <row r="320">
      <c r="C320" s="36"/>
    </row>
    <row r="321">
      <c r="C321" s="36"/>
    </row>
    <row r="322">
      <c r="C322" s="36"/>
    </row>
    <row r="323">
      <c r="C323" s="36"/>
    </row>
    <row r="324">
      <c r="C324" s="36"/>
    </row>
    <row r="325">
      <c r="C325" s="36"/>
    </row>
    <row r="326">
      <c r="C326" s="36"/>
    </row>
    <row r="327">
      <c r="C327" s="36"/>
    </row>
    <row r="328">
      <c r="C328" s="36"/>
    </row>
    <row r="329">
      <c r="C329" s="36"/>
    </row>
    <row r="330">
      <c r="C330" s="36"/>
    </row>
    <row r="331">
      <c r="C331" s="36"/>
    </row>
    <row r="332">
      <c r="C332" s="36"/>
    </row>
    <row r="333">
      <c r="C333" s="36"/>
    </row>
    <row r="334">
      <c r="C334" s="36"/>
    </row>
    <row r="335">
      <c r="C335" s="36"/>
    </row>
    <row r="336">
      <c r="C336" s="36"/>
    </row>
    <row r="337">
      <c r="C337" s="36"/>
    </row>
    <row r="338">
      <c r="C338" s="36"/>
    </row>
    <row r="339">
      <c r="C339" s="36"/>
    </row>
    <row r="340">
      <c r="C340" s="36"/>
    </row>
    <row r="341">
      <c r="C341" s="36"/>
    </row>
    <row r="342">
      <c r="C342" s="36"/>
    </row>
    <row r="343">
      <c r="C343" s="36"/>
    </row>
    <row r="344">
      <c r="C344" s="36"/>
    </row>
    <row r="345">
      <c r="C345" s="36"/>
    </row>
    <row r="346">
      <c r="C346" s="36"/>
    </row>
    <row r="347">
      <c r="C347" s="36"/>
    </row>
    <row r="348">
      <c r="C348" s="36"/>
    </row>
    <row r="349">
      <c r="C349" s="36"/>
    </row>
    <row r="350">
      <c r="C350" s="36"/>
    </row>
    <row r="351">
      <c r="C351" s="36"/>
    </row>
    <row r="352">
      <c r="C352" s="36"/>
    </row>
    <row r="353">
      <c r="C353" s="36"/>
    </row>
    <row r="354">
      <c r="C354" s="36"/>
    </row>
    <row r="355">
      <c r="C355" s="36"/>
    </row>
    <row r="356">
      <c r="C356" s="36"/>
    </row>
    <row r="357">
      <c r="C357" s="36"/>
    </row>
    <row r="358">
      <c r="C358" s="36"/>
    </row>
    <row r="359">
      <c r="C359" s="36"/>
    </row>
    <row r="360">
      <c r="C360" s="36"/>
    </row>
    <row r="361">
      <c r="C361" s="36"/>
    </row>
    <row r="362">
      <c r="C362" s="36"/>
    </row>
    <row r="363">
      <c r="C363" s="36"/>
    </row>
    <row r="364">
      <c r="C364" s="36"/>
    </row>
    <row r="365">
      <c r="C365" s="36"/>
    </row>
    <row r="366">
      <c r="C366" s="36"/>
    </row>
    <row r="367">
      <c r="C367" s="36"/>
    </row>
    <row r="368">
      <c r="C368" s="36"/>
    </row>
    <row r="369">
      <c r="C369" s="36"/>
    </row>
    <row r="370">
      <c r="C370" s="36"/>
    </row>
    <row r="371">
      <c r="C371" s="36"/>
    </row>
    <row r="372">
      <c r="C372" s="36"/>
    </row>
    <row r="373">
      <c r="C373" s="36"/>
    </row>
    <row r="374">
      <c r="C374" s="36"/>
    </row>
    <row r="375">
      <c r="C375" s="36"/>
    </row>
    <row r="376">
      <c r="C376" s="36"/>
    </row>
    <row r="377">
      <c r="C377" s="36"/>
    </row>
    <row r="378">
      <c r="C378" s="36"/>
    </row>
    <row r="379">
      <c r="C379" s="36"/>
    </row>
    <row r="380">
      <c r="C380" s="36"/>
    </row>
    <row r="381">
      <c r="C381" s="36"/>
    </row>
    <row r="382">
      <c r="C382" s="36"/>
    </row>
    <row r="383">
      <c r="C383" s="36"/>
    </row>
    <row r="384">
      <c r="C384" s="36"/>
    </row>
    <row r="385">
      <c r="C385" s="36"/>
    </row>
    <row r="386">
      <c r="C386" s="36"/>
    </row>
    <row r="387">
      <c r="C387" s="36"/>
    </row>
    <row r="388">
      <c r="C388" s="36"/>
    </row>
    <row r="389">
      <c r="C389" s="36"/>
    </row>
    <row r="390">
      <c r="C390" s="36"/>
    </row>
    <row r="391">
      <c r="C391" s="36"/>
    </row>
    <row r="392">
      <c r="C392" s="36"/>
    </row>
    <row r="393">
      <c r="C393" s="36"/>
    </row>
    <row r="394">
      <c r="C394" s="36"/>
    </row>
    <row r="395">
      <c r="C395" s="36"/>
    </row>
    <row r="396">
      <c r="C396" s="36"/>
    </row>
    <row r="397">
      <c r="C397" s="36"/>
    </row>
    <row r="398">
      <c r="C398" s="36"/>
    </row>
    <row r="399">
      <c r="C399" s="36"/>
    </row>
    <row r="400">
      <c r="C400" s="36"/>
    </row>
    <row r="401">
      <c r="C401" s="36"/>
    </row>
    <row r="402">
      <c r="C402" s="36"/>
    </row>
    <row r="403">
      <c r="C403" s="36"/>
    </row>
    <row r="404">
      <c r="C404" s="36"/>
    </row>
    <row r="405">
      <c r="C405" s="36"/>
    </row>
    <row r="406">
      <c r="C406" s="36"/>
    </row>
    <row r="407">
      <c r="C407" s="36"/>
    </row>
    <row r="408">
      <c r="C408" s="36"/>
    </row>
    <row r="409">
      <c r="C409" s="36"/>
    </row>
    <row r="410">
      <c r="C410" s="36"/>
    </row>
    <row r="411">
      <c r="C411" s="36"/>
    </row>
    <row r="412">
      <c r="C412" s="36"/>
    </row>
    <row r="413">
      <c r="C413" s="36"/>
    </row>
    <row r="414">
      <c r="C414" s="36"/>
    </row>
    <row r="415">
      <c r="C415" s="36"/>
    </row>
    <row r="416">
      <c r="C416" s="36"/>
    </row>
    <row r="417">
      <c r="C417" s="36"/>
    </row>
    <row r="418">
      <c r="C418" s="36"/>
    </row>
    <row r="419">
      <c r="C419" s="36"/>
    </row>
    <row r="420">
      <c r="C420" s="36"/>
    </row>
    <row r="421">
      <c r="C421" s="36"/>
    </row>
    <row r="422">
      <c r="C422" s="36"/>
    </row>
    <row r="423">
      <c r="C423" s="36"/>
    </row>
    <row r="424">
      <c r="C424" s="36"/>
    </row>
    <row r="425">
      <c r="C425" s="36"/>
    </row>
    <row r="426">
      <c r="C426" s="36"/>
    </row>
    <row r="427">
      <c r="C427" s="36"/>
    </row>
    <row r="428">
      <c r="C428" s="36"/>
    </row>
    <row r="429">
      <c r="C429" s="36"/>
    </row>
    <row r="430">
      <c r="C430" s="36"/>
    </row>
    <row r="431">
      <c r="C431" s="36"/>
    </row>
    <row r="432">
      <c r="C432" s="36"/>
    </row>
    <row r="433">
      <c r="C433" s="36"/>
    </row>
    <row r="434">
      <c r="C434" s="36"/>
    </row>
    <row r="435">
      <c r="C435" s="36"/>
    </row>
    <row r="436">
      <c r="C436" s="36"/>
    </row>
    <row r="437">
      <c r="C437" s="36"/>
    </row>
    <row r="438">
      <c r="C438" s="36"/>
    </row>
    <row r="439">
      <c r="C439" s="36"/>
    </row>
    <row r="440">
      <c r="C440" s="36"/>
    </row>
    <row r="441">
      <c r="C441" s="36"/>
    </row>
    <row r="442">
      <c r="C442" s="36"/>
    </row>
    <row r="443">
      <c r="C443" s="36"/>
    </row>
    <row r="444">
      <c r="C444" s="36"/>
    </row>
    <row r="445">
      <c r="C445" s="36"/>
    </row>
    <row r="446">
      <c r="C446" s="36"/>
    </row>
    <row r="447">
      <c r="C447" s="36"/>
    </row>
    <row r="448">
      <c r="C448" s="36"/>
    </row>
    <row r="449">
      <c r="C449" s="36"/>
    </row>
    <row r="450">
      <c r="C450" s="36"/>
    </row>
    <row r="451">
      <c r="C451" s="36"/>
    </row>
    <row r="452">
      <c r="C452" s="36"/>
    </row>
    <row r="453">
      <c r="C453" s="36"/>
    </row>
    <row r="454">
      <c r="C454" s="36"/>
    </row>
    <row r="455">
      <c r="C455" s="36"/>
    </row>
    <row r="456">
      <c r="C456" s="36"/>
    </row>
    <row r="457">
      <c r="C457" s="36"/>
    </row>
    <row r="458">
      <c r="C458" s="36"/>
    </row>
    <row r="459">
      <c r="C459" s="36"/>
    </row>
    <row r="460">
      <c r="C460" s="36"/>
    </row>
    <row r="461">
      <c r="C461" s="36"/>
    </row>
    <row r="462">
      <c r="C462" s="36"/>
    </row>
    <row r="463">
      <c r="C463" s="36"/>
    </row>
    <row r="464">
      <c r="C464" s="36"/>
    </row>
    <row r="465">
      <c r="C465" s="36"/>
    </row>
    <row r="466">
      <c r="C466" s="36"/>
    </row>
    <row r="467">
      <c r="C467" s="36"/>
    </row>
    <row r="468">
      <c r="C468" s="36"/>
    </row>
    <row r="469">
      <c r="C469" s="36"/>
    </row>
    <row r="470">
      <c r="C470" s="36"/>
    </row>
    <row r="471">
      <c r="C471" s="36"/>
    </row>
    <row r="472">
      <c r="C472" s="36"/>
    </row>
    <row r="473">
      <c r="C473" s="36"/>
    </row>
    <row r="474">
      <c r="C474" s="36"/>
    </row>
    <row r="475">
      <c r="C475" s="36"/>
    </row>
    <row r="476">
      <c r="C476" s="36"/>
    </row>
    <row r="477">
      <c r="C477" s="36"/>
    </row>
    <row r="478">
      <c r="C478" s="36"/>
    </row>
    <row r="479">
      <c r="C479" s="36"/>
    </row>
    <row r="480">
      <c r="C480" s="36"/>
    </row>
    <row r="481">
      <c r="C481" s="36"/>
    </row>
    <row r="482">
      <c r="C482" s="36"/>
    </row>
    <row r="483">
      <c r="C483" s="36"/>
    </row>
    <row r="484">
      <c r="C484" s="36"/>
    </row>
    <row r="485">
      <c r="C485" s="36"/>
    </row>
    <row r="486">
      <c r="C486" s="36"/>
    </row>
    <row r="487">
      <c r="C487" s="36"/>
    </row>
    <row r="488">
      <c r="C488" s="36"/>
    </row>
    <row r="489">
      <c r="C489" s="36"/>
    </row>
    <row r="490">
      <c r="C490" s="36"/>
    </row>
    <row r="491">
      <c r="C491" s="36"/>
    </row>
    <row r="492">
      <c r="C492" s="36"/>
    </row>
    <row r="493">
      <c r="C493" s="36"/>
    </row>
    <row r="494">
      <c r="C494" s="36"/>
    </row>
    <row r="495">
      <c r="C495" s="36"/>
    </row>
    <row r="496">
      <c r="C496" s="36"/>
    </row>
    <row r="497">
      <c r="C497" s="36"/>
    </row>
    <row r="498">
      <c r="C498" s="36"/>
    </row>
    <row r="499">
      <c r="C499" s="36"/>
    </row>
    <row r="500">
      <c r="C500" s="36"/>
    </row>
    <row r="501">
      <c r="C501" s="36"/>
    </row>
    <row r="502">
      <c r="C502" s="36"/>
    </row>
    <row r="503">
      <c r="C503" s="36"/>
    </row>
    <row r="504">
      <c r="C504" s="36"/>
    </row>
    <row r="505">
      <c r="C505" s="36"/>
    </row>
    <row r="506">
      <c r="C506" s="36"/>
    </row>
    <row r="507">
      <c r="C507" s="36"/>
    </row>
    <row r="508">
      <c r="C508" s="36"/>
    </row>
    <row r="509">
      <c r="C509" s="36"/>
    </row>
    <row r="510">
      <c r="C510" s="36"/>
    </row>
    <row r="511">
      <c r="C511" s="36"/>
    </row>
    <row r="512">
      <c r="C512" s="36"/>
    </row>
    <row r="513">
      <c r="C513" s="36"/>
    </row>
    <row r="514">
      <c r="C514" s="36"/>
    </row>
    <row r="515">
      <c r="C515" s="36"/>
    </row>
    <row r="516">
      <c r="C516" s="36"/>
    </row>
    <row r="517">
      <c r="C517" s="36"/>
    </row>
    <row r="518">
      <c r="C518" s="36"/>
    </row>
    <row r="519">
      <c r="C519" s="36"/>
    </row>
    <row r="520">
      <c r="C520" s="36"/>
    </row>
    <row r="521">
      <c r="C521" s="36"/>
    </row>
    <row r="522">
      <c r="C522" s="36"/>
    </row>
    <row r="523">
      <c r="C523" s="36"/>
    </row>
    <row r="524">
      <c r="C524" s="36"/>
    </row>
    <row r="525">
      <c r="C525" s="36"/>
    </row>
    <row r="526">
      <c r="C526" s="36"/>
    </row>
    <row r="527">
      <c r="C527" s="36"/>
    </row>
    <row r="528">
      <c r="C528" s="36"/>
    </row>
    <row r="529">
      <c r="C529" s="36"/>
    </row>
    <row r="530">
      <c r="C530" s="36"/>
    </row>
    <row r="531">
      <c r="C531" s="36"/>
    </row>
    <row r="532">
      <c r="C532" s="36"/>
    </row>
    <row r="533">
      <c r="C533" s="36"/>
    </row>
    <row r="534">
      <c r="C534" s="36"/>
    </row>
    <row r="535">
      <c r="C535" s="36"/>
    </row>
    <row r="536">
      <c r="C536" s="36"/>
    </row>
    <row r="537">
      <c r="C537" s="36"/>
    </row>
    <row r="538">
      <c r="C538" s="36"/>
    </row>
    <row r="539">
      <c r="C539" s="36"/>
    </row>
    <row r="540">
      <c r="C540" s="36"/>
    </row>
    <row r="541">
      <c r="C541" s="36"/>
    </row>
    <row r="542">
      <c r="C542" s="36"/>
    </row>
    <row r="543">
      <c r="C543" s="36"/>
    </row>
    <row r="544">
      <c r="C544" s="36"/>
    </row>
    <row r="545">
      <c r="C545" s="36"/>
    </row>
    <row r="546">
      <c r="C546" s="36"/>
    </row>
    <row r="547">
      <c r="C547" s="36"/>
    </row>
    <row r="548">
      <c r="C548" s="36"/>
    </row>
    <row r="549">
      <c r="C549" s="36"/>
    </row>
    <row r="550">
      <c r="C550" s="36"/>
    </row>
    <row r="551">
      <c r="C551" s="36"/>
    </row>
    <row r="552">
      <c r="C552" s="36"/>
    </row>
    <row r="553">
      <c r="C553" s="36"/>
    </row>
    <row r="554">
      <c r="C554" s="36"/>
    </row>
    <row r="555">
      <c r="C555" s="36"/>
    </row>
    <row r="556">
      <c r="C556" s="36"/>
    </row>
    <row r="557">
      <c r="C557" s="36"/>
    </row>
    <row r="558">
      <c r="C558" s="36"/>
    </row>
    <row r="559">
      <c r="C559" s="36"/>
    </row>
    <row r="560">
      <c r="C560" s="36"/>
    </row>
    <row r="561">
      <c r="C561" s="36"/>
    </row>
    <row r="562">
      <c r="C562" s="36"/>
    </row>
    <row r="563">
      <c r="C563" s="36"/>
    </row>
    <row r="564">
      <c r="C564" s="36"/>
    </row>
    <row r="565">
      <c r="C565" s="36"/>
    </row>
    <row r="566">
      <c r="C566" s="36"/>
    </row>
    <row r="567">
      <c r="C567" s="36"/>
    </row>
    <row r="568">
      <c r="C568" s="36"/>
    </row>
    <row r="569">
      <c r="C569" s="36"/>
    </row>
    <row r="570">
      <c r="C570" s="36"/>
    </row>
    <row r="571">
      <c r="C571" s="36"/>
    </row>
    <row r="572">
      <c r="C572" s="36"/>
    </row>
    <row r="573">
      <c r="C573" s="36"/>
    </row>
    <row r="574">
      <c r="C574" s="36"/>
    </row>
    <row r="575">
      <c r="C575" s="36"/>
    </row>
    <row r="576">
      <c r="C576" s="36"/>
    </row>
    <row r="577">
      <c r="C577" s="36"/>
    </row>
    <row r="578">
      <c r="C578" s="36"/>
    </row>
    <row r="579">
      <c r="C579" s="36"/>
    </row>
    <row r="580">
      <c r="C580" s="36"/>
    </row>
    <row r="581">
      <c r="C581" s="36"/>
    </row>
    <row r="582">
      <c r="C582" s="36"/>
    </row>
    <row r="583">
      <c r="C583" s="36"/>
    </row>
    <row r="584">
      <c r="C584" s="36"/>
    </row>
    <row r="585">
      <c r="C585" s="36"/>
    </row>
    <row r="586">
      <c r="C586" s="36"/>
    </row>
    <row r="587">
      <c r="C587" s="36"/>
    </row>
    <row r="588">
      <c r="C588" s="36"/>
    </row>
    <row r="589">
      <c r="C589" s="36"/>
    </row>
    <row r="590">
      <c r="C590" s="36"/>
    </row>
    <row r="591">
      <c r="C591" s="36"/>
    </row>
    <row r="592">
      <c r="C592" s="36"/>
    </row>
    <row r="593">
      <c r="C593" s="36"/>
    </row>
    <row r="594">
      <c r="C594" s="36"/>
    </row>
    <row r="595">
      <c r="C595" s="36"/>
    </row>
    <row r="596">
      <c r="C596" s="36"/>
    </row>
    <row r="597">
      <c r="C597" s="36"/>
    </row>
    <row r="598">
      <c r="C598" s="36"/>
    </row>
    <row r="599">
      <c r="C599" s="36"/>
    </row>
    <row r="600">
      <c r="C600" s="36"/>
    </row>
    <row r="601">
      <c r="C601" s="36"/>
    </row>
    <row r="602">
      <c r="C602" s="36"/>
    </row>
    <row r="603">
      <c r="C603" s="36"/>
    </row>
    <row r="604">
      <c r="C604" s="36"/>
    </row>
    <row r="605">
      <c r="C605" s="36"/>
    </row>
    <row r="606">
      <c r="C606" s="36"/>
    </row>
    <row r="607">
      <c r="C607" s="36"/>
    </row>
    <row r="608">
      <c r="C608" s="36"/>
    </row>
    <row r="609">
      <c r="C609" s="36"/>
    </row>
    <row r="610">
      <c r="C610" s="36"/>
    </row>
    <row r="611">
      <c r="C611" s="36"/>
    </row>
    <row r="612">
      <c r="C612" s="36"/>
    </row>
    <row r="613">
      <c r="C613" s="36"/>
    </row>
    <row r="614">
      <c r="C614" s="36"/>
    </row>
    <row r="615">
      <c r="C615" s="36"/>
    </row>
    <row r="616">
      <c r="C616" s="36"/>
    </row>
    <row r="617">
      <c r="C617" s="36"/>
    </row>
    <row r="618">
      <c r="C618" s="36"/>
    </row>
    <row r="619">
      <c r="C619" s="36"/>
    </row>
    <row r="620">
      <c r="C620" s="36"/>
    </row>
    <row r="621">
      <c r="C621" s="36"/>
    </row>
    <row r="622">
      <c r="C622" s="36"/>
    </row>
    <row r="623">
      <c r="C623" s="36"/>
    </row>
    <row r="624">
      <c r="C624" s="36"/>
    </row>
    <row r="625">
      <c r="C625" s="36"/>
    </row>
    <row r="626">
      <c r="C626" s="36"/>
    </row>
    <row r="627">
      <c r="C627" s="36"/>
    </row>
    <row r="628">
      <c r="C628" s="36"/>
    </row>
    <row r="629">
      <c r="C629" s="36"/>
    </row>
    <row r="630">
      <c r="C630" s="36"/>
    </row>
    <row r="631">
      <c r="C631" s="36"/>
    </row>
    <row r="632">
      <c r="C632" s="36"/>
    </row>
    <row r="633">
      <c r="C633" s="36"/>
    </row>
    <row r="634">
      <c r="C634" s="36"/>
    </row>
    <row r="635">
      <c r="C635" s="36"/>
    </row>
    <row r="636">
      <c r="C636" s="36"/>
    </row>
    <row r="637">
      <c r="C637" s="36"/>
    </row>
    <row r="638">
      <c r="C638" s="36"/>
    </row>
    <row r="639">
      <c r="C639" s="36"/>
    </row>
    <row r="640">
      <c r="C640" s="36"/>
    </row>
    <row r="641">
      <c r="C641" s="36"/>
    </row>
    <row r="642">
      <c r="C642" s="36"/>
    </row>
    <row r="643">
      <c r="C643" s="36"/>
    </row>
    <row r="644">
      <c r="C644" s="36"/>
    </row>
    <row r="645">
      <c r="C645" s="36"/>
    </row>
    <row r="646">
      <c r="C646" s="36"/>
    </row>
    <row r="647">
      <c r="C647" s="36"/>
    </row>
    <row r="648">
      <c r="C648" s="36"/>
    </row>
    <row r="649">
      <c r="C649" s="36"/>
    </row>
    <row r="650">
      <c r="C650" s="36"/>
    </row>
    <row r="651">
      <c r="C651" s="36"/>
    </row>
    <row r="652">
      <c r="C652" s="36"/>
    </row>
    <row r="653">
      <c r="C653" s="36"/>
    </row>
    <row r="654">
      <c r="C654" s="36"/>
    </row>
    <row r="655">
      <c r="C655" s="36"/>
    </row>
    <row r="656">
      <c r="C656" s="36"/>
    </row>
    <row r="657">
      <c r="C657" s="36"/>
    </row>
    <row r="658">
      <c r="C658" s="36"/>
    </row>
    <row r="659">
      <c r="C659" s="36"/>
    </row>
    <row r="660">
      <c r="C660" s="36"/>
    </row>
    <row r="661">
      <c r="C661" s="36"/>
    </row>
    <row r="662">
      <c r="C662" s="36"/>
    </row>
    <row r="663">
      <c r="C663" s="36"/>
    </row>
    <row r="664">
      <c r="C664" s="36"/>
    </row>
    <row r="665">
      <c r="C665" s="36"/>
    </row>
    <row r="666">
      <c r="C666" s="36"/>
    </row>
    <row r="667">
      <c r="C667" s="36"/>
    </row>
    <row r="668">
      <c r="C668" s="36"/>
    </row>
    <row r="669">
      <c r="C669" s="36"/>
    </row>
    <row r="670">
      <c r="C670" s="36"/>
    </row>
    <row r="671">
      <c r="C671" s="36"/>
    </row>
    <row r="672">
      <c r="C672" s="36"/>
    </row>
    <row r="673">
      <c r="C673" s="36"/>
    </row>
    <row r="674">
      <c r="C674" s="36"/>
    </row>
    <row r="675">
      <c r="C675" s="36"/>
    </row>
    <row r="676">
      <c r="C676" s="36"/>
    </row>
    <row r="677">
      <c r="C677" s="36"/>
    </row>
    <row r="678">
      <c r="C678" s="36"/>
    </row>
    <row r="679">
      <c r="C679" s="36"/>
    </row>
    <row r="680">
      <c r="C680" s="36"/>
    </row>
    <row r="681">
      <c r="C681" s="36"/>
    </row>
    <row r="682">
      <c r="C682" s="36"/>
    </row>
    <row r="683">
      <c r="C683" s="36"/>
    </row>
    <row r="684">
      <c r="C684" s="36"/>
    </row>
    <row r="685">
      <c r="C685" s="36"/>
    </row>
    <row r="686">
      <c r="C686" s="36"/>
    </row>
    <row r="687">
      <c r="C687" s="36"/>
    </row>
    <row r="688">
      <c r="C688" s="36"/>
    </row>
    <row r="689">
      <c r="C689" s="36"/>
    </row>
    <row r="690">
      <c r="C690" s="36"/>
    </row>
    <row r="691">
      <c r="C691" s="36"/>
    </row>
    <row r="692">
      <c r="C692" s="36"/>
    </row>
    <row r="693">
      <c r="C693" s="36"/>
    </row>
    <row r="694">
      <c r="C694" s="36"/>
    </row>
    <row r="695">
      <c r="C695" s="36"/>
    </row>
    <row r="696">
      <c r="C696" s="36"/>
    </row>
    <row r="697">
      <c r="C697" s="36"/>
    </row>
    <row r="698">
      <c r="C698" s="36"/>
    </row>
    <row r="699">
      <c r="C699" s="36"/>
    </row>
    <row r="700">
      <c r="C700" s="36"/>
    </row>
    <row r="701">
      <c r="C701" s="36"/>
    </row>
    <row r="702">
      <c r="C702" s="36"/>
    </row>
    <row r="703">
      <c r="C703" s="36"/>
    </row>
    <row r="704">
      <c r="C704" s="36"/>
    </row>
    <row r="705">
      <c r="C705" s="36"/>
    </row>
    <row r="706">
      <c r="C706" s="36"/>
    </row>
    <row r="707">
      <c r="C707" s="36"/>
    </row>
    <row r="708">
      <c r="C708" s="36"/>
    </row>
    <row r="709">
      <c r="C709" s="36"/>
    </row>
    <row r="710">
      <c r="C710" s="36"/>
    </row>
    <row r="711">
      <c r="C711" s="36"/>
    </row>
    <row r="712">
      <c r="C712" s="36"/>
    </row>
    <row r="713">
      <c r="C713" s="36"/>
    </row>
    <row r="714">
      <c r="C714" s="36"/>
    </row>
    <row r="715">
      <c r="C715" s="36"/>
    </row>
    <row r="716">
      <c r="C716" s="36"/>
    </row>
    <row r="717">
      <c r="C717" s="36"/>
    </row>
    <row r="718">
      <c r="C718" s="36"/>
    </row>
    <row r="719">
      <c r="C719" s="36"/>
    </row>
    <row r="720">
      <c r="C720" s="36"/>
    </row>
    <row r="721">
      <c r="C721" s="36"/>
    </row>
    <row r="722">
      <c r="C722" s="36"/>
    </row>
    <row r="723">
      <c r="C723" s="36"/>
    </row>
    <row r="724">
      <c r="C724" s="36"/>
    </row>
    <row r="725">
      <c r="C725" s="36"/>
    </row>
    <row r="726">
      <c r="C726" s="36"/>
    </row>
    <row r="727">
      <c r="C727" s="36"/>
    </row>
    <row r="728">
      <c r="C728" s="36"/>
    </row>
    <row r="729">
      <c r="C729" s="36"/>
    </row>
    <row r="730">
      <c r="C730" s="36"/>
    </row>
    <row r="731">
      <c r="C731" s="36"/>
    </row>
    <row r="732">
      <c r="C732" s="36"/>
    </row>
    <row r="733">
      <c r="C733" s="36"/>
    </row>
    <row r="734">
      <c r="C734" s="36"/>
    </row>
    <row r="735">
      <c r="C735" s="36"/>
    </row>
    <row r="736">
      <c r="C736" s="36"/>
    </row>
    <row r="737">
      <c r="C737" s="36"/>
    </row>
    <row r="738">
      <c r="C738" s="36"/>
    </row>
    <row r="739">
      <c r="C739" s="36"/>
    </row>
    <row r="740">
      <c r="C740" s="36"/>
    </row>
    <row r="741">
      <c r="C741" s="36"/>
    </row>
    <row r="742">
      <c r="C742" s="36"/>
    </row>
    <row r="743">
      <c r="C743" s="36"/>
    </row>
    <row r="744">
      <c r="C744" s="36"/>
    </row>
    <row r="745">
      <c r="C745" s="36"/>
    </row>
    <row r="746">
      <c r="C746" s="36"/>
    </row>
    <row r="747">
      <c r="C747" s="36"/>
    </row>
    <row r="748">
      <c r="C748" s="36"/>
    </row>
    <row r="749">
      <c r="C749" s="36"/>
    </row>
    <row r="750">
      <c r="C750" s="36"/>
    </row>
    <row r="751">
      <c r="C751" s="36"/>
    </row>
    <row r="752">
      <c r="C752" s="36"/>
    </row>
    <row r="753">
      <c r="C753" s="36"/>
    </row>
    <row r="754">
      <c r="C754" s="36"/>
    </row>
    <row r="755">
      <c r="C755" s="36"/>
    </row>
    <row r="756">
      <c r="C756" s="36"/>
    </row>
    <row r="757">
      <c r="C757" s="36"/>
    </row>
    <row r="758">
      <c r="C758" s="36"/>
    </row>
    <row r="759">
      <c r="C759" s="36"/>
    </row>
    <row r="760">
      <c r="C760" s="36"/>
    </row>
    <row r="761">
      <c r="C761" s="36"/>
    </row>
    <row r="762">
      <c r="C762" s="36"/>
    </row>
    <row r="763">
      <c r="C763" s="36"/>
    </row>
    <row r="764">
      <c r="C764" s="36"/>
    </row>
    <row r="765">
      <c r="C765" s="36"/>
    </row>
    <row r="766">
      <c r="C766" s="36"/>
    </row>
    <row r="767">
      <c r="C767" s="36"/>
    </row>
    <row r="768">
      <c r="C768" s="36"/>
    </row>
    <row r="769">
      <c r="C769" s="36"/>
    </row>
    <row r="770">
      <c r="C770" s="36"/>
    </row>
    <row r="771">
      <c r="C771" s="36"/>
    </row>
    <row r="772">
      <c r="C772" s="36"/>
    </row>
    <row r="773">
      <c r="C773" s="36"/>
    </row>
    <row r="774">
      <c r="C774" s="36"/>
    </row>
    <row r="775">
      <c r="C775" s="36"/>
    </row>
    <row r="776">
      <c r="C776" s="36"/>
    </row>
    <row r="777">
      <c r="C777" s="36"/>
    </row>
    <row r="778">
      <c r="C778" s="36"/>
    </row>
    <row r="779">
      <c r="C779" s="36"/>
    </row>
    <row r="780">
      <c r="C780" s="36"/>
    </row>
    <row r="781">
      <c r="C781" s="36"/>
    </row>
    <row r="782">
      <c r="C782" s="36"/>
    </row>
    <row r="783">
      <c r="C783" s="36"/>
    </row>
    <row r="784">
      <c r="C784" s="36"/>
    </row>
    <row r="785">
      <c r="C785" s="36"/>
    </row>
    <row r="786">
      <c r="C786" s="36"/>
    </row>
    <row r="787">
      <c r="C787" s="36"/>
    </row>
    <row r="788">
      <c r="C788" s="36"/>
    </row>
    <row r="789">
      <c r="C789" s="36"/>
    </row>
    <row r="790">
      <c r="C790" s="36"/>
    </row>
    <row r="791">
      <c r="C791" s="36"/>
    </row>
    <row r="792">
      <c r="C792" s="36"/>
    </row>
    <row r="793">
      <c r="C793" s="36"/>
    </row>
    <row r="794">
      <c r="C794" s="36"/>
    </row>
    <row r="795">
      <c r="C795" s="36"/>
    </row>
    <row r="796">
      <c r="C796" s="36"/>
    </row>
    <row r="797">
      <c r="C797" s="36"/>
    </row>
    <row r="798">
      <c r="C798" s="36"/>
    </row>
    <row r="799">
      <c r="C799" s="36"/>
    </row>
    <row r="800">
      <c r="C800" s="36"/>
    </row>
    <row r="801">
      <c r="C801" s="36"/>
    </row>
    <row r="802">
      <c r="C802" s="36"/>
    </row>
    <row r="803">
      <c r="C803" s="36"/>
    </row>
    <row r="804">
      <c r="C804" s="36"/>
    </row>
    <row r="805">
      <c r="C805" s="36"/>
    </row>
    <row r="806">
      <c r="C806" s="36"/>
    </row>
    <row r="807">
      <c r="C807" s="36"/>
    </row>
    <row r="808">
      <c r="C808" s="36"/>
    </row>
    <row r="809">
      <c r="C809" s="36"/>
    </row>
    <row r="810">
      <c r="C810" s="36"/>
    </row>
    <row r="811">
      <c r="C811" s="36"/>
    </row>
    <row r="812">
      <c r="C812" s="36"/>
    </row>
    <row r="813">
      <c r="C813" s="36"/>
    </row>
    <row r="814">
      <c r="C814" s="36"/>
    </row>
    <row r="815">
      <c r="C815" s="36"/>
    </row>
    <row r="816">
      <c r="C816" s="36"/>
    </row>
    <row r="817">
      <c r="C817" s="36"/>
    </row>
    <row r="818">
      <c r="C818" s="36"/>
    </row>
    <row r="819">
      <c r="C819" s="36"/>
    </row>
    <row r="820">
      <c r="C820" s="36"/>
    </row>
    <row r="821">
      <c r="C821" s="36"/>
    </row>
    <row r="822">
      <c r="C822" s="36"/>
    </row>
    <row r="823">
      <c r="C823" s="36"/>
    </row>
    <row r="824">
      <c r="C824" s="36"/>
    </row>
    <row r="825">
      <c r="C825" s="36"/>
    </row>
    <row r="826">
      <c r="C826" s="36"/>
    </row>
    <row r="827">
      <c r="C827" s="36"/>
    </row>
    <row r="828">
      <c r="C828" s="36"/>
    </row>
    <row r="829">
      <c r="C829" s="36"/>
    </row>
    <row r="830">
      <c r="C830" s="36"/>
    </row>
    <row r="831">
      <c r="C831" s="36"/>
    </row>
    <row r="832">
      <c r="C832" s="36"/>
    </row>
    <row r="833">
      <c r="C833" s="36"/>
    </row>
    <row r="834">
      <c r="C834" s="36"/>
    </row>
    <row r="835">
      <c r="C835" s="36"/>
    </row>
    <row r="836">
      <c r="C836" s="36"/>
    </row>
    <row r="837">
      <c r="C837" s="36"/>
    </row>
    <row r="838">
      <c r="C838" s="36"/>
    </row>
    <row r="839">
      <c r="C839" s="36"/>
    </row>
    <row r="840">
      <c r="C840" s="36"/>
    </row>
    <row r="841">
      <c r="C841" s="36"/>
    </row>
    <row r="842">
      <c r="C842" s="36"/>
    </row>
    <row r="843">
      <c r="C843" s="36"/>
    </row>
    <row r="844">
      <c r="C844" s="36"/>
    </row>
    <row r="845">
      <c r="C845" s="36"/>
    </row>
    <row r="846">
      <c r="C846" s="36"/>
    </row>
    <row r="847">
      <c r="C847" s="36"/>
    </row>
    <row r="848">
      <c r="C848" s="36"/>
    </row>
    <row r="849">
      <c r="C849" s="36"/>
    </row>
    <row r="850">
      <c r="C850" s="36"/>
    </row>
    <row r="851">
      <c r="C851" s="36"/>
    </row>
    <row r="852">
      <c r="C852" s="36"/>
    </row>
    <row r="853">
      <c r="C853" s="36"/>
    </row>
    <row r="854">
      <c r="C854" s="36"/>
    </row>
    <row r="855">
      <c r="C855" s="36"/>
    </row>
    <row r="856">
      <c r="C856" s="36"/>
    </row>
    <row r="857">
      <c r="C857" s="36"/>
    </row>
    <row r="858">
      <c r="C858" s="36"/>
    </row>
    <row r="859">
      <c r="C859" s="36"/>
    </row>
    <row r="860">
      <c r="C860" s="36"/>
    </row>
    <row r="861">
      <c r="C861" s="36"/>
    </row>
    <row r="862">
      <c r="C862" s="36"/>
    </row>
    <row r="863">
      <c r="C863" s="36"/>
    </row>
    <row r="864">
      <c r="C864" s="36"/>
    </row>
    <row r="865">
      <c r="C865" s="36"/>
    </row>
    <row r="866">
      <c r="C866" s="36"/>
    </row>
    <row r="867">
      <c r="C867" s="36"/>
    </row>
    <row r="868">
      <c r="C868" s="36"/>
    </row>
    <row r="869">
      <c r="C869" s="36"/>
    </row>
    <row r="870">
      <c r="C870" s="36"/>
    </row>
    <row r="871">
      <c r="C871" s="36"/>
    </row>
    <row r="872">
      <c r="C872" s="36"/>
    </row>
    <row r="873">
      <c r="C873" s="36"/>
    </row>
    <row r="874">
      <c r="C874" s="36"/>
    </row>
    <row r="875">
      <c r="C875" s="36"/>
    </row>
    <row r="876">
      <c r="C876" s="36"/>
    </row>
    <row r="877">
      <c r="C877" s="36"/>
    </row>
    <row r="878">
      <c r="C878" s="36"/>
    </row>
    <row r="879">
      <c r="C879" s="36"/>
    </row>
    <row r="880">
      <c r="C880" s="36"/>
    </row>
    <row r="881">
      <c r="C881" s="36"/>
    </row>
    <row r="882">
      <c r="C882" s="36"/>
    </row>
    <row r="883">
      <c r="C883" s="36"/>
    </row>
    <row r="884">
      <c r="C884" s="36"/>
    </row>
    <row r="885">
      <c r="C885" s="36"/>
    </row>
    <row r="886">
      <c r="C886" s="36"/>
    </row>
    <row r="887">
      <c r="C887" s="36"/>
    </row>
    <row r="888">
      <c r="C888" s="36"/>
    </row>
    <row r="889">
      <c r="C889" s="36"/>
    </row>
    <row r="890">
      <c r="C890" s="36"/>
    </row>
    <row r="891">
      <c r="C891" s="36"/>
    </row>
    <row r="892">
      <c r="C892" s="36"/>
    </row>
    <row r="893">
      <c r="C893" s="36"/>
    </row>
    <row r="894">
      <c r="C894" s="36"/>
    </row>
    <row r="895">
      <c r="C895" s="36"/>
    </row>
    <row r="896">
      <c r="C896" s="36"/>
    </row>
    <row r="897">
      <c r="C897" s="36"/>
    </row>
    <row r="898">
      <c r="C898" s="36"/>
    </row>
    <row r="899">
      <c r="C899" s="36"/>
    </row>
    <row r="900">
      <c r="C900" s="36"/>
    </row>
    <row r="901">
      <c r="C901" s="36"/>
    </row>
    <row r="902">
      <c r="C902" s="36"/>
    </row>
    <row r="903">
      <c r="C903" s="36"/>
    </row>
    <row r="904">
      <c r="C904" s="36"/>
    </row>
    <row r="905">
      <c r="C905" s="36"/>
    </row>
    <row r="906">
      <c r="C906" s="36"/>
    </row>
    <row r="907">
      <c r="C907" s="36"/>
    </row>
    <row r="908">
      <c r="C908" s="36"/>
    </row>
    <row r="909">
      <c r="C909" s="36"/>
    </row>
    <row r="910">
      <c r="C910" s="36"/>
    </row>
    <row r="911">
      <c r="C911" s="36"/>
    </row>
    <row r="912">
      <c r="C912" s="36"/>
    </row>
    <row r="913">
      <c r="C913" s="36"/>
    </row>
    <row r="914">
      <c r="C914" s="36"/>
    </row>
    <row r="915">
      <c r="C915" s="36"/>
    </row>
    <row r="916">
      <c r="C916" s="36"/>
    </row>
    <row r="917">
      <c r="C917" s="36"/>
    </row>
    <row r="918">
      <c r="C918" s="36"/>
    </row>
    <row r="919">
      <c r="C919" s="36"/>
    </row>
    <row r="920">
      <c r="C920" s="36"/>
    </row>
    <row r="921">
      <c r="C921" s="36"/>
    </row>
    <row r="922">
      <c r="C922" s="36"/>
    </row>
    <row r="923">
      <c r="C923" s="36"/>
    </row>
    <row r="924">
      <c r="C924" s="36"/>
    </row>
    <row r="925">
      <c r="C925" s="36"/>
    </row>
    <row r="926">
      <c r="C926" s="36"/>
    </row>
    <row r="927">
      <c r="C927" s="36"/>
    </row>
    <row r="928">
      <c r="C928" s="36"/>
    </row>
    <row r="929">
      <c r="C929" s="36"/>
    </row>
    <row r="930">
      <c r="C930" s="36"/>
    </row>
    <row r="931">
      <c r="C931" s="36"/>
    </row>
    <row r="932">
      <c r="C932" s="36"/>
    </row>
    <row r="933">
      <c r="C933" s="36"/>
    </row>
    <row r="934">
      <c r="C934" s="36"/>
    </row>
    <row r="935">
      <c r="C935" s="36"/>
    </row>
    <row r="936">
      <c r="C936" s="36"/>
    </row>
    <row r="937">
      <c r="C937" s="36"/>
    </row>
    <row r="938">
      <c r="C938" s="36"/>
    </row>
    <row r="939">
      <c r="C939" s="36"/>
    </row>
    <row r="940">
      <c r="C940" s="36"/>
    </row>
    <row r="941">
      <c r="C941" s="36"/>
    </row>
    <row r="942">
      <c r="C942" s="36"/>
    </row>
    <row r="943">
      <c r="C943" s="36"/>
    </row>
    <row r="944">
      <c r="C944" s="36"/>
    </row>
    <row r="945">
      <c r="C945" s="36"/>
    </row>
    <row r="946">
      <c r="C946" s="36"/>
    </row>
    <row r="947">
      <c r="C947" s="36"/>
    </row>
    <row r="948">
      <c r="C948" s="36"/>
    </row>
    <row r="949">
      <c r="C949" s="36"/>
    </row>
    <row r="950">
      <c r="C950" s="36"/>
    </row>
    <row r="951">
      <c r="C951" s="36"/>
    </row>
    <row r="952">
      <c r="C952" s="36"/>
    </row>
    <row r="953">
      <c r="C953" s="36"/>
    </row>
    <row r="954">
      <c r="C954" s="36"/>
    </row>
    <row r="955">
      <c r="C955" s="36"/>
    </row>
    <row r="956">
      <c r="C956" s="36"/>
    </row>
    <row r="957">
      <c r="C957" s="36"/>
    </row>
    <row r="958">
      <c r="C958" s="36"/>
    </row>
    <row r="959">
      <c r="C959" s="36"/>
    </row>
    <row r="960">
      <c r="C960" s="36"/>
    </row>
    <row r="961">
      <c r="C961" s="36"/>
    </row>
    <row r="962">
      <c r="C962" s="36"/>
    </row>
    <row r="963">
      <c r="C963" s="36"/>
    </row>
    <row r="964">
      <c r="C964" s="36"/>
    </row>
    <row r="965">
      <c r="C965" s="36"/>
    </row>
    <row r="966">
      <c r="C966" s="36"/>
    </row>
    <row r="967">
      <c r="C967" s="36"/>
    </row>
    <row r="968">
      <c r="C968" s="36"/>
    </row>
    <row r="969">
      <c r="C969" s="36"/>
    </row>
    <row r="970">
      <c r="C970" s="36"/>
    </row>
    <row r="971">
      <c r="C971" s="36"/>
    </row>
    <row r="972">
      <c r="C972" s="36"/>
    </row>
    <row r="973">
      <c r="C973" s="36"/>
    </row>
    <row r="974">
      <c r="C974" s="36"/>
    </row>
    <row r="975">
      <c r="C975" s="36"/>
    </row>
    <row r="976">
      <c r="C976" s="36"/>
    </row>
    <row r="977">
      <c r="C977" s="36"/>
    </row>
    <row r="978">
      <c r="C978" s="36"/>
    </row>
    <row r="979">
      <c r="C979" s="36"/>
    </row>
    <row r="980">
      <c r="C980" s="36"/>
    </row>
    <row r="981">
      <c r="C981" s="36"/>
    </row>
    <row r="982">
      <c r="C982" s="36"/>
    </row>
    <row r="983">
      <c r="C983" s="36"/>
    </row>
    <row r="984">
      <c r="C984" s="36"/>
    </row>
    <row r="985">
      <c r="C985" s="36"/>
    </row>
    <row r="986">
      <c r="C986" s="36"/>
    </row>
    <row r="987">
      <c r="C987" s="36"/>
    </row>
    <row r="988">
      <c r="C988" s="36"/>
    </row>
    <row r="989">
      <c r="C989" s="36"/>
    </row>
    <row r="990">
      <c r="C990" s="36"/>
    </row>
    <row r="991">
      <c r="C991" s="36"/>
    </row>
    <row r="992">
      <c r="C992" s="36"/>
    </row>
  </sheetData>
  <dataValidations>
    <dataValidation type="list" allowBlank="1" showErrorMessage="1" sqref="L2:L41">
      <formula1>"1,2,3,4,5"</formula1>
    </dataValidation>
  </dataValidations>
  <hyperlinks>
    <hyperlink r:id="rId1" ref="M2"/>
    <hyperlink r:id="rId2" ref="M3"/>
    <hyperlink r:id="rId3" ref="M5"/>
    <hyperlink r:id="rId4" ref="M7"/>
    <hyperlink r:id="rId5" ref="M10"/>
    <hyperlink r:id="rId6" ref="D12"/>
    <hyperlink r:id="rId7" location="heading=h.keqlvbg362yc" ref="M16"/>
    <hyperlink r:id="rId8" ref="M20"/>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s>
  <sheetData>
    <row r="1">
      <c r="B1" s="82" t="s">
        <v>1459</v>
      </c>
      <c r="N1" s="82" t="s">
        <v>1460</v>
      </c>
    </row>
    <row r="2">
      <c r="B2" s="83" t="s">
        <v>1461</v>
      </c>
      <c r="C2" s="84">
        <f t="shared" ref="C2:L2" si="1">sum(C4:C999)</f>
        <v>5</v>
      </c>
      <c r="D2" s="84">
        <f t="shared" si="1"/>
        <v>29</v>
      </c>
      <c r="E2" s="84">
        <f t="shared" si="1"/>
        <v>32</v>
      </c>
      <c r="F2" s="84">
        <f t="shared" si="1"/>
        <v>24</v>
      </c>
      <c r="G2" s="84">
        <f t="shared" si="1"/>
        <v>18</v>
      </c>
      <c r="H2" s="84">
        <f t="shared" si="1"/>
        <v>0</v>
      </c>
      <c r="I2" s="84">
        <f t="shared" si="1"/>
        <v>0</v>
      </c>
      <c r="J2" s="84">
        <f t="shared" si="1"/>
        <v>0</v>
      </c>
      <c r="K2" s="84">
        <f t="shared" si="1"/>
        <v>0</v>
      </c>
      <c r="L2" s="84">
        <f t="shared" si="1"/>
        <v>108</v>
      </c>
      <c r="N2" s="83" t="s">
        <v>1461</v>
      </c>
      <c r="O2" s="84">
        <f t="shared" ref="O2:X2" si="2">sum(O4:O999)</f>
        <v>0</v>
      </c>
      <c r="P2" s="84">
        <f t="shared" si="2"/>
        <v>0</v>
      </c>
      <c r="Q2" s="84">
        <f t="shared" si="2"/>
        <v>5</v>
      </c>
      <c r="R2" s="84">
        <f t="shared" si="2"/>
        <v>2</v>
      </c>
      <c r="S2" s="84">
        <f t="shared" si="2"/>
        <v>3</v>
      </c>
      <c r="T2" s="84">
        <f t="shared" si="2"/>
        <v>0</v>
      </c>
      <c r="U2" s="84">
        <f t="shared" si="2"/>
        <v>0</v>
      </c>
      <c r="V2" s="84">
        <f t="shared" si="2"/>
        <v>0</v>
      </c>
      <c r="W2" s="84">
        <f t="shared" si="2"/>
        <v>0</v>
      </c>
      <c r="X2" s="84">
        <f t="shared" si="2"/>
        <v>10</v>
      </c>
      <c r="Y2" s="84"/>
      <c r="Z2" s="84"/>
      <c r="AA2" s="84"/>
      <c r="AB2" s="84"/>
    </row>
    <row r="3">
      <c r="B3" s="85" t="s">
        <v>1462</v>
      </c>
      <c r="C3" s="86">
        <v>46159.0</v>
      </c>
      <c r="D3" s="87">
        <f t="shared" ref="D3:K3" si="3">C3+1</f>
        <v>46160</v>
      </c>
      <c r="E3" s="87">
        <f t="shared" si="3"/>
        <v>46161</v>
      </c>
      <c r="F3" s="87">
        <f t="shared" si="3"/>
        <v>46162</v>
      </c>
      <c r="G3" s="87">
        <f t="shared" si="3"/>
        <v>46163</v>
      </c>
      <c r="H3" s="87">
        <f t="shared" si="3"/>
        <v>46164</v>
      </c>
      <c r="I3" s="87">
        <f t="shared" si="3"/>
        <v>46165</v>
      </c>
      <c r="J3" s="87">
        <f t="shared" si="3"/>
        <v>46166</v>
      </c>
      <c r="K3" s="87">
        <f t="shared" si="3"/>
        <v>46167</v>
      </c>
      <c r="L3" s="88" t="s">
        <v>1461</v>
      </c>
      <c r="N3" s="85" t="s">
        <v>1462</v>
      </c>
      <c r="O3" s="86">
        <v>46159.0</v>
      </c>
      <c r="P3" s="87">
        <f t="shared" ref="P3:W3" si="4">O3+1</f>
        <v>46160</v>
      </c>
      <c r="Q3" s="87">
        <f t="shared" si="4"/>
        <v>46161</v>
      </c>
      <c r="R3" s="87">
        <f t="shared" si="4"/>
        <v>46162</v>
      </c>
      <c r="S3" s="87">
        <f t="shared" si="4"/>
        <v>46163</v>
      </c>
      <c r="T3" s="87">
        <f t="shared" si="4"/>
        <v>46164</v>
      </c>
      <c r="U3" s="87">
        <f t="shared" si="4"/>
        <v>46165</v>
      </c>
      <c r="V3" s="87">
        <f t="shared" si="4"/>
        <v>46166</v>
      </c>
      <c r="W3" s="87">
        <f t="shared" si="4"/>
        <v>46167</v>
      </c>
      <c r="X3" s="88" t="s">
        <v>1461</v>
      </c>
      <c r="Y3" s="89"/>
      <c r="Z3" s="89"/>
      <c r="AA3" s="89"/>
      <c r="AB3" s="89"/>
    </row>
    <row r="4">
      <c r="B4" s="28" t="str">
        <f>IFERROR(__xludf.DUMMYFUNCTION("SORT(UNIQUE(FILTER('Claim Sheet'!C2:C999, 'Claim Sheet'!C2:C999&lt;&gt;"""")))"),"Andrew C")</f>
        <v>Andrew C</v>
      </c>
      <c r="C4" s="24">
        <f>IFERROR(__xludf.DUMMYFUNCTION("COUNTUNIQUEIFS('Claim Sheet'!$A:$A,'Claim Sheet'!$C:$C,$B4,'Claim Sheet'!$M:$M,TRUE,'Claim Sheet'!$K:$K,C$3)"),0.0)</f>
        <v>0</v>
      </c>
      <c r="D4" s="24">
        <f>IFERROR(__xludf.DUMMYFUNCTION("COUNTUNIQUEIFS('Claim Sheet'!$A:$A,'Claim Sheet'!$C:$C,$B4,'Claim Sheet'!$M:$M,TRUE,'Claim Sheet'!$K:$K,D$3)"),0.0)</f>
        <v>0</v>
      </c>
      <c r="E4" s="24">
        <f>IFERROR(__xludf.DUMMYFUNCTION("COUNTUNIQUEIFS('Claim Sheet'!$A:$A,'Claim Sheet'!$C:$C,$B4,'Claim Sheet'!$M:$M,TRUE,'Claim Sheet'!$K:$K,E$3)"),0.0)</f>
        <v>0</v>
      </c>
      <c r="F4" s="24">
        <f>IFERROR(__xludf.DUMMYFUNCTION("COUNTUNIQUEIFS('Claim Sheet'!$A:$A,'Claim Sheet'!$C:$C,$B4,'Claim Sheet'!$M:$M,TRUE,'Claim Sheet'!$K:$K,F$3)"),0.0)</f>
        <v>0</v>
      </c>
      <c r="G4" s="24">
        <f>IFERROR(__xludf.DUMMYFUNCTION("COUNTUNIQUEIFS('Claim Sheet'!$A:$A,'Claim Sheet'!$C:$C,$B4,'Claim Sheet'!$M:$M,TRUE,'Claim Sheet'!$K:$K,G$3)"),0.0)</f>
        <v>0</v>
      </c>
      <c r="H4" s="24">
        <f>IFERROR(__xludf.DUMMYFUNCTION("COUNTUNIQUEIFS('Claim Sheet'!$A:$A,'Claim Sheet'!$C:$C,$B4,'Claim Sheet'!$M:$M,TRUE,'Claim Sheet'!$K:$K,H$3)"),0.0)</f>
        <v>0</v>
      </c>
      <c r="I4" s="24">
        <f>IFERROR(__xludf.DUMMYFUNCTION("COUNTUNIQUEIFS('Claim Sheet'!$A:$A,'Claim Sheet'!$C:$C,$B4,'Claim Sheet'!$M:$M,TRUE,'Claim Sheet'!$K:$K,I$3)"),0.0)</f>
        <v>0</v>
      </c>
      <c r="J4" s="24">
        <f>IFERROR(__xludf.DUMMYFUNCTION("COUNTUNIQUEIFS('Claim Sheet'!$A:$A,'Claim Sheet'!$C:$C,$B4,'Claim Sheet'!$M:$M,TRUE,'Claim Sheet'!$K:$K,J$3)"),0.0)</f>
        <v>0</v>
      </c>
      <c r="K4" s="24">
        <f>IFERROR(__xludf.DUMMYFUNCTION("COUNTUNIQUEIFS('Claim Sheet'!$A:$A,'Claim Sheet'!$C:$C,$B4,'Claim Sheet'!$M:$M,TRUE,'Claim Sheet'!$K:$K,K$3)"),0.0)</f>
        <v>0</v>
      </c>
      <c r="L4" s="24">
        <f t="shared" ref="L4:L22" si="5">sum(C4:J4)</f>
        <v>0</v>
      </c>
      <c r="N4" s="28" t="str">
        <f>IFERROR(__xludf.DUMMYFUNCTION("SORT(UNIQUE(FILTER('New Onboards'!C2:C999, 'New Onboards'!C2:C999&lt;&gt;"""")))"),"Aleksandar L")</f>
        <v>Aleksandar L</v>
      </c>
      <c r="O4" s="24">
        <f>IFERROR(__xludf.DUMMYFUNCTION("COUNTUNIQUEIFS('New Onboards'!$A:$A,'New Onboards'!$C:$C,$N4,'New Onboards'!$J:$J,TRUE,'New Onboards'!$I:$I,O$3)"),0.0)</f>
        <v>0</v>
      </c>
      <c r="P4" s="24">
        <f>IFERROR(__xludf.DUMMYFUNCTION("COUNTUNIQUEIFS('New Onboards'!$A:$A,'New Onboards'!$C:$C,$N4,'New Onboards'!$J:$J,TRUE,'New Onboards'!$I:$I,P$3)"),0.0)</f>
        <v>0</v>
      </c>
      <c r="Q4" s="24">
        <f>IFERROR(__xludf.DUMMYFUNCTION("COUNTUNIQUEIFS('New Onboards'!$A:$A,'New Onboards'!$C:$C,$N4,'New Onboards'!$J:$J,TRUE,'New Onboards'!$I:$I,Q$3)"),0.0)</f>
        <v>0</v>
      </c>
      <c r="R4" s="24">
        <f>IFERROR(__xludf.DUMMYFUNCTION("COUNTUNIQUEIFS('New Onboards'!$A:$A,'New Onboards'!$C:$C,$N4,'New Onboards'!$J:$J,TRUE,'New Onboards'!$I:$I,R$3)"),0.0)</f>
        <v>0</v>
      </c>
      <c r="S4" s="24">
        <f>IFERROR(__xludf.DUMMYFUNCTION("COUNTUNIQUEIFS('New Onboards'!$A:$A,'New Onboards'!$C:$C,$N4,'New Onboards'!$J:$J,TRUE,'New Onboards'!$I:$I,S$3)"),0.0)</f>
        <v>0</v>
      </c>
      <c r="T4" s="24">
        <f>IFERROR(__xludf.DUMMYFUNCTION("COUNTUNIQUEIFS('New Onboards'!$A:$A,'New Onboards'!$C:$C,$N4,'New Onboards'!$J:$J,TRUE,'New Onboards'!$I:$I,T$3)"),0.0)</f>
        <v>0</v>
      </c>
      <c r="U4" s="24">
        <f>IFERROR(__xludf.DUMMYFUNCTION("COUNTUNIQUEIFS('New Onboards'!$A:$A,'New Onboards'!$C:$C,$N4,'New Onboards'!$J:$J,TRUE,'New Onboards'!$I:$I,U$3)"),0.0)</f>
        <v>0</v>
      </c>
      <c r="V4" s="24">
        <f>IFERROR(__xludf.DUMMYFUNCTION("COUNTUNIQUEIFS('New Onboards'!$A:$A,'New Onboards'!$C:$C,$N4,'New Onboards'!$J:$J,TRUE,'New Onboards'!$I:$I,V$3)"),0.0)</f>
        <v>0</v>
      </c>
      <c r="W4" s="24">
        <f>IFERROR(__xludf.DUMMYFUNCTION("COUNTUNIQUEIFS('New Onboards'!$A:$A,'New Onboards'!$C:$C,$N4,'New Onboards'!$J:$J,TRUE,'New Onboards'!$I:$I,W$3)"),0.0)</f>
        <v>0</v>
      </c>
      <c r="X4" s="24">
        <f t="shared" ref="X4:X16" si="6">sum(O4:V4)</f>
        <v>0</v>
      </c>
      <c r="Y4" s="24"/>
      <c r="Z4" s="24"/>
      <c r="AA4" s="24"/>
      <c r="AB4" s="24"/>
    </row>
    <row r="5">
      <c r="B5" s="43" t="str">
        <f>IFERROR(__xludf.DUMMYFUNCTION("""COMPUTED_VALUE"""),"Antonio V")</f>
        <v>Antonio V</v>
      </c>
      <c r="C5" s="24">
        <f>IFERROR(__xludf.DUMMYFUNCTION("COUNTUNIQUEIFS('Claim Sheet'!$A:$A,'Claim Sheet'!$C:$C,$B5,'Claim Sheet'!$M:$M,TRUE,'Claim Sheet'!$K:$K,C$3)"),0.0)</f>
        <v>0</v>
      </c>
      <c r="D5" s="24">
        <f>IFERROR(__xludf.DUMMYFUNCTION("COUNTUNIQUEIFS('Claim Sheet'!$A:$A,'Claim Sheet'!$C:$C,$B5,'Claim Sheet'!$M:$M,TRUE,'Claim Sheet'!$K:$K,D$3)"),3.0)</f>
        <v>3</v>
      </c>
      <c r="E5" s="24">
        <f>IFERROR(__xludf.DUMMYFUNCTION("COUNTUNIQUEIFS('Claim Sheet'!$A:$A,'Claim Sheet'!$C:$C,$B5,'Claim Sheet'!$M:$M,TRUE,'Claim Sheet'!$K:$K,E$3)"),3.0)</f>
        <v>3</v>
      </c>
      <c r="F5" s="24">
        <f>IFERROR(__xludf.DUMMYFUNCTION("COUNTUNIQUEIFS('Claim Sheet'!$A:$A,'Claim Sheet'!$C:$C,$B5,'Claim Sheet'!$M:$M,TRUE,'Claim Sheet'!$K:$K,F$3)"),0.0)</f>
        <v>0</v>
      </c>
      <c r="G5" s="24">
        <f>IFERROR(__xludf.DUMMYFUNCTION("COUNTUNIQUEIFS('Claim Sheet'!$A:$A,'Claim Sheet'!$C:$C,$B5,'Claim Sheet'!$M:$M,TRUE,'Claim Sheet'!$K:$K,G$3)"),0.0)</f>
        <v>0</v>
      </c>
      <c r="H5" s="24">
        <f>IFERROR(__xludf.DUMMYFUNCTION("COUNTUNIQUEIFS('Claim Sheet'!$A:$A,'Claim Sheet'!$C:$C,$B5,'Claim Sheet'!$M:$M,TRUE,'Claim Sheet'!$K:$K,H$3)"),0.0)</f>
        <v>0</v>
      </c>
      <c r="I5" s="24">
        <f>IFERROR(__xludf.DUMMYFUNCTION("COUNTUNIQUEIFS('Claim Sheet'!$A:$A,'Claim Sheet'!$C:$C,$B5,'Claim Sheet'!$M:$M,TRUE,'Claim Sheet'!$K:$K,I$3)"),0.0)</f>
        <v>0</v>
      </c>
      <c r="J5" s="24">
        <f>IFERROR(__xludf.DUMMYFUNCTION("COUNTUNIQUEIFS('Claim Sheet'!$A:$A,'Claim Sheet'!$C:$C,$B5,'Claim Sheet'!$M:$M,TRUE,'Claim Sheet'!$K:$K,J$3)"),0.0)</f>
        <v>0</v>
      </c>
      <c r="K5" s="24">
        <f>IFERROR(__xludf.DUMMYFUNCTION("COUNTUNIQUEIFS('Claim Sheet'!$A:$A,'Claim Sheet'!$C:$C,$B5,'Claim Sheet'!$M:$M,TRUE,'Claim Sheet'!$K:$K,K$3)"),0.0)</f>
        <v>0</v>
      </c>
      <c r="L5" s="24">
        <f t="shared" si="5"/>
        <v>6</v>
      </c>
      <c r="N5" s="43" t="str">
        <f>IFERROR(__xludf.DUMMYFUNCTION("""COMPUTED_VALUE"""),"Callan F")</f>
        <v>Callan F</v>
      </c>
      <c r="O5" s="24">
        <f>IFERROR(__xludf.DUMMYFUNCTION("COUNTUNIQUEIFS('New Onboards'!$A:$A,'New Onboards'!$C:$C,$N5,'New Onboards'!$J:$J,TRUE,'New Onboards'!$I:$I,O$3)"),0.0)</f>
        <v>0</v>
      </c>
      <c r="P5" s="24">
        <f>IFERROR(__xludf.DUMMYFUNCTION("COUNTUNIQUEIFS('New Onboards'!$A:$A,'New Onboards'!$C:$C,$N5,'New Onboards'!$J:$J,TRUE,'New Onboards'!$I:$I,P$3)"),0.0)</f>
        <v>0</v>
      </c>
      <c r="Q5" s="24">
        <f>IFERROR(__xludf.DUMMYFUNCTION("COUNTUNIQUEIFS('New Onboards'!$A:$A,'New Onboards'!$C:$C,$N5,'New Onboards'!$J:$J,TRUE,'New Onboards'!$I:$I,Q$3)"),1.0)</f>
        <v>1</v>
      </c>
      <c r="R5" s="24">
        <f>IFERROR(__xludf.DUMMYFUNCTION("COUNTUNIQUEIFS('New Onboards'!$A:$A,'New Onboards'!$C:$C,$N5,'New Onboards'!$J:$J,TRUE,'New Onboards'!$I:$I,R$3)"),0.0)</f>
        <v>0</v>
      </c>
      <c r="S5" s="24">
        <f>IFERROR(__xludf.DUMMYFUNCTION("COUNTUNIQUEIFS('New Onboards'!$A:$A,'New Onboards'!$C:$C,$N5,'New Onboards'!$J:$J,TRUE,'New Onboards'!$I:$I,S$3)"),0.0)</f>
        <v>0</v>
      </c>
      <c r="T5" s="24">
        <f>IFERROR(__xludf.DUMMYFUNCTION("COUNTUNIQUEIFS('New Onboards'!$A:$A,'New Onboards'!$C:$C,$N5,'New Onboards'!$J:$J,TRUE,'New Onboards'!$I:$I,T$3)"),0.0)</f>
        <v>0</v>
      </c>
      <c r="U5" s="24">
        <f>IFERROR(__xludf.DUMMYFUNCTION("COUNTUNIQUEIFS('New Onboards'!$A:$A,'New Onboards'!$C:$C,$N5,'New Onboards'!$J:$J,TRUE,'New Onboards'!$I:$I,U$3)"),0.0)</f>
        <v>0</v>
      </c>
      <c r="V5" s="24">
        <f>IFERROR(__xludf.DUMMYFUNCTION("COUNTUNIQUEIFS('New Onboards'!$A:$A,'New Onboards'!$C:$C,$N5,'New Onboards'!$J:$J,TRUE,'New Onboards'!$I:$I,V$3)"),0.0)</f>
        <v>0</v>
      </c>
      <c r="W5" s="24">
        <f>IFERROR(__xludf.DUMMYFUNCTION("COUNTUNIQUEIFS('New Onboards'!$A:$A,'New Onboards'!$C:$C,$N5,'New Onboards'!$J:$J,TRUE,'New Onboards'!$I:$I,W$3)"),0.0)</f>
        <v>0</v>
      </c>
      <c r="X5" s="24">
        <f t="shared" si="6"/>
        <v>1</v>
      </c>
      <c r="Y5" s="24"/>
      <c r="Z5" s="24"/>
      <c r="AA5" s="24"/>
      <c r="AB5" s="24"/>
    </row>
    <row r="6">
      <c r="B6" s="43" t="str">
        <f>IFERROR(__xludf.DUMMYFUNCTION("""COMPUTED_VALUE"""),"Ariya S")</f>
        <v>Ariya S</v>
      </c>
      <c r="C6" s="24">
        <f>IFERROR(__xludf.DUMMYFUNCTION("COUNTUNIQUEIFS('Claim Sheet'!$A:$A,'Claim Sheet'!$C:$C,$B6,'Claim Sheet'!$M:$M,TRUE,'Claim Sheet'!$K:$K,C$3)"),0.0)</f>
        <v>0</v>
      </c>
      <c r="D6" s="24">
        <f>IFERROR(__xludf.DUMMYFUNCTION("COUNTUNIQUEIFS('Claim Sheet'!$A:$A,'Claim Sheet'!$C:$C,$B6,'Claim Sheet'!$M:$M,TRUE,'Claim Sheet'!$K:$K,D$3)"),7.0)</f>
        <v>7</v>
      </c>
      <c r="E6" s="24">
        <f>IFERROR(__xludf.DUMMYFUNCTION("COUNTUNIQUEIFS('Claim Sheet'!$A:$A,'Claim Sheet'!$C:$C,$B6,'Claim Sheet'!$M:$M,TRUE,'Claim Sheet'!$K:$K,E$3)"),1.0)</f>
        <v>1</v>
      </c>
      <c r="F6" s="24">
        <f>IFERROR(__xludf.DUMMYFUNCTION("COUNTUNIQUEIFS('Claim Sheet'!$A:$A,'Claim Sheet'!$C:$C,$B6,'Claim Sheet'!$M:$M,TRUE,'Claim Sheet'!$K:$K,F$3)"),0.0)</f>
        <v>0</v>
      </c>
      <c r="G6" s="24">
        <f>IFERROR(__xludf.DUMMYFUNCTION("COUNTUNIQUEIFS('Claim Sheet'!$A:$A,'Claim Sheet'!$C:$C,$B6,'Claim Sheet'!$M:$M,TRUE,'Claim Sheet'!$K:$K,G$3)"),0.0)</f>
        <v>0</v>
      </c>
      <c r="H6" s="24">
        <f>IFERROR(__xludf.DUMMYFUNCTION("COUNTUNIQUEIFS('Claim Sheet'!$A:$A,'Claim Sheet'!$C:$C,$B6,'Claim Sheet'!$M:$M,TRUE,'Claim Sheet'!$K:$K,H$3)"),0.0)</f>
        <v>0</v>
      </c>
      <c r="I6" s="24">
        <f>IFERROR(__xludf.DUMMYFUNCTION("COUNTUNIQUEIFS('Claim Sheet'!$A:$A,'Claim Sheet'!$C:$C,$B6,'Claim Sheet'!$M:$M,TRUE,'Claim Sheet'!$K:$K,I$3)"),0.0)</f>
        <v>0</v>
      </c>
      <c r="J6" s="24">
        <f>IFERROR(__xludf.DUMMYFUNCTION("COUNTUNIQUEIFS('Claim Sheet'!$A:$A,'Claim Sheet'!$C:$C,$B6,'Claim Sheet'!$M:$M,TRUE,'Claim Sheet'!$K:$K,J$3)"),0.0)</f>
        <v>0</v>
      </c>
      <c r="K6" s="24">
        <f>IFERROR(__xludf.DUMMYFUNCTION("COUNTUNIQUEIFS('Claim Sheet'!$A:$A,'Claim Sheet'!$C:$C,$B6,'Claim Sheet'!$M:$M,TRUE,'Claim Sheet'!$K:$K,K$3)"),0.0)</f>
        <v>0</v>
      </c>
      <c r="L6" s="24">
        <f t="shared" si="5"/>
        <v>8</v>
      </c>
      <c r="N6" s="43" t="str">
        <f>IFERROR(__xludf.DUMMYFUNCTION("""COMPUTED_VALUE"""),"Gabriel T")</f>
        <v>Gabriel T</v>
      </c>
      <c r="O6" s="24">
        <f>IFERROR(__xludf.DUMMYFUNCTION("COUNTUNIQUEIFS('New Onboards'!$A:$A,'New Onboards'!$C:$C,$N6,'New Onboards'!$J:$J,TRUE,'New Onboards'!$I:$I,O$3)"),0.0)</f>
        <v>0</v>
      </c>
      <c r="P6" s="24">
        <f>IFERROR(__xludf.DUMMYFUNCTION("COUNTUNIQUEIFS('New Onboards'!$A:$A,'New Onboards'!$C:$C,$N6,'New Onboards'!$J:$J,TRUE,'New Onboards'!$I:$I,P$3)"),0.0)</f>
        <v>0</v>
      </c>
      <c r="Q6" s="24">
        <f>IFERROR(__xludf.DUMMYFUNCTION("COUNTUNIQUEIFS('New Onboards'!$A:$A,'New Onboards'!$C:$C,$N6,'New Onboards'!$J:$J,TRUE,'New Onboards'!$I:$I,Q$3)"),0.0)</f>
        <v>0</v>
      </c>
      <c r="R6" s="24">
        <f>IFERROR(__xludf.DUMMYFUNCTION("COUNTUNIQUEIFS('New Onboards'!$A:$A,'New Onboards'!$C:$C,$N6,'New Onboards'!$J:$J,TRUE,'New Onboards'!$I:$I,R$3)"),1.0)</f>
        <v>1</v>
      </c>
      <c r="S6" s="24">
        <f>IFERROR(__xludf.DUMMYFUNCTION("COUNTUNIQUEIFS('New Onboards'!$A:$A,'New Onboards'!$C:$C,$N6,'New Onboards'!$J:$J,TRUE,'New Onboards'!$I:$I,S$3)"),0.0)</f>
        <v>0</v>
      </c>
      <c r="T6" s="24">
        <f>IFERROR(__xludf.DUMMYFUNCTION("COUNTUNIQUEIFS('New Onboards'!$A:$A,'New Onboards'!$C:$C,$N6,'New Onboards'!$J:$J,TRUE,'New Onboards'!$I:$I,T$3)"),0.0)</f>
        <v>0</v>
      </c>
      <c r="U6" s="24">
        <f>IFERROR(__xludf.DUMMYFUNCTION("COUNTUNIQUEIFS('New Onboards'!$A:$A,'New Onboards'!$C:$C,$N6,'New Onboards'!$J:$J,TRUE,'New Onboards'!$I:$I,U$3)"),0.0)</f>
        <v>0</v>
      </c>
      <c r="V6" s="24">
        <f>IFERROR(__xludf.DUMMYFUNCTION("COUNTUNIQUEIFS('New Onboards'!$A:$A,'New Onboards'!$C:$C,$N6,'New Onboards'!$J:$J,TRUE,'New Onboards'!$I:$I,V$3)"),0.0)</f>
        <v>0</v>
      </c>
      <c r="W6" s="24">
        <f>IFERROR(__xludf.DUMMYFUNCTION("COUNTUNIQUEIFS('New Onboards'!$A:$A,'New Onboards'!$C:$C,$N6,'New Onboards'!$J:$J,TRUE,'New Onboards'!$I:$I,W$3)"),0.0)</f>
        <v>0</v>
      </c>
      <c r="X6" s="24">
        <f t="shared" si="6"/>
        <v>1</v>
      </c>
      <c r="Y6" s="24"/>
      <c r="Z6" s="24"/>
      <c r="AA6" s="24"/>
      <c r="AB6" s="24"/>
    </row>
    <row r="7">
      <c r="B7" s="43" t="str">
        <f>IFERROR(__xludf.DUMMYFUNCTION("""COMPUTED_VALUE"""),"Ava Z")</f>
        <v>Ava Z</v>
      </c>
      <c r="C7" s="24">
        <f>IFERROR(__xludf.DUMMYFUNCTION("COUNTUNIQUEIFS('Claim Sheet'!$A:$A,'Claim Sheet'!$C:$C,$B7,'Claim Sheet'!$M:$M,TRUE,'Claim Sheet'!$K:$K,C$3)"),0.0)</f>
        <v>0</v>
      </c>
      <c r="D7" s="24">
        <f>IFERROR(__xludf.DUMMYFUNCTION("COUNTUNIQUEIFS('Claim Sheet'!$A:$A,'Claim Sheet'!$C:$C,$B7,'Claim Sheet'!$M:$M,TRUE,'Claim Sheet'!$K:$K,D$3)"),0.0)</f>
        <v>0</v>
      </c>
      <c r="E7" s="24">
        <f>IFERROR(__xludf.DUMMYFUNCTION("COUNTUNIQUEIFS('Claim Sheet'!$A:$A,'Claim Sheet'!$C:$C,$B7,'Claim Sheet'!$M:$M,TRUE,'Claim Sheet'!$K:$K,E$3)"),1.0)</f>
        <v>1</v>
      </c>
      <c r="F7" s="24">
        <f>IFERROR(__xludf.DUMMYFUNCTION("COUNTUNIQUEIFS('Claim Sheet'!$A:$A,'Claim Sheet'!$C:$C,$B7,'Claim Sheet'!$M:$M,TRUE,'Claim Sheet'!$K:$K,F$3)"),0.0)</f>
        <v>0</v>
      </c>
      <c r="G7" s="24">
        <f>IFERROR(__xludf.DUMMYFUNCTION("COUNTUNIQUEIFS('Claim Sheet'!$A:$A,'Claim Sheet'!$C:$C,$B7,'Claim Sheet'!$M:$M,TRUE,'Claim Sheet'!$K:$K,G$3)"),0.0)</f>
        <v>0</v>
      </c>
      <c r="H7" s="24">
        <f>IFERROR(__xludf.DUMMYFUNCTION("COUNTUNIQUEIFS('Claim Sheet'!$A:$A,'Claim Sheet'!$C:$C,$B7,'Claim Sheet'!$M:$M,TRUE,'Claim Sheet'!$K:$K,H$3)"),0.0)</f>
        <v>0</v>
      </c>
      <c r="I7" s="24">
        <f>IFERROR(__xludf.DUMMYFUNCTION("COUNTUNIQUEIFS('Claim Sheet'!$A:$A,'Claim Sheet'!$C:$C,$B7,'Claim Sheet'!$M:$M,TRUE,'Claim Sheet'!$K:$K,I$3)"),0.0)</f>
        <v>0</v>
      </c>
      <c r="J7" s="24">
        <f>IFERROR(__xludf.DUMMYFUNCTION("COUNTUNIQUEIFS('Claim Sheet'!$A:$A,'Claim Sheet'!$C:$C,$B7,'Claim Sheet'!$M:$M,TRUE,'Claim Sheet'!$K:$K,J$3)"),0.0)</f>
        <v>0</v>
      </c>
      <c r="K7" s="24">
        <f>IFERROR(__xludf.DUMMYFUNCTION("COUNTUNIQUEIFS('Claim Sheet'!$A:$A,'Claim Sheet'!$C:$C,$B7,'Claim Sheet'!$M:$M,TRUE,'Claim Sheet'!$K:$K,K$3)"),0.0)</f>
        <v>0</v>
      </c>
      <c r="L7" s="24">
        <f t="shared" si="5"/>
        <v>1</v>
      </c>
      <c r="N7" s="43" t="str">
        <f>IFERROR(__xludf.DUMMYFUNCTION("""COMPUTED_VALUE"""),"Hinda D")</f>
        <v>Hinda D</v>
      </c>
      <c r="O7" s="24">
        <f>IFERROR(__xludf.DUMMYFUNCTION("COUNTUNIQUEIFS('New Onboards'!$A:$A,'New Onboards'!$C:$C,$N7,'New Onboards'!$J:$J,TRUE,'New Onboards'!$I:$I,O$3)"),0.0)</f>
        <v>0</v>
      </c>
      <c r="P7" s="24">
        <f>IFERROR(__xludf.DUMMYFUNCTION("COUNTUNIQUEIFS('New Onboards'!$A:$A,'New Onboards'!$C:$C,$N7,'New Onboards'!$J:$J,TRUE,'New Onboards'!$I:$I,P$3)"),0.0)</f>
        <v>0</v>
      </c>
      <c r="Q7" s="24">
        <f>IFERROR(__xludf.DUMMYFUNCTION("COUNTUNIQUEIFS('New Onboards'!$A:$A,'New Onboards'!$C:$C,$N7,'New Onboards'!$J:$J,TRUE,'New Onboards'!$I:$I,Q$3)"),1.0)</f>
        <v>1</v>
      </c>
      <c r="R7" s="24">
        <f>IFERROR(__xludf.DUMMYFUNCTION("COUNTUNIQUEIFS('New Onboards'!$A:$A,'New Onboards'!$C:$C,$N7,'New Onboards'!$J:$J,TRUE,'New Onboards'!$I:$I,R$3)"),0.0)</f>
        <v>0</v>
      </c>
      <c r="S7" s="24">
        <f>IFERROR(__xludf.DUMMYFUNCTION("COUNTUNIQUEIFS('New Onboards'!$A:$A,'New Onboards'!$C:$C,$N7,'New Onboards'!$J:$J,TRUE,'New Onboards'!$I:$I,S$3)"),0.0)</f>
        <v>0</v>
      </c>
      <c r="T7" s="24">
        <f>IFERROR(__xludf.DUMMYFUNCTION("COUNTUNIQUEIFS('New Onboards'!$A:$A,'New Onboards'!$C:$C,$N7,'New Onboards'!$J:$J,TRUE,'New Onboards'!$I:$I,T$3)"),0.0)</f>
        <v>0</v>
      </c>
      <c r="U7" s="24">
        <f>IFERROR(__xludf.DUMMYFUNCTION("COUNTUNIQUEIFS('New Onboards'!$A:$A,'New Onboards'!$C:$C,$N7,'New Onboards'!$J:$J,TRUE,'New Onboards'!$I:$I,U$3)"),0.0)</f>
        <v>0</v>
      </c>
      <c r="V7" s="24">
        <f>IFERROR(__xludf.DUMMYFUNCTION("COUNTUNIQUEIFS('New Onboards'!$A:$A,'New Onboards'!$C:$C,$N7,'New Onboards'!$J:$J,TRUE,'New Onboards'!$I:$I,V$3)"),0.0)</f>
        <v>0</v>
      </c>
      <c r="W7" s="24">
        <f>IFERROR(__xludf.DUMMYFUNCTION("COUNTUNIQUEIFS('New Onboards'!$A:$A,'New Onboards'!$C:$C,$N7,'New Onboards'!$J:$J,TRUE,'New Onboards'!$I:$I,W$3)"),0.0)</f>
        <v>0</v>
      </c>
      <c r="X7" s="24">
        <f t="shared" si="6"/>
        <v>1</v>
      </c>
      <c r="Y7" s="24"/>
      <c r="Z7" s="24"/>
      <c r="AA7" s="24"/>
      <c r="AB7" s="24"/>
    </row>
    <row r="8">
      <c r="B8" s="43" t="str">
        <f>IFERROR(__xludf.DUMMYFUNCTION("""COMPUTED_VALUE"""),"Caitlin R")</f>
        <v>Caitlin R</v>
      </c>
      <c r="C8" s="24">
        <f>IFERROR(__xludf.DUMMYFUNCTION("COUNTUNIQUEIFS('Claim Sheet'!$A:$A,'Claim Sheet'!$C:$C,$B8,'Claim Sheet'!$M:$M,TRUE,'Claim Sheet'!$K:$K,C$3)"),0.0)</f>
        <v>0</v>
      </c>
      <c r="D8" s="24">
        <f>IFERROR(__xludf.DUMMYFUNCTION("COUNTUNIQUEIFS('Claim Sheet'!$A:$A,'Claim Sheet'!$C:$C,$B8,'Claim Sheet'!$M:$M,TRUE,'Claim Sheet'!$K:$K,D$3)"),0.0)</f>
        <v>0</v>
      </c>
      <c r="E8" s="24">
        <f>IFERROR(__xludf.DUMMYFUNCTION("COUNTUNIQUEIFS('Claim Sheet'!$A:$A,'Claim Sheet'!$C:$C,$B8,'Claim Sheet'!$M:$M,TRUE,'Claim Sheet'!$K:$K,E$3)"),1.0)</f>
        <v>1</v>
      </c>
      <c r="F8" s="24">
        <f>IFERROR(__xludf.DUMMYFUNCTION("COUNTUNIQUEIFS('Claim Sheet'!$A:$A,'Claim Sheet'!$C:$C,$B8,'Claim Sheet'!$M:$M,TRUE,'Claim Sheet'!$K:$K,F$3)"),0.0)</f>
        <v>0</v>
      </c>
      <c r="G8" s="24">
        <f>IFERROR(__xludf.DUMMYFUNCTION("COUNTUNIQUEIFS('Claim Sheet'!$A:$A,'Claim Sheet'!$C:$C,$B8,'Claim Sheet'!$M:$M,TRUE,'Claim Sheet'!$K:$K,G$3)"),0.0)</f>
        <v>0</v>
      </c>
      <c r="H8" s="24">
        <f>IFERROR(__xludf.DUMMYFUNCTION("COUNTUNIQUEIFS('Claim Sheet'!$A:$A,'Claim Sheet'!$C:$C,$B8,'Claim Sheet'!$M:$M,TRUE,'Claim Sheet'!$K:$K,H$3)"),0.0)</f>
        <v>0</v>
      </c>
      <c r="I8" s="24">
        <f>IFERROR(__xludf.DUMMYFUNCTION("COUNTUNIQUEIFS('Claim Sheet'!$A:$A,'Claim Sheet'!$C:$C,$B8,'Claim Sheet'!$M:$M,TRUE,'Claim Sheet'!$K:$K,I$3)"),0.0)</f>
        <v>0</v>
      </c>
      <c r="J8" s="24">
        <f>IFERROR(__xludf.DUMMYFUNCTION("COUNTUNIQUEIFS('Claim Sheet'!$A:$A,'Claim Sheet'!$C:$C,$B8,'Claim Sheet'!$M:$M,TRUE,'Claim Sheet'!$K:$K,J$3)"),0.0)</f>
        <v>0</v>
      </c>
      <c r="K8" s="24">
        <f>IFERROR(__xludf.DUMMYFUNCTION("COUNTUNIQUEIFS('Claim Sheet'!$A:$A,'Claim Sheet'!$C:$C,$B8,'Claim Sheet'!$M:$M,TRUE,'Claim Sheet'!$K:$K,K$3)"),0.0)</f>
        <v>0</v>
      </c>
      <c r="L8" s="24">
        <f t="shared" si="5"/>
        <v>1</v>
      </c>
      <c r="N8" s="43" t="str">
        <f>IFERROR(__xludf.DUMMYFUNCTION("""COMPUTED_VALUE"""),"Jacob C")</f>
        <v>Jacob C</v>
      </c>
      <c r="O8" s="24">
        <f>IFERROR(__xludf.DUMMYFUNCTION("COUNTUNIQUEIFS('New Onboards'!$A:$A,'New Onboards'!$C:$C,$N8,'New Onboards'!$J:$J,TRUE,'New Onboards'!$I:$I,O$3)"),0.0)</f>
        <v>0</v>
      </c>
      <c r="P8" s="24">
        <f>IFERROR(__xludf.DUMMYFUNCTION("COUNTUNIQUEIFS('New Onboards'!$A:$A,'New Onboards'!$C:$C,$N8,'New Onboards'!$J:$J,TRUE,'New Onboards'!$I:$I,P$3)"),0.0)</f>
        <v>0</v>
      </c>
      <c r="Q8" s="24">
        <f>IFERROR(__xludf.DUMMYFUNCTION("COUNTUNIQUEIFS('New Onboards'!$A:$A,'New Onboards'!$C:$C,$N8,'New Onboards'!$J:$J,TRUE,'New Onboards'!$I:$I,Q$3)"),1.0)</f>
        <v>1</v>
      </c>
      <c r="R8" s="24">
        <f>IFERROR(__xludf.DUMMYFUNCTION("COUNTUNIQUEIFS('New Onboards'!$A:$A,'New Onboards'!$C:$C,$N8,'New Onboards'!$J:$J,TRUE,'New Onboards'!$I:$I,R$3)"),0.0)</f>
        <v>0</v>
      </c>
      <c r="S8" s="24">
        <f>IFERROR(__xludf.DUMMYFUNCTION("COUNTUNIQUEIFS('New Onboards'!$A:$A,'New Onboards'!$C:$C,$N8,'New Onboards'!$J:$J,TRUE,'New Onboards'!$I:$I,S$3)"),0.0)</f>
        <v>0</v>
      </c>
      <c r="T8" s="24">
        <f>IFERROR(__xludf.DUMMYFUNCTION("COUNTUNIQUEIFS('New Onboards'!$A:$A,'New Onboards'!$C:$C,$N8,'New Onboards'!$J:$J,TRUE,'New Onboards'!$I:$I,T$3)"),0.0)</f>
        <v>0</v>
      </c>
      <c r="U8" s="24">
        <f>IFERROR(__xludf.DUMMYFUNCTION("COUNTUNIQUEIFS('New Onboards'!$A:$A,'New Onboards'!$C:$C,$N8,'New Onboards'!$J:$J,TRUE,'New Onboards'!$I:$I,U$3)"),0.0)</f>
        <v>0</v>
      </c>
      <c r="V8" s="24">
        <f>IFERROR(__xludf.DUMMYFUNCTION("COUNTUNIQUEIFS('New Onboards'!$A:$A,'New Onboards'!$C:$C,$N8,'New Onboards'!$J:$J,TRUE,'New Onboards'!$I:$I,V$3)"),0.0)</f>
        <v>0</v>
      </c>
      <c r="W8" s="24">
        <f>IFERROR(__xludf.DUMMYFUNCTION("COUNTUNIQUEIFS('New Onboards'!$A:$A,'New Onboards'!$C:$C,$N8,'New Onboards'!$J:$J,TRUE,'New Onboards'!$I:$I,W$3)"),0.0)</f>
        <v>0</v>
      </c>
      <c r="X8" s="24">
        <f t="shared" si="6"/>
        <v>1</v>
      </c>
      <c r="Y8" s="24"/>
      <c r="Z8" s="24"/>
      <c r="AA8" s="24"/>
      <c r="AB8" s="24"/>
    </row>
    <row r="9">
      <c r="B9" s="43" t="str">
        <f>IFERROR(__xludf.DUMMYFUNCTION("""COMPUTED_VALUE"""),"Diego P")</f>
        <v>Diego P</v>
      </c>
      <c r="C9" s="24">
        <f>IFERROR(__xludf.DUMMYFUNCTION("COUNTUNIQUEIFS('Claim Sheet'!$A:$A,'Claim Sheet'!$C:$C,$B9,'Claim Sheet'!$M:$M,TRUE,'Claim Sheet'!$K:$K,C$3)"),1.0)</f>
        <v>1</v>
      </c>
      <c r="D9" s="24">
        <f>IFERROR(__xludf.DUMMYFUNCTION("COUNTUNIQUEIFS('Claim Sheet'!$A:$A,'Claim Sheet'!$C:$C,$B9,'Claim Sheet'!$M:$M,TRUE,'Claim Sheet'!$K:$K,D$3)"),1.0)</f>
        <v>1</v>
      </c>
      <c r="E9" s="24">
        <f>IFERROR(__xludf.DUMMYFUNCTION("COUNTUNIQUEIFS('Claim Sheet'!$A:$A,'Claim Sheet'!$C:$C,$B9,'Claim Sheet'!$M:$M,TRUE,'Claim Sheet'!$K:$K,E$3)"),4.0)</f>
        <v>4</v>
      </c>
      <c r="F9" s="24">
        <f>IFERROR(__xludf.DUMMYFUNCTION("COUNTUNIQUEIFS('Claim Sheet'!$A:$A,'Claim Sheet'!$C:$C,$B9,'Claim Sheet'!$M:$M,TRUE,'Claim Sheet'!$K:$K,F$3)"),1.0)</f>
        <v>1</v>
      </c>
      <c r="G9" s="24">
        <f>IFERROR(__xludf.DUMMYFUNCTION("COUNTUNIQUEIFS('Claim Sheet'!$A:$A,'Claim Sheet'!$C:$C,$B9,'Claim Sheet'!$M:$M,TRUE,'Claim Sheet'!$K:$K,G$3)"),0.0)</f>
        <v>0</v>
      </c>
      <c r="H9" s="24">
        <f>IFERROR(__xludf.DUMMYFUNCTION("COUNTUNIQUEIFS('Claim Sheet'!$A:$A,'Claim Sheet'!$C:$C,$B9,'Claim Sheet'!$M:$M,TRUE,'Claim Sheet'!$K:$K,H$3)"),0.0)</f>
        <v>0</v>
      </c>
      <c r="I9" s="24">
        <f>IFERROR(__xludf.DUMMYFUNCTION("COUNTUNIQUEIFS('Claim Sheet'!$A:$A,'Claim Sheet'!$C:$C,$B9,'Claim Sheet'!$M:$M,TRUE,'Claim Sheet'!$K:$K,I$3)"),0.0)</f>
        <v>0</v>
      </c>
      <c r="J9" s="24">
        <f>IFERROR(__xludf.DUMMYFUNCTION("COUNTUNIQUEIFS('Claim Sheet'!$A:$A,'Claim Sheet'!$C:$C,$B9,'Claim Sheet'!$M:$M,TRUE,'Claim Sheet'!$K:$K,J$3)"),0.0)</f>
        <v>0</v>
      </c>
      <c r="K9" s="24">
        <f>IFERROR(__xludf.DUMMYFUNCTION("COUNTUNIQUEIFS('Claim Sheet'!$A:$A,'Claim Sheet'!$C:$C,$B9,'Claim Sheet'!$M:$M,TRUE,'Claim Sheet'!$K:$K,K$3)"),0.0)</f>
        <v>0</v>
      </c>
      <c r="L9" s="24">
        <f t="shared" si="5"/>
        <v>7</v>
      </c>
      <c r="N9" s="43" t="str">
        <f>IFERROR(__xludf.DUMMYFUNCTION("""COMPUTED_VALUE"""),"Johanne B")</f>
        <v>Johanne B</v>
      </c>
      <c r="O9" s="24">
        <f>IFERROR(__xludf.DUMMYFUNCTION("COUNTUNIQUEIFS('New Onboards'!$A:$A,'New Onboards'!$C:$C,$N9,'New Onboards'!$J:$J,TRUE,'New Onboards'!$I:$I,O$3)"),0.0)</f>
        <v>0</v>
      </c>
      <c r="P9" s="24">
        <f>IFERROR(__xludf.DUMMYFUNCTION("COUNTUNIQUEIFS('New Onboards'!$A:$A,'New Onboards'!$C:$C,$N9,'New Onboards'!$J:$J,TRUE,'New Onboards'!$I:$I,P$3)"),0.0)</f>
        <v>0</v>
      </c>
      <c r="Q9" s="24">
        <f>IFERROR(__xludf.DUMMYFUNCTION("COUNTUNIQUEIFS('New Onboards'!$A:$A,'New Onboards'!$C:$C,$N9,'New Onboards'!$J:$J,TRUE,'New Onboards'!$I:$I,Q$3)"),0.0)</f>
        <v>0</v>
      </c>
      <c r="R9" s="24">
        <f>IFERROR(__xludf.DUMMYFUNCTION("COUNTUNIQUEIFS('New Onboards'!$A:$A,'New Onboards'!$C:$C,$N9,'New Onboards'!$J:$J,TRUE,'New Onboards'!$I:$I,R$3)"),0.0)</f>
        <v>0</v>
      </c>
      <c r="S9" s="24">
        <f>IFERROR(__xludf.DUMMYFUNCTION("COUNTUNIQUEIFS('New Onboards'!$A:$A,'New Onboards'!$C:$C,$N9,'New Onboards'!$J:$J,TRUE,'New Onboards'!$I:$I,S$3)"),1.0)</f>
        <v>1</v>
      </c>
      <c r="T9" s="24">
        <f>IFERROR(__xludf.DUMMYFUNCTION("COUNTUNIQUEIFS('New Onboards'!$A:$A,'New Onboards'!$C:$C,$N9,'New Onboards'!$J:$J,TRUE,'New Onboards'!$I:$I,T$3)"),0.0)</f>
        <v>0</v>
      </c>
      <c r="U9" s="24">
        <f>IFERROR(__xludf.DUMMYFUNCTION("COUNTUNIQUEIFS('New Onboards'!$A:$A,'New Onboards'!$C:$C,$N9,'New Onboards'!$J:$J,TRUE,'New Onboards'!$I:$I,U$3)"),0.0)</f>
        <v>0</v>
      </c>
      <c r="V9" s="24">
        <f>IFERROR(__xludf.DUMMYFUNCTION("COUNTUNIQUEIFS('New Onboards'!$A:$A,'New Onboards'!$C:$C,$N9,'New Onboards'!$J:$J,TRUE,'New Onboards'!$I:$I,V$3)"),0.0)</f>
        <v>0</v>
      </c>
      <c r="W9" s="24">
        <f>IFERROR(__xludf.DUMMYFUNCTION("COUNTUNIQUEIFS('New Onboards'!$A:$A,'New Onboards'!$C:$C,$N9,'New Onboards'!$J:$J,TRUE,'New Onboards'!$I:$I,W$3)"),0.0)</f>
        <v>0</v>
      </c>
      <c r="X9" s="24">
        <f t="shared" si="6"/>
        <v>1</v>
      </c>
      <c r="Y9" s="24"/>
      <c r="Z9" s="24"/>
      <c r="AA9" s="24"/>
      <c r="AB9" s="24"/>
    </row>
    <row r="10">
      <c r="B10" s="43" t="str">
        <f>IFERROR(__xludf.DUMMYFUNCTION("""COMPUTED_VALUE"""),"Diogo P")</f>
        <v>Diogo P</v>
      </c>
      <c r="C10" s="24">
        <f>IFERROR(__xludf.DUMMYFUNCTION("COUNTUNIQUEIFS('Claim Sheet'!$A:$A,'Claim Sheet'!$C:$C,$B10,'Claim Sheet'!$M:$M,TRUE,'Claim Sheet'!$K:$K,C$3)"),1.0)</f>
        <v>1</v>
      </c>
      <c r="D10" s="24">
        <f>IFERROR(__xludf.DUMMYFUNCTION("COUNTUNIQUEIFS('Claim Sheet'!$A:$A,'Claim Sheet'!$C:$C,$B10,'Claim Sheet'!$M:$M,TRUE,'Claim Sheet'!$K:$K,D$3)"),2.0)</f>
        <v>2</v>
      </c>
      <c r="E10" s="24">
        <f>IFERROR(__xludf.DUMMYFUNCTION("COUNTUNIQUEIFS('Claim Sheet'!$A:$A,'Claim Sheet'!$C:$C,$B10,'Claim Sheet'!$M:$M,TRUE,'Claim Sheet'!$K:$K,E$3)"),2.0)</f>
        <v>2</v>
      </c>
      <c r="F10" s="24">
        <f>IFERROR(__xludf.DUMMYFUNCTION("COUNTUNIQUEIFS('Claim Sheet'!$A:$A,'Claim Sheet'!$C:$C,$B10,'Claim Sheet'!$M:$M,TRUE,'Claim Sheet'!$K:$K,F$3)"),4.0)</f>
        <v>4</v>
      </c>
      <c r="G10" s="24">
        <f>IFERROR(__xludf.DUMMYFUNCTION("COUNTUNIQUEIFS('Claim Sheet'!$A:$A,'Claim Sheet'!$C:$C,$B10,'Claim Sheet'!$M:$M,TRUE,'Claim Sheet'!$K:$K,G$3)"),3.0)</f>
        <v>3</v>
      </c>
      <c r="H10" s="24">
        <f>IFERROR(__xludf.DUMMYFUNCTION("COUNTUNIQUEIFS('Claim Sheet'!$A:$A,'Claim Sheet'!$C:$C,$B10,'Claim Sheet'!$M:$M,TRUE,'Claim Sheet'!$K:$K,H$3)"),0.0)</f>
        <v>0</v>
      </c>
      <c r="I10" s="24">
        <f>IFERROR(__xludf.DUMMYFUNCTION("COUNTUNIQUEIFS('Claim Sheet'!$A:$A,'Claim Sheet'!$C:$C,$B10,'Claim Sheet'!$M:$M,TRUE,'Claim Sheet'!$K:$K,I$3)"),0.0)</f>
        <v>0</v>
      </c>
      <c r="J10" s="24">
        <f>IFERROR(__xludf.DUMMYFUNCTION("COUNTUNIQUEIFS('Claim Sheet'!$A:$A,'Claim Sheet'!$C:$C,$B10,'Claim Sheet'!$M:$M,TRUE,'Claim Sheet'!$K:$K,J$3)"),0.0)</f>
        <v>0</v>
      </c>
      <c r="K10" s="24">
        <f>IFERROR(__xludf.DUMMYFUNCTION("COUNTUNIQUEIFS('Claim Sheet'!$A:$A,'Claim Sheet'!$C:$C,$B10,'Claim Sheet'!$M:$M,TRUE,'Claim Sheet'!$K:$K,K$3)"),0.0)</f>
        <v>0</v>
      </c>
      <c r="L10" s="24">
        <f t="shared" si="5"/>
        <v>12</v>
      </c>
      <c r="N10" s="43" t="str">
        <f>IFERROR(__xludf.DUMMYFUNCTION("""COMPUTED_VALUE"""),"Manan B")</f>
        <v>Manan B</v>
      </c>
      <c r="O10" s="24">
        <f>IFERROR(__xludf.DUMMYFUNCTION("COUNTUNIQUEIFS('New Onboards'!$A:$A,'New Onboards'!$C:$C,$N10,'New Onboards'!$J:$J,TRUE,'New Onboards'!$I:$I,O$3)"),0.0)</f>
        <v>0</v>
      </c>
      <c r="P10" s="24">
        <f>IFERROR(__xludf.DUMMYFUNCTION("COUNTUNIQUEIFS('New Onboards'!$A:$A,'New Onboards'!$C:$C,$N10,'New Onboards'!$J:$J,TRUE,'New Onboards'!$I:$I,P$3)"),0.0)</f>
        <v>0</v>
      </c>
      <c r="Q10" s="24">
        <f>IFERROR(__xludf.DUMMYFUNCTION("COUNTUNIQUEIFS('New Onboards'!$A:$A,'New Onboards'!$C:$C,$N10,'New Onboards'!$J:$J,TRUE,'New Onboards'!$I:$I,Q$3)"),0.0)</f>
        <v>0</v>
      </c>
      <c r="R10" s="24">
        <f>IFERROR(__xludf.DUMMYFUNCTION("COUNTUNIQUEIFS('New Onboards'!$A:$A,'New Onboards'!$C:$C,$N10,'New Onboards'!$J:$J,TRUE,'New Onboards'!$I:$I,R$3)"),0.0)</f>
        <v>0</v>
      </c>
      <c r="S10" s="24">
        <f>IFERROR(__xludf.DUMMYFUNCTION("COUNTUNIQUEIFS('New Onboards'!$A:$A,'New Onboards'!$C:$C,$N10,'New Onboards'!$J:$J,TRUE,'New Onboards'!$I:$I,S$3)"),0.0)</f>
        <v>0</v>
      </c>
      <c r="T10" s="24">
        <f>IFERROR(__xludf.DUMMYFUNCTION("COUNTUNIQUEIFS('New Onboards'!$A:$A,'New Onboards'!$C:$C,$N10,'New Onboards'!$J:$J,TRUE,'New Onboards'!$I:$I,T$3)"),0.0)</f>
        <v>0</v>
      </c>
      <c r="U10" s="24">
        <f>IFERROR(__xludf.DUMMYFUNCTION("COUNTUNIQUEIFS('New Onboards'!$A:$A,'New Onboards'!$C:$C,$N10,'New Onboards'!$J:$J,TRUE,'New Onboards'!$I:$I,U$3)"),0.0)</f>
        <v>0</v>
      </c>
      <c r="V10" s="24">
        <f>IFERROR(__xludf.DUMMYFUNCTION("COUNTUNIQUEIFS('New Onboards'!$A:$A,'New Onboards'!$C:$C,$N10,'New Onboards'!$J:$J,TRUE,'New Onboards'!$I:$I,V$3)"),0.0)</f>
        <v>0</v>
      </c>
      <c r="W10" s="24">
        <f>IFERROR(__xludf.DUMMYFUNCTION("COUNTUNIQUEIFS('New Onboards'!$A:$A,'New Onboards'!$C:$C,$N10,'New Onboards'!$J:$J,TRUE,'New Onboards'!$I:$I,W$3)"),0.0)</f>
        <v>0</v>
      </c>
      <c r="X10" s="24">
        <f t="shared" si="6"/>
        <v>0</v>
      </c>
      <c r="Y10" s="24"/>
      <c r="Z10" s="24"/>
      <c r="AA10" s="24"/>
      <c r="AB10" s="24"/>
    </row>
    <row r="11">
      <c r="B11" s="43" t="str">
        <f>IFERROR(__xludf.DUMMYFUNCTION("""COMPUTED_VALUE"""),"Elliot S")</f>
        <v>Elliot S</v>
      </c>
      <c r="C11" s="24">
        <f>IFERROR(__xludf.DUMMYFUNCTION("COUNTUNIQUEIFS('Claim Sheet'!$A:$A,'Claim Sheet'!$C:$C,$B11,'Claim Sheet'!$M:$M,TRUE,'Claim Sheet'!$K:$K,C$3)"),0.0)</f>
        <v>0</v>
      </c>
      <c r="D11" s="24">
        <f>IFERROR(__xludf.DUMMYFUNCTION("COUNTUNIQUEIFS('Claim Sheet'!$A:$A,'Claim Sheet'!$C:$C,$B11,'Claim Sheet'!$M:$M,TRUE,'Claim Sheet'!$K:$K,D$3)"),4.0)</f>
        <v>4</v>
      </c>
      <c r="E11" s="24">
        <f>IFERROR(__xludf.DUMMYFUNCTION("COUNTUNIQUEIFS('Claim Sheet'!$A:$A,'Claim Sheet'!$C:$C,$B11,'Claim Sheet'!$M:$M,TRUE,'Claim Sheet'!$K:$K,E$3)"),6.0)</f>
        <v>6</v>
      </c>
      <c r="F11" s="24">
        <f>IFERROR(__xludf.DUMMYFUNCTION("COUNTUNIQUEIFS('Claim Sheet'!$A:$A,'Claim Sheet'!$C:$C,$B11,'Claim Sheet'!$M:$M,TRUE,'Claim Sheet'!$K:$K,F$3)"),3.0)</f>
        <v>3</v>
      </c>
      <c r="G11" s="24">
        <f>IFERROR(__xludf.DUMMYFUNCTION("COUNTUNIQUEIFS('Claim Sheet'!$A:$A,'Claim Sheet'!$C:$C,$B11,'Claim Sheet'!$M:$M,TRUE,'Claim Sheet'!$K:$K,G$3)"),2.0)</f>
        <v>2</v>
      </c>
      <c r="H11" s="24">
        <f>IFERROR(__xludf.DUMMYFUNCTION("COUNTUNIQUEIFS('Claim Sheet'!$A:$A,'Claim Sheet'!$C:$C,$B11,'Claim Sheet'!$M:$M,TRUE,'Claim Sheet'!$K:$K,H$3)"),0.0)</f>
        <v>0</v>
      </c>
      <c r="I11" s="24">
        <f>IFERROR(__xludf.DUMMYFUNCTION("COUNTUNIQUEIFS('Claim Sheet'!$A:$A,'Claim Sheet'!$C:$C,$B11,'Claim Sheet'!$M:$M,TRUE,'Claim Sheet'!$K:$K,I$3)"),0.0)</f>
        <v>0</v>
      </c>
      <c r="J11" s="24">
        <f>IFERROR(__xludf.DUMMYFUNCTION("COUNTUNIQUEIFS('Claim Sheet'!$A:$A,'Claim Sheet'!$C:$C,$B11,'Claim Sheet'!$M:$M,TRUE,'Claim Sheet'!$K:$K,J$3)"),0.0)</f>
        <v>0</v>
      </c>
      <c r="K11" s="24">
        <f>IFERROR(__xludf.DUMMYFUNCTION("COUNTUNIQUEIFS('Claim Sheet'!$A:$A,'Claim Sheet'!$C:$C,$B11,'Claim Sheet'!$M:$M,TRUE,'Claim Sheet'!$K:$K,K$3)"),0.0)</f>
        <v>0</v>
      </c>
      <c r="L11" s="24">
        <f t="shared" si="5"/>
        <v>15</v>
      </c>
      <c r="N11" s="43" t="str">
        <f>IFERROR(__xludf.DUMMYFUNCTION("""COMPUTED_VALUE"""),"Max R")</f>
        <v>Max R</v>
      </c>
      <c r="O11" s="24">
        <f>IFERROR(__xludf.DUMMYFUNCTION("COUNTUNIQUEIFS('New Onboards'!$A:$A,'New Onboards'!$C:$C,$N11,'New Onboards'!$J:$J,TRUE,'New Onboards'!$I:$I,O$3)"),0.0)</f>
        <v>0</v>
      </c>
      <c r="P11" s="24">
        <f>IFERROR(__xludf.DUMMYFUNCTION("COUNTUNIQUEIFS('New Onboards'!$A:$A,'New Onboards'!$C:$C,$N11,'New Onboards'!$J:$J,TRUE,'New Onboards'!$I:$I,P$3)"),0.0)</f>
        <v>0</v>
      </c>
      <c r="Q11" s="24">
        <f>IFERROR(__xludf.DUMMYFUNCTION("COUNTUNIQUEIFS('New Onboards'!$A:$A,'New Onboards'!$C:$C,$N11,'New Onboards'!$J:$J,TRUE,'New Onboards'!$I:$I,Q$3)"),0.0)</f>
        <v>0</v>
      </c>
      <c r="R11" s="24">
        <f>IFERROR(__xludf.DUMMYFUNCTION("COUNTUNIQUEIFS('New Onboards'!$A:$A,'New Onboards'!$C:$C,$N11,'New Onboards'!$J:$J,TRUE,'New Onboards'!$I:$I,R$3)"),0.0)</f>
        <v>0</v>
      </c>
      <c r="S11" s="24">
        <f>IFERROR(__xludf.DUMMYFUNCTION("COUNTUNIQUEIFS('New Onboards'!$A:$A,'New Onboards'!$C:$C,$N11,'New Onboards'!$J:$J,TRUE,'New Onboards'!$I:$I,S$3)"),0.0)</f>
        <v>0</v>
      </c>
      <c r="T11" s="24">
        <f>IFERROR(__xludf.DUMMYFUNCTION("COUNTUNIQUEIFS('New Onboards'!$A:$A,'New Onboards'!$C:$C,$N11,'New Onboards'!$J:$J,TRUE,'New Onboards'!$I:$I,T$3)"),0.0)</f>
        <v>0</v>
      </c>
      <c r="U11" s="24">
        <f>IFERROR(__xludf.DUMMYFUNCTION("COUNTUNIQUEIFS('New Onboards'!$A:$A,'New Onboards'!$C:$C,$N11,'New Onboards'!$J:$J,TRUE,'New Onboards'!$I:$I,U$3)"),0.0)</f>
        <v>0</v>
      </c>
      <c r="V11" s="24">
        <f>IFERROR(__xludf.DUMMYFUNCTION("COUNTUNIQUEIFS('New Onboards'!$A:$A,'New Onboards'!$C:$C,$N11,'New Onboards'!$J:$J,TRUE,'New Onboards'!$I:$I,V$3)"),0.0)</f>
        <v>0</v>
      </c>
      <c r="W11" s="24">
        <f>IFERROR(__xludf.DUMMYFUNCTION("COUNTUNIQUEIFS('New Onboards'!$A:$A,'New Onboards'!$C:$C,$N11,'New Onboards'!$J:$J,TRUE,'New Onboards'!$I:$I,W$3)"),0.0)</f>
        <v>0</v>
      </c>
      <c r="X11" s="24">
        <f t="shared" si="6"/>
        <v>0</v>
      </c>
      <c r="Y11" s="24"/>
      <c r="Z11" s="24"/>
      <c r="AA11" s="24"/>
      <c r="AB11" s="24"/>
    </row>
    <row r="12">
      <c r="B12" s="43" t="str">
        <f>IFERROR(__xludf.DUMMYFUNCTION("""COMPUTED_VALUE"""),"Francisco C")</f>
        <v>Francisco C</v>
      </c>
      <c r="C12" s="24">
        <f>IFERROR(__xludf.DUMMYFUNCTION("COUNTUNIQUEIFS('Claim Sheet'!$A:$A,'Claim Sheet'!$C:$C,$B12,'Claim Sheet'!$M:$M,TRUE,'Claim Sheet'!$K:$K,C$3)"),1.0)</f>
        <v>1</v>
      </c>
      <c r="D12" s="24">
        <f>IFERROR(__xludf.DUMMYFUNCTION("COUNTUNIQUEIFS('Claim Sheet'!$A:$A,'Claim Sheet'!$C:$C,$B12,'Claim Sheet'!$M:$M,TRUE,'Claim Sheet'!$K:$K,D$3)"),3.0)</f>
        <v>3</v>
      </c>
      <c r="E12" s="24">
        <f>IFERROR(__xludf.DUMMYFUNCTION("COUNTUNIQUEIFS('Claim Sheet'!$A:$A,'Claim Sheet'!$C:$C,$B12,'Claim Sheet'!$M:$M,TRUE,'Claim Sheet'!$K:$K,E$3)"),3.0)</f>
        <v>3</v>
      </c>
      <c r="F12" s="24">
        <f>IFERROR(__xludf.DUMMYFUNCTION("COUNTUNIQUEIFS('Claim Sheet'!$A:$A,'Claim Sheet'!$C:$C,$B12,'Claim Sheet'!$M:$M,TRUE,'Claim Sheet'!$K:$K,F$3)"),4.0)</f>
        <v>4</v>
      </c>
      <c r="G12" s="24">
        <f>IFERROR(__xludf.DUMMYFUNCTION("COUNTUNIQUEIFS('Claim Sheet'!$A:$A,'Claim Sheet'!$C:$C,$B12,'Claim Sheet'!$M:$M,TRUE,'Claim Sheet'!$K:$K,G$3)"),2.0)</f>
        <v>2</v>
      </c>
      <c r="H12" s="24">
        <f>IFERROR(__xludf.DUMMYFUNCTION("COUNTUNIQUEIFS('Claim Sheet'!$A:$A,'Claim Sheet'!$C:$C,$B12,'Claim Sheet'!$M:$M,TRUE,'Claim Sheet'!$K:$K,H$3)"),0.0)</f>
        <v>0</v>
      </c>
      <c r="I12" s="24">
        <f>IFERROR(__xludf.DUMMYFUNCTION("COUNTUNIQUEIFS('Claim Sheet'!$A:$A,'Claim Sheet'!$C:$C,$B12,'Claim Sheet'!$M:$M,TRUE,'Claim Sheet'!$K:$K,I$3)"),0.0)</f>
        <v>0</v>
      </c>
      <c r="J12" s="24">
        <f>IFERROR(__xludf.DUMMYFUNCTION("COUNTUNIQUEIFS('Claim Sheet'!$A:$A,'Claim Sheet'!$C:$C,$B12,'Claim Sheet'!$M:$M,TRUE,'Claim Sheet'!$K:$K,J$3)"),0.0)</f>
        <v>0</v>
      </c>
      <c r="K12" s="24">
        <f>IFERROR(__xludf.DUMMYFUNCTION("COUNTUNIQUEIFS('Claim Sheet'!$A:$A,'Claim Sheet'!$C:$C,$B12,'Claim Sheet'!$M:$M,TRUE,'Claim Sheet'!$K:$K,K$3)"),0.0)</f>
        <v>0</v>
      </c>
      <c r="L12" s="24">
        <f t="shared" si="5"/>
        <v>13</v>
      </c>
      <c r="N12" s="43" t="str">
        <f>IFERROR(__xludf.DUMMYFUNCTION("""COMPUTED_VALUE"""),"Melvin J")</f>
        <v>Melvin J</v>
      </c>
      <c r="O12" s="24">
        <f>IFERROR(__xludf.DUMMYFUNCTION("COUNTUNIQUEIFS('New Onboards'!$A:$A,'New Onboards'!$C:$C,$N12,'New Onboards'!$J:$J,TRUE,'New Onboards'!$I:$I,O$3)"),0.0)</f>
        <v>0</v>
      </c>
      <c r="P12" s="24">
        <f>IFERROR(__xludf.DUMMYFUNCTION("COUNTUNIQUEIFS('New Onboards'!$A:$A,'New Onboards'!$C:$C,$N12,'New Onboards'!$J:$J,TRUE,'New Onboards'!$I:$I,P$3)"),0.0)</f>
        <v>0</v>
      </c>
      <c r="Q12" s="24">
        <f>IFERROR(__xludf.DUMMYFUNCTION("COUNTUNIQUEIFS('New Onboards'!$A:$A,'New Onboards'!$C:$C,$N12,'New Onboards'!$J:$J,TRUE,'New Onboards'!$I:$I,Q$3)"),0.0)</f>
        <v>0</v>
      </c>
      <c r="R12" s="24">
        <f>IFERROR(__xludf.DUMMYFUNCTION("COUNTUNIQUEIFS('New Onboards'!$A:$A,'New Onboards'!$C:$C,$N12,'New Onboards'!$J:$J,TRUE,'New Onboards'!$I:$I,R$3)"),0.0)</f>
        <v>0</v>
      </c>
      <c r="S12" s="24">
        <f>IFERROR(__xludf.DUMMYFUNCTION("COUNTUNIQUEIFS('New Onboards'!$A:$A,'New Onboards'!$C:$C,$N12,'New Onboards'!$J:$J,TRUE,'New Onboards'!$I:$I,S$3)"),0.0)</f>
        <v>0</v>
      </c>
      <c r="T12" s="24">
        <f>IFERROR(__xludf.DUMMYFUNCTION("COUNTUNIQUEIFS('New Onboards'!$A:$A,'New Onboards'!$C:$C,$N12,'New Onboards'!$J:$J,TRUE,'New Onboards'!$I:$I,T$3)"),0.0)</f>
        <v>0</v>
      </c>
      <c r="U12" s="24">
        <f>IFERROR(__xludf.DUMMYFUNCTION("COUNTUNIQUEIFS('New Onboards'!$A:$A,'New Onboards'!$C:$C,$N12,'New Onboards'!$J:$J,TRUE,'New Onboards'!$I:$I,U$3)"),0.0)</f>
        <v>0</v>
      </c>
      <c r="V12" s="24">
        <f>IFERROR(__xludf.DUMMYFUNCTION("COUNTUNIQUEIFS('New Onboards'!$A:$A,'New Onboards'!$C:$C,$N12,'New Onboards'!$J:$J,TRUE,'New Onboards'!$I:$I,V$3)"),0.0)</f>
        <v>0</v>
      </c>
      <c r="W12" s="24">
        <f>IFERROR(__xludf.DUMMYFUNCTION("COUNTUNIQUEIFS('New Onboards'!$A:$A,'New Onboards'!$C:$C,$N12,'New Onboards'!$J:$J,TRUE,'New Onboards'!$I:$I,W$3)"),0.0)</f>
        <v>0</v>
      </c>
      <c r="X12" s="24">
        <f t="shared" si="6"/>
        <v>0</v>
      </c>
      <c r="Y12" s="24"/>
      <c r="Z12" s="24"/>
      <c r="AA12" s="24"/>
      <c r="AB12" s="24"/>
    </row>
    <row r="13">
      <c r="B13" s="43" t="str">
        <f>IFERROR(__xludf.DUMMYFUNCTION("""COMPUTED_VALUE"""),"Jalaj G")</f>
        <v>Jalaj G</v>
      </c>
      <c r="C13" s="24">
        <f>IFERROR(__xludf.DUMMYFUNCTION("COUNTUNIQUEIFS('Claim Sheet'!$A:$A,'Claim Sheet'!$C:$C,$B13,'Claim Sheet'!$M:$M,TRUE,'Claim Sheet'!$K:$K,C$3)"),0.0)</f>
        <v>0</v>
      </c>
      <c r="D13" s="24">
        <f>IFERROR(__xludf.DUMMYFUNCTION("COUNTUNIQUEIFS('Claim Sheet'!$A:$A,'Claim Sheet'!$C:$C,$B13,'Claim Sheet'!$M:$M,TRUE,'Claim Sheet'!$K:$K,D$3)"),4.0)</f>
        <v>4</v>
      </c>
      <c r="E13" s="24">
        <f>IFERROR(__xludf.DUMMYFUNCTION("COUNTUNIQUEIFS('Claim Sheet'!$A:$A,'Claim Sheet'!$C:$C,$B13,'Claim Sheet'!$M:$M,TRUE,'Claim Sheet'!$K:$K,E$3)"),7.0)</f>
        <v>7</v>
      </c>
      <c r="F13" s="24">
        <f>IFERROR(__xludf.DUMMYFUNCTION("COUNTUNIQUEIFS('Claim Sheet'!$A:$A,'Claim Sheet'!$C:$C,$B13,'Claim Sheet'!$M:$M,TRUE,'Claim Sheet'!$K:$K,F$3)"),4.0)</f>
        <v>4</v>
      </c>
      <c r="G13" s="24">
        <f>IFERROR(__xludf.DUMMYFUNCTION("COUNTUNIQUEIFS('Claim Sheet'!$A:$A,'Claim Sheet'!$C:$C,$B13,'Claim Sheet'!$M:$M,TRUE,'Claim Sheet'!$K:$K,G$3)"),0.0)</f>
        <v>0</v>
      </c>
      <c r="H13" s="24">
        <f>IFERROR(__xludf.DUMMYFUNCTION("COUNTUNIQUEIFS('Claim Sheet'!$A:$A,'Claim Sheet'!$C:$C,$B13,'Claim Sheet'!$M:$M,TRUE,'Claim Sheet'!$K:$K,H$3)"),0.0)</f>
        <v>0</v>
      </c>
      <c r="I13" s="24">
        <f>IFERROR(__xludf.DUMMYFUNCTION("COUNTUNIQUEIFS('Claim Sheet'!$A:$A,'Claim Sheet'!$C:$C,$B13,'Claim Sheet'!$M:$M,TRUE,'Claim Sheet'!$K:$K,I$3)"),0.0)</f>
        <v>0</v>
      </c>
      <c r="J13" s="24">
        <f>IFERROR(__xludf.DUMMYFUNCTION("COUNTUNIQUEIFS('Claim Sheet'!$A:$A,'Claim Sheet'!$C:$C,$B13,'Claim Sheet'!$M:$M,TRUE,'Claim Sheet'!$K:$K,J$3)"),0.0)</f>
        <v>0</v>
      </c>
      <c r="K13" s="24">
        <f>IFERROR(__xludf.DUMMYFUNCTION("COUNTUNIQUEIFS('Claim Sheet'!$A:$A,'Claim Sheet'!$C:$C,$B13,'Claim Sheet'!$M:$M,TRUE,'Claim Sheet'!$K:$K,K$3)"),0.0)</f>
        <v>0</v>
      </c>
      <c r="L13" s="24">
        <f t="shared" si="5"/>
        <v>15</v>
      </c>
      <c r="N13" s="43" t="str">
        <f>IFERROR(__xludf.DUMMYFUNCTION("""COMPUTED_VALUE"""),"Michael T")</f>
        <v>Michael T</v>
      </c>
      <c r="O13" s="24">
        <f>IFERROR(__xludf.DUMMYFUNCTION("COUNTUNIQUEIFS('New Onboards'!$A:$A,'New Onboards'!$C:$C,$N13,'New Onboards'!$J:$J,TRUE,'New Onboards'!$I:$I,O$3)"),0.0)</f>
        <v>0</v>
      </c>
      <c r="P13" s="24">
        <f>IFERROR(__xludf.DUMMYFUNCTION("COUNTUNIQUEIFS('New Onboards'!$A:$A,'New Onboards'!$C:$C,$N13,'New Onboards'!$J:$J,TRUE,'New Onboards'!$I:$I,P$3)"),0.0)</f>
        <v>0</v>
      </c>
      <c r="Q13" s="24">
        <f>IFERROR(__xludf.DUMMYFUNCTION("COUNTUNIQUEIFS('New Onboards'!$A:$A,'New Onboards'!$C:$C,$N13,'New Onboards'!$J:$J,TRUE,'New Onboards'!$I:$I,Q$3)"),0.0)</f>
        <v>0</v>
      </c>
      <c r="R13" s="24">
        <f>IFERROR(__xludf.DUMMYFUNCTION("COUNTUNIQUEIFS('New Onboards'!$A:$A,'New Onboards'!$C:$C,$N13,'New Onboards'!$J:$J,TRUE,'New Onboards'!$I:$I,R$3)"),0.0)</f>
        <v>0</v>
      </c>
      <c r="S13" s="24">
        <f>IFERROR(__xludf.DUMMYFUNCTION("COUNTUNIQUEIFS('New Onboards'!$A:$A,'New Onboards'!$C:$C,$N13,'New Onboards'!$J:$J,TRUE,'New Onboards'!$I:$I,S$3)"),1.0)</f>
        <v>1</v>
      </c>
      <c r="T13" s="24">
        <f>IFERROR(__xludf.DUMMYFUNCTION("COUNTUNIQUEIFS('New Onboards'!$A:$A,'New Onboards'!$C:$C,$N13,'New Onboards'!$J:$J,TRUE,'New Onboards'!$I:$I,T$3)"),0.0)</f>
        <v>0</v>
      </c>
      <c r="U13" s="24">
        <f>IFERROR(__xludf.DUMMYFUNCTION("COUNTUNIQUEIFS('New Onboards'!$A:$A,'New Onboards'!$C:$C,$N13,'New Onboards'!$J:$J,TRUE,'New Onboards'!$I:$I,U$3)"),0.0)</f>
        <v>0</v>
      </c>
      <c r="V13" s="24">
        <f>IFERROR(__xludf.DUMMYFUNCTION("COUNTUNIQUEIFS('New Onboards'!$A:$A,'New Onboards'!$C:$C,$N13,'New Onboards'!$J:$J,TRUE,'New Onboards'!$I:$I,V$3)"),0.0)</f>
        <v>0</v>
      </c>
      <c r="W13" s="24">
        <f>IFERROR(__xludf.DUMMYFUNCTION("COUNTUNIQUEIFS('New Onboards'!$A:$A,'New Onboards'!$C:$C,$N13,'New Onboards'!$J:$J,TRUE,'New Onboards'!$I:$I,W$3)"),0.0)</f>
        <v>0</v>
      </c>
      <c r="X13" s="24">
        <f t="shared" si="6"/>
        <v>1</v>
      </c>
      <c r="Y13" s="24"/>
      <c r="Z13" s="24"/>
      <c r="AA13" s="24"/>
      <c r="AB13" s="24"/>
    </row>
    <row r="14">
      <c r="B14" s="43" t="str">
        <f>IFERROR(__xludf.DUMMYFUNCTION("""COMPUTED_VALUE"""),"Jared M")</f>
        <v>Jared M</v>
      </c>
      <c r="C14" s="24">
        <f>IFERROR(__xludf.DUMMYFUNCTION("COUNTUNIQUEIFS('Claim Sheet'!$A:$A,'Claim Sheet'!$C:$C,$B14,'Claim Sheet'!$M:$M,TRUE,'Claim Sheet'!$K:$K,C$3)"),0.0)</f>
        <v>0</v>
      </c>
      <c r="D14" s="24">
        <f>IFERROR(__xludf.DUMMYFUNCTION("COUNTUNIQUEIFS('Claim Sheet'!$A:$A,'Claim Sheet'!$C:$C,$B14,'Claim Sheet'!$M:$M,TRUE,'Claim Sheet'!$K:$K,D$3)"),0.0)</f>
        <v>0</v>
      </c>
      <c r="E14" s="24">
        <f>IFERROR(__xludf.DUMMYFUNCTION("COUNTUNIQUEIFS('Claim Sheet'!$A:$A,'Claim Sheet'!$C:$C,$B14,'Claim Sheet'!$M:$M,TRUE,'Claim Sheet'!$K:$K,E$3)"),2.0)</f>
        <v>2</v>
      </c>
      <c r="F14" s="24">
        <f>IFERROR(__xludf.DUMMYFUNCTION("COUNTUNIQUEIFS('Claim Sheet'!$A:$A,'Claim Sheet'!$C:$C,$B14,'Claim Sheet'!$M:$M,TRUE,'Claim Sheet'!$K:$K,F$3)"),0.0)</f>
        <v>0</v>
      </c>
      <c r="G14" s="24">
        <f>IFERROR(__xludf.DUMMYFUNCTION("COUNTUNIQUEIFS('Claim Sheet'!$A:$A,'Claim Sheet'!$C:$C,$B14,'Claim Sheet'!$M:$M,TRUE,'Claim Sheet'!$K:$K,G$3)"),0.0)</f>
        <v>0</v>
      </c>
      <c r="H14" s="24">
        <f>IFERROR(__xludf.DUMMYFUNCTION("COUNTUNIQUEIFS('Claim Sheet'!$A:$A,'Claim Sheet'!$C:$C,$B14,'Claim Sheet'!$M:$M,TRUE,'Claim Sheet'!$K:$K,H$3)"),0.0)</f>
        <v>0</v>
      </c>
      <c r="I14" s="24">
        <f>IFERROR(__xludf.DUMMYFUNCTION("COUNTUNIQUEIFS('Claim Sheet'!$A:$A,'Claim Sheet'!$C:$C,$B14,'Claim Sheet'!$M:$M,TRUE,'Claim Sheet'!$K:$K,I$3)"),0.0)</f>
        <v>0</v>
      </c>
      <c r="J14" s="24">
        <f>IFERROR(__xludf.DUMMYFUNCTION("COUNTUNIQUEIFS('Claim Sheet'!$A:$A,'Claim Sheet'!$C:$C,$B14,'Claim Sheet'!$M:$M,TRUE,'Claim Sheet'!$K:$K,J$3)"),0.0)</f>
        <v>0</v>
      </c>
      <c r="K14" s="24">
        <f>IFERROR(__xludf.DUMMYFUNCTION("COUNTUNIQUEIFS('Claim Sheet'!$A:$A,'Claim Sheet'!$C:$C,$B14,'Claim Sheet'!$M:$M,TRUE,'Claim Sheet'!$K:$K,K$3)"),0.0)</f>
        <v>0</v>
      </c>
      <c r="L14" s="24">
        <f t="shared" si="5"/>
        <v>2</v>
      </c>
      <c r="N14" s="43" t="str">
        <f>IFERROR(__xludf.DUMMYFUNCTION("""COMPUTED_VALUE"""),"Mitch K")</f>
        <v>Mitch K</v>
      </c>
      <c r="O14" s="24">
        <f>IFERROR(__xludf.DUMMYFUNCTION("COUNTUNIQUEIFS('New Onboards'!$A:$A,'New Onboards'!$C:$C,$N14,'New Onboards'!$J:$J,TRUE,'New Onboards'!$I:$I,O$3)"),0.0)</f>
        <v>0</v>
      </c>
      <c r="P14" s="24">
        <f>IFERROR(__xludf.DUMMYFUNCTION("COUNTUNIQUEIFS('New Onboards'!$A:$A,'New Onboards'!$C:$C,$N14,'New Onboards'!$J:$J,TRUE,'New Onboards'!$I:$I,P$3)"),0.0)</f>
        <v>0</v>
      </c>
      <c r="Q14" s="24">
        <f>IFERROR(__xludf.DUMMYFUNCTION("COUNTUNIQUEIFS('New Onboards'!$A:$A,'New Onboards'!$C:$C,$N14,'New Onboards'!$J:$J,TRUE,'New Onboards'!$I:$I,Q$3)"),0.0)</f>
        <v>0</v>
      </c>
      <c r="R14" s="24">
        <f>IFERROR(__xludf.DUMMYFUNCTION("COUNTUNIQUEIFS('New Onboards'!$A:$A,'New Onboards'!$C:$C,$N14,'New Onboards'!$J:$J,TRUE,'New Onboards'!$I:$I,R$3)"),0.0)</f>
        <v>0</v>
      </c>
      <c r="S14" s="24">
        <f>IFERROR(__xludf.DUMMYFUNCTION("COUNTUNIQUEIFS('New Onboards'!$A:$A,'New Onboards'!$C:$C,$N14,'New Onboards'!$J:$J,TRUE,'New Onboards'!$I:$I,S$3)"),1.0)</f>
        <v>1</v>
      </c>
      <c r="T14" s="24">
        <f>IFERROR(__xludf.DUMMYFUNCTION("COUNTUNIQUEIFS('New Onboards'!$A:$A,'New Onboards'!$C:$C,$N14,'New Onboards'!$J:$J,TRUE,'New Onboards'!$I:$I,T$3)"),0.0)</f>
        <v>0</v>
      </c>
      <c r="U14" s="24">
        <f>IFERROR(__xludf.DUMMYFUNCTION("COUNTUNIQUEIFS('New Onboards'!$A:$A,'New Onboards'!$C:$C,$N14,'New Onboards'!$J:$J,TRUE,'New Onboards'!$I:$I,U$3)"),0.0)</f>
        <v>0</v>
      </c>
      <c r="V14" s="24">
        <f>IFERROR(__xludf.DUMMYFUNCTION("COUNTUNIQUEIFS('New Onboards'!$A:$A,'New Onboards'!$C:$C,$N14,'New Onboards'!$J:$J,TRUE,'New Onboards'!$I:$I,V$3)"),0.0)</f>
        <v>0</v>
      </c>
      <c r="W14" s="24">
        <f>IFERROR(__xludf.DUMMYFUNCTION("COUNTUNIQUEIFS('New Onboards'!$A:$A,'New Onboards'!$C:$C,$N14,'New Onboards'!$J:$J,TRUE,'New Onboards'!$I:$I,W$3)"),0.0)</f>
        <v>0</v>
      </c>
      <c r="X14" s="24">
        <f t="shared" si="6"/>
        <v>1</v>
      </c>
    </row>
    <row r="15">
      <c r="B15" s="43" t="str">
        <f>IFERROR(__xludf.DUMMYFUNCTION("""COMPUTED_VALUE"""),"Jeff Z")</f>
        <v>Jeff Z</v>
      </c>
      <c r="C15" s="24">
        <f>IFERROR(__xludf.DUMMYFUNCTION("COUNTUNIQUEIFS('Claim Sheet'!$A:$A,'Claim Sheet'!$C:$C,$B15,'Claim Sheet'!$M:$M,TRUE,'Claim Sheet'!$K:$K,C$3)"),0.0)</f>
        <v>0</v>
      </c>
      <c r="D15" s="24">
        <f>IFERROR(__xludf.DUMMYFUNCTION("COUNTUNIQUEIFS('Claim Sheet'!$A:$A,'Claim Sheet'!$C:$C,$B15,'Claim Sheet'!$M:$M,TRUE,'Claim Sheet'!$K:$K,D$3)"),0.0)</f>
        <v>0</v>
      </c>
      <c r="E15" s="24">
        <f>IFERROR(__xludf.DUMMYFUNCTION("COUNTUNIQUEIFS('Claim Sheet'!$A:$A,'Claim Sheet'!$C:$C,$B15,'Claim Sheet'!$M:$M,TRUE,'Claim Sheet'!$K:$K,E$3)"),1.0)</f>
        <v>1</v>
      </c>
      <c r="F15" s="24">
        <f>IFERROR(__xludf.DUMMYFUNCTION("COUNTUNIQUEIFS('Claim Sheet'!$A:$A,'Claim Sheet'!$C:$C,$B15,'Claim Sheet'!$M:$M,TRUE,'Claim Sheet'!$K:$K,F$3)"),1.0)</f>
        <v>1</v>
      </c>
      <c r="G15" s="24">
        <f>IFERROR(__xludf.DUMMYFUNCTION("COUNTUNIQUEIFS('Claim Sheet'!$A:$A,'Claim Sheet'!$C:$C,$B15,'Claim Sheet'!$M:$M,TRUE,'Claim Sheet'!$K:$K,G$3)"),1.0)</f>
        <v>1</v>
      </c>
      <c r="H15" s="24">
        <f>IFERROR(__xludf.DUMMYFUNCTION("COUNTUNIQUEIFS('Claim Sheet'!$A:$A,'Claim Sheet'!$C:$C,$B15,'Claim Sheet'!$M:$M,TRUE,'Claim Sheet'!$K:$K,H$3)"),0.0)</f>
        <v>0</v>
      </c>
      <c r="I15" s="24">
        <f>IFERROR(__xludf.DUMMYFUNCTION("COUNTUNIQUEIFS('Claim Sheet'!$A:$A,'Claim Sheet'!$C:$C,$B15,'Claim Sheet'!$M:$M,TRUE,'Claim Sheet'!$K:$K,I$3)"),0.0)</f>
        <v>0</v>
      </c>
      <c r="J15" s="24">
        <f>IFERROR(__xludf.DUMMYFUNCTION("COUNTUNIQUEIFS('Claim Sheet'!$A:$A,'Claim Sheet'!$C:$C,$B15,'Claim Sheet'!$M:$M,TRUE,'Claim Sheet'!$K:$K,J$3)"),0.0)</f>
        <v>0</v>
      </c>
      <c r="K15" s="24">
        <f>IFERROR(__xludf.DUMMYFUNCTION("COUNTUNIQUEIFS('Claim Sheet'!$A:$A,'Claim Sheet'!$C:$C,$B15,'Claim Sheet'!$M:$M,TRUE,'Claim Sheet'!$K:$K,K$3)"),0.0)</f>
        <v>0</v>
      </c>
      <c r="L15" s="24">
        <f t="shared" si="5"/>
        <v>3</v>
      </c>
      <c r="N15" s="43" t="str">
        <f>IFERROR(__xludf.DUMMYFUNCTION("""COMPUTED_VALUE"""),"Nimisha M")</f>
        <v>Nimisha M</v>
      </c>
      <c r="O15" s="24">
        <f>IFERROR(__xludf.DUMMYFUNCTION("COUNTUNIQUEIFS('New Onboards'!$A:$A,'New Onboards'!$C:$C,$N15,'New Onboards'!$J:$J,TRUE,'New Onboards'!$I:$I,O$3)"),0.0)</f>
        <v>0</v>
      </c>
      <c r="P15" s="24">
        <f>IFERROR(__xludf.DUMMYFUNCTION("COUNTUNIQUEIFS('New Onboards'!$A:$A,'New Onboards'!$C:$C,$N15,'New Onboards'!$J:$J,TRUE,'New Onboards'!$I:$I,P$3)"),0.0)</f>
        <v>0</v>
      </c>
      <c r="Q15" s="24">
        <f>IFERROR(__xludf.DUMMYFUNCTION("COUNTUNIQUEIFS('New Onboards'!$A:$A,'New Onboards'!$C:$C,$N15,'New Onboards'!$J:$J,TRUE,'New Onboards'!$I:$I,Q$3)"),0.0)</f>
        <v>0</v>
      </c>
      <c r="R15" s="24">
        <f>IFERROR(__xludf.DUMMYFUNCTION("COUNTUNIQUEIFS('New Onboards'!$A:$A,'New Onboards'!$C:$C,$N15,'New Onboards'!$J:$J,TRUE,'New Onboards'!$I:$I,R$3)"),1.0)</f>
        <v>1</v>
      </c>
      <c r="S15" s="24">
        <f>IFERROR(__xludf.DUMMYFUNCTION("COUNTUNIQUEIFS('New Onboards'!$A:$A,'New Onboards'!$C:$C,$N15,'New Onboards'!$J:$J,TRUE,'New Onboards'!$I:$I,S$3)"),0.0)</f>
        <v>0</v>
      </c>
      <c r="T15" s="24">
        <f>IFERROR(__xludf.DUMMYFUNCTION("COUNTUNIQUEIFS('New Onboards'!$A:$A,'New Onboards'!$C:$C,$N15,'New Onboards'!$J:$J,TRUE,'New Onboards'!$I:$I,T$3)"),0.0)</f>
        <v>0</v>
      </c>
      <c r="U15" s="24">
        <f>IFERROR(__xludf.DUMMYFUNCTION("COUNTUNIQUEIFS('New Onboards'!$A:$A,'New Onboards'!$C:$C,$N15,'New Onboards'!$J:$J,TRUE,'New Onboards'!$I:$I,U$3)"),0.0)</f>
        <v>0</v>
      </c>
      <c r="V15" s="24">
        <f>IFERROR(__xludf.DUMMYFUNCTION("COUNTUNIQUEIFS('New Onboards'!$A:$A,'New Onboards'!$C:$C,$N15,'New Onboards'!$J:$J,TRUE,'New Onboards'!$I:$I,V$3)"),0.0)</f>
        <v>0</v>
      </c>
      <c r="W15" s="24">
        <f>IFERROR(__xludf.DUMMYFUNCTION("COUNTUNIQUEIFS('New Onboards'!$A:$A,'New Onboards'!$C:$C,$N15,'New Onboards'!$J:$J,TRUE,'New Onboards'!$I:$I,W$3)"),0.0)</f>
        <v>0</v>
      </c>
      <c r="X15" s="24">
        <f t="shared" si="6"/>
        <v>1</v>
      </c>
    </row>
    <row r="16">
      <c r="B16" s="43" t="str">
        <f>IFERROR(__xludf.DUMMYFUNCTION("""COMPUTED_VALUE"""),"John W")</f>
        <v>John W</v>
      </c>
      <c r="C16" s="24">
        <f>IFERROR(__xludf.DUMMYFUNCTION("COUNTUNIQUEIFS('Claim Sheet'!$A:$A,'Claim Sheet'!$C:$C,$B16,'Claim Sheet'!$M:$M,TRUE,'Claim Sheet'!$K:$K,C$3)"),0.0)</f>
        <v>0</v>
      </c>
      <c r="D16" s="24">
        <f>IFERROR(__xludf.DUMMYFUNCTION("COUNTUNIQUEIFS('Claim Sheet'!$A:$A,'Claim Sheet'!$C:$C,$B16,'Claim Sheet'!$M:$M,TRUE,'Claim Sheet'!$K:$K,D$3)"),4.0)</f>
        <v>4</v>
      </c>
      <c r="E16" s="24">
        <f>IFERROR(__xludf.DUMMYFUNCTION("COUNTUNIQUEIFS('Claim Sheet'!$A:$A,'Claim Sheet'!$C:$C,$B16,'Claim Sheet'!$M:$M,TRUE,'Claim Sheet'!$K:$K,E$3)"),0.0)</f>
        <v>0</v>
      </c>
      <c r="F16" s="24">
        <f>IFERROR(__xludf.DUMMYFUNCTION("COUNTUNIQUEIFS('Claim Sheet'!$A:$A,'Claim Sheet'!$C:$C,$B16,'Claim Sheet'!$M:$M,TRUE,'Claim Sheet'!$K:$K,F$3)"),3.0)</f>
        <v>3</v>
      </c>
      <c r="G16" s="24">
        <f>IFERROR(__xludf.DUMMYFUNCTION("COUNTUNIQUEIFS('Claim Sheet'!$A:$A,'Claim Sheet'!$C:$C,$B16,'Claim Sheet'!$M:$M,TRUE,'Claim Sheet'!$K:$K,G$3)"),0.0)</f>
        <v>0</v>
      </c>
      <c r="H16" s="24">
        <f>IFERROR(__xludf.DUMMYFUNCTION("COUNTUNIQUEIFS('Claim Sheet'!$A:$A,'Claim Sheet'!$C:$C,$B16,'Claim Sheet'!$M:$M,TRUE,'Claim Sheet'!$K:$K,H$3)"),0.0)</f>
        <v>0</v>
      </c>
      <c r="I16" s="24">
        <f>IFERROR(__xludf.DUMMYFUNCTION("COUNTUNIQUEIFS('Claim Sheet'!$A:$A,'Claim Sheet'!$C:$C,$B16,'Claim Sheet'!$M:$M,TRUE,'Claim Sheet'!$K:$K,I$3)"),0.0)</f>
        <v>0</v>
      </c>
      <c r="J16" s="24">
        <f>IFERROR(__xludf.DUMMYFUNCTION("COUNTUNIQUEIFS('Claim Sheet'!$A:$A,'Claim Sheet'!$C:$C,$B16,'Claim Sheet'!$M:$M,TRUE,'Claim Sheet'!$K:$K,J$3)"),0.0)</f>
        <v>0</v>
      </c>
      <c r="K16" s="24">
        <f>IFERROR(__xludf.DUMMYFUNCTION("COUNTUNIQUEIFS('Claim Sheet'!$A:$A,'Claim Sheet'!$C:$C,$B16,'Claim Sheet'!$M:$M,TRUE,'Claim Sheet'!$K:$K,K$3)"),0.0)</f>
        <v>0</v>
      </c>
      <c r="L16" s="24">
        <f t="shared" si="5"/>
        <v>7</v>
      </c>
      <c r="N16" s="43" t="str">
        <f>IFERROR(__xludf.DUMMYFUNCTION("""COMPUTED_VALUE"""),"Richards C")</f>
        <v>Richards C</v>
      </c>
      <c r="O16" s="90">
        <f>IFERROR(__xludf.DUMMYFUNCTION("COUNTUNIQUEIFS('New Onboards'!$A:$A,'New Onboards'!$C:$C,$N16,'New Onboards'!$J:$J,TRUE,'New Onboards'!$I:$I,O$3)"),0.0)</f>
        <v>0</v>
      </c>
      <c r="P16" s="90">
        <f>IFERROR(__xludf.DUMMYFUNCTION("COUNTUNIQUEIFS('New Onboards'!$A:$A,'New Onboards'!$C:$C,$N16,'New Onboards'!$J:$J,TRUE,'New Onboards'!$I:$I,P$3)"),0.0)</f>
        <v>0</v>
      </c>
      <c r="Q16" s="90">
        <f>IFERROR(__xludf.DUMMYFUNCTION("COUNTUNIQUEIFS('New Onboards'!$A:$A,'New Onboards'!$C:$C,$N16,'New Onboards'!$J:$J,TRUE,'New Onboards'!$I:$I,Q$3)"),2.0)</f>
        <v>2</v>
      </c>
      <c r="R16" s="24">
        <f>IFERROR(__xludf.DUMMYFUNCTION("COUNTUNIQUEIFS('New Onboards'!$A:$A,'New Onboards'!$C:$C,$N16,'New Onboards'!$J:$J,TRUE,'New Onboards'!$I:$I,R$3)"),0.0)</f>
        <v>0</v>
      </c>
      <c r="S16" s="90">
        <f>IFERROR(__xludf.DUMMYFUNCTION("COUNTUNIQUEIFS('New Onboards'!$A:$A,'New Onboards'!$C:$C,$N16,'New Onboards'!$J:$J,TRUE,'New Onboards'!$I:$I,S$3)"),0.0)</f>
        <v>0</v>
      </c>
      <c r="T16" s="90">
        <f>IFERROR(__xludf.DUMMYFUNCTION("COUNTUNIQUEIFS('New Onboards'!$A:$A,'New Onboards'!$C:$C,$N16,'New Onboards'!$J:$J,TRUE,'New Onboards'!$I:$I,T$3)"),0.0)</f>
        <v>0</v>
      </c>
      <c r="U16" s="90">
        <f>IFERROR(__xludf.DUMMYFUNCTION("COUNTUNIQUEIFS('New Onboards'!$A:$A,'New Onboards'!$C:$C,$N16,'New Onboards'!$J:$J,TRUE,'New Onboards'!$I:$I,U$3)"),0.0)</f>
        <v>0</v>
      </c>
      <c r="V16" s="90">
        <f>IFERROR(__xludf.DUMMYFUNCTION("COUNTUNIQUEIFS('New Onboards'!$A:$A,'New Onboards'!$C:$C,$N16,'New Onboards'!$J:$J,TRUE,'New Onboards'!$I:$I,V$3)"),0.0)</f>
        <v>0</v>
      </c>
      <c r="W16" s="90">
        <f>IFERROR(__xludf.DUMMYFUNCTION("COUNTUNIQUEIFS('New Onboards'!$A:$A,'New Onboards'!$C:$C,$N16,'New Onboards'!$J:$J,TRUE,'New Onboards'!$I:$I,W$3)"),0.0)</f>
        <v>0</v>
      </c>
      <c r="X16" s="24">
        <f t="shared" si="6"/>
        <v>2</v>
      </c>
    </row>
    <row r="17">
      <c r="B17" s="43" t="str">
        <f>IFERROR(__xludf.DUMMYFUNCTION("""COMPUTED_VALUE"""),"Megan S")</f>
        <v>Megan S</v>
      </c>
      <c r="C17" s="24">
        <f>IFERROR(__xludf.DUMMYFUNCTION("COUNTUNIQUEIFS('Claim Sheet'!$A:$A,'Claim Sheet'!$C:$C,$B17,'Claim Sheet'!$M:$M,TRUE,'Claim Sheet'!$K:$K,C$3)"),0.0)</f>
        <v>0</v>
      </c>
      <c r="D17" s="24">
        <f>IFERROR(__xludf.DUMMYFUNCTION("COUNTUNIQUEIFS('Claim Sheet'!$A:$A,'Claim Sheet'!$C:$C,$B17,'Claim Sheet'!$M:$M,TRUE,'Claim Sheet'!$K:$K,D$3)"),1.0)</f>
        <v>1</v>
      </c>
      <c r="E17" s="24">
        <f>IFERROR(__xludf.DUMMYFUNCTION("COUNTUNIQUEIFS('Claim Sheet'!$A:$A,'Claim Sheet'!$C:$C,$B17,'Claim Sheet'!$M:$M,TRUE,'Claim Sheet'!$K:$K,E$3)"),0.0)</f>
        <v>0</v>
      </c>
      <c r="F17" s="24">
        <f>IFERROR(__xludf.DUMMYFUNCTION("COUNTUNIQUEIFS('Claim Sheet'!$A:$A,'Claim Sheet'!$C:$C,$B17,'Claim Sheet'!$M:$M,TRUE,'Claim Sheet'!$K:$K,F$3)"),1.0)</f>
        <v>1</v>
      </c>
      <c r="G17" s="24">
        <f>IFERROR(__xludf.DUMMYFUNCTION("COUNTUNIQUEIFS('Claim Sheet'!$A:$A,'Claim Sheet'!$C:$C,$B17,'Claim Sheet'!$M:$M,TRUE,'Claim Sheet'!$K:$K,G$3)"),0.0)</f>
        <v>0</v>
      </c>
      <c r="H17" s="24">
        <f>IFERROR(__xludf.DUMMYFUNCTION("COUNTUNIQUEIFS('Claim Sheet'!$A:$A,'Claim Sheet'!$C:$C,$B17,'Claim Sheet'!$M:$M,TRUE,'Claim Sheet'!$K:$K,H$3)"),0.0)</f>
        <v>0</v>
      </c>
      <c r="I17" s="24">
        <f>IFERROR(__xludf.DUMMYFUNCTION("COUNTUNIQUEIFS('Claim Sheet'!$A:$A,'Claim Sheet'!$C:$C,$B17,'Claim Sheet'!$M:$M,TRUE,'Claim Sheet'!$K:$K,I$3)"),0.0)</f>
        <v>0</v>
      </c>
      <c r="J17" s="24">
        <f>IFERROR(__xludf.DUMMYFUNCTION("COUNTUNIQUEIFS('Claim Sheet'!$A:$A,'Claim Sheet'!$C:$C,$B17,'Claim Sheet'!$M:$M,TRUE,'Claim Sheet'!$K:$K,J$3)"),0.0)</f>
        <v>0</v>
      </c>
      <c r="K17" s="24">
        <f>IFERROR(__xludf.DUMMYFUNCTION("COUNTUNIQUEIFS('Claim Sheet'!$A:$A,'Claim Sheet'!$C:$C,$B17,'Claim Sheet'!$M:$M,TRUE,'Claim Sheet'!$K:$K,K$3)"),0.0)</f>
        <v>0</v>
      </c>
      <c r="L17" s="24">
        <f t="shared" si="5"/>
        <v>2</v>
      </c>
      <c r="N17" s="43" t="str">
        <f>IFERROR(__xludf.DUMMYFUNCTION("""COMPUTED_VALUE"""),"Sam M")</f>
        <v>Sam M</v>
      </c>
    </row>
    <row r="18">
      <c r="B18" s="43" t="str">
        <f>IFERROR(__xludf.DUMMYFUNCTION("""COMPUTED_VALUE"""),"Nadine M")</f>
        <v>Nadine M</v>
      </c>
      <c r="C18" s="24">
        <f>IFERROR(__xludf.DUMMYFUNCTION("COUNTUNIQUEIFS('Claim Sheet'!$A:$A,'Claim Sheet'!$C:$C,$B18,'Claim Sheet'!$M:$M,TRUE,'Claim Sheet'!$K:$K,C$3)"),0.0)</f>
        <v>0</v>
      </c>
      <c r="D18" s="24">
        <f>IFERROR(__xludf.DUMMYFUNCTION("COUNTUNIQUEIFS('Claim Sheet'!$A:$A,'Claim Sheet'!$C:$C,$B18,'Claim Sheet'!$M:$M,TRUE,'Claim Sheet'!$K:$K,D$3)"),0.0)</f>
        <v>0</v>
      </c>
      <c r="E18" s="24">
        <f>IFERROR(__xludf.DUMMYFUNCTION("COUNTUNIQUEIFS('Claim Sheet'!$A:$A,'Claim Sheet'!$C:$C,$B18,'Claim Sheet'!$M:$M,TRUE,'Claim Sheet'!$K:$K,E$3)"),1.0)</f>
        <v>1</v>
      </c>
      <c r="F18" s="24">
        <f>IFERROR(__xludf.DUMMYFUNCTION("COUNTUNIQUEIFS('Claim Sheet'!$A:$A,'Claim Sheet'!$C:$C,$B18,'Claim Sheet'!$M:$M,TRUE,'Claim Sheet'!$K:$K,F$3)"),3.0)</f>
        <v>3</v>
      </c>
      <c r="G18" s="24">
        <f>IFERROR(__xludf.DUMMYFUNCTION("COUNTUNIQUEIFS('Claim Sheet'!$A:$A,'Claim Sheet'!$C:$C,$B18,'Claim Sheet'!$M:$M,TRUE,'Claim Sheet'!$K:$K,G$3)"),2.0)</f>
        <v>2</v>
      </c>
      <c r="H18" s="24">
        <f>IFERROR(__xludf.DUMMYFUNCTION("COUNTUNIQUEIFS('Claim Sheet'!$A:$A,'Claim Sheet'!$C:$C,$B18,'Claim Sheet'!$M:$M,TRUE,'Claim Sheet'!$K:$K,H$3)"),0.0)</f>
        <v>0</v>
      </c>
      <c r="I18" s="24">
        <f>IFERROR(__xludf.DUMMYFUNCTION("COUNTUNIQUEIFS('Claim Sheet'!$A:$A,'Claim Sheet'!$C:$C,$B18,'Claim Sheet'!$M:$M,TRUE,'Claim Sheet'!$K:$K,I$3)"),0.0)</f>
        <v>0</v>
      </c>
      <c r="J18" s="24">
        <f>IFERROR(__xludf.DUMMYFUNCTION("COUNTUNIQUEIFS('Claim Sheet'!$A:$A,'Claim Sheet'!$C:$C,$B18,'Claim Sheet'!$M:$M,TRUE,'Claim Sheet'!$K:$K,J$3)"),0.0)</f>
        <v>0</v>
      </c>
      <c r="K18" s="24">
        <f>IFERROR(__xludf.DUMMYFUNCTION("COUNTUNIQUEIFS('Claim Sheet'!$A:$A,'Claim Sheet'!$C:$C,$B18,'Claim Sheet'!$M:$M,TRUE,'Claim Sheet'!$K:$K,K$3)"),0.0)</f>
        <v>0</v>
      </c>
      <c r="L18" s="24">
        <f t="shared" si="5"/>
        <v>6</v>
      </c>
      <c r="N18" s="43" t="str">
        <f>IFERROR(__xludf.DUMMYFUNCTION("""COMPUTED_VALUE"""),"Varun B")</f>
        <v>Varun B</v>
      </c>
    </row>
    <row r="19">
      <c r="B19" s="43" t="str">
        <f>IFERROR(__xludf.DUMMYFUNCTION("""COMPUTED_VALUE"""),"Nimisha M")</f>
        <v>Nimisha M</v>
      </c>
      <c r="C19" s="90">
        <f>IFERROR(__xludf.DUMMYFUNCTION("COUNTUNIQUEIFS('Claim Sheet'!$A:$A,'Claim Sheet'!$C:$C,$B19,'Claim Sheet'!$M:$M,TRUE,'Claim Sheet'!$K:$K,C$3)"),0.0)</f>
        <v>0</v>
      </c>
      <c r="D19" s="24">
        <f>IFERROR(__xludf.DUMMYFUNCTION("COUNTUNIQUEIFS('Claim Sheet'!$A:$A,'Claim Sheet'!$C:$C,$B19,'Claim Sheet'!$M:$M,TRUE,'Claim Sheet'!$K:$K,D$3)"),0.0)</f>
        <v>0</v>
      </c>
      <c r="E19" s="90">
        <f>IFERROR(__xludf.DUMMYFUNCTION("COUNTUNIQUEIFS('Claim Sheet'!$A:$A,'Claim Sheet'!$C:$C,$B19,'Claim Sheet'!$M:$M,TRUE,'Claim Sheet'!$K:$K,E$3)"),0.0)</f>
        <v>0</v>
      </c>
      <c r="F19" s="90">
        <f>IFERROR(__xludf.DUMMYFUNCTION("COUNTUNIQUEIFS('Claim Sheet'!$A:$A,'Claim Sheet'!$C:$C,$B19,'Claim Sheet'!$M:$M,TRUE,'Claim Sheet'!$K:$K,F$3)"),0.0)</f>
        <v>0</v>
      </c>
      <c r="G19" s="90">
        <f>IFERROR(__xludf.DUMMYFUNCTION("COUNTUNIQUEIFS('Claim Sheet'!$A:$A,'Claim Sheet'!$C:$C,$B19,'Claim Sheet'!$M:$M,TRUE,'Claim Sheet'!$K:$K,G$3)"),0.0)</f>
        <v>0</v>
      </c>
      <c r="H19" s="90">
        <f>IFERROR(__xludf.DUMMYFUNCTION("COUNTUNIQUEIFS('Claim Sheet'!$A:$A,'Claim Sheet'!$C:$C,$B19,'Claim Sheet'!$M:$M,TRUE,'Claim Sheet'!$K:$K,H$3)"),0.0)</f>
        <v>0</v>
      </c>
      <c r="I19" s="90">
        <f>IFERROR(__xludf.DUMMYFUNCTION("COUNTUNIQUEIFS('Claim Sheet'!$A:$A,'Claim Sheet'!$C:$C,$B19,'Claim Sheet'!$M:$M,TRUE,'Claim Sheet'!$K:$K,I$3)"),0.0)</f>
        <v>0</v>
      </c>
      <c r="J19" s="90">
        <f>IFERROR(__xludf.DUMMYFUNCTION("COUNTUNIQUEIFS('Claim Sheet'!$A:$A,'Claim Sheet'!$C:$C,$B19,'Claim Sheet'!$M:$M,TRUE,'Claim Sheet'!$K:$K,J$3)"),0.0)</f>
        <v>0</v>
      </c>
      <c r="K19" s="90">
        <f>IFERROR(__xludf.DUMMYFUNCTION("COUNTUNIQUEIFS('Claim Sheet'!$A:$A,'Claim Sheet'!$C:$C,$B19,'Claim Sheet'!$M:$M,TRUE,'Claim Sheet'!$K:$K,K$3)"),0.0)</f>
        <v>0</v>
      </c>
      <c r="L19" s="24">
        <f t="shared" si="5"/>
        <v>0</v>
      </c>
      <c r="N19" s="43" t="str">
        <f>IFERROR(__xludf.DUMMYFUNCTION("""COMPUTED_VALUE"""),"Vatelot B")</f>
        <v>Vatelot B</v>
      </c>
    </row>
    <row r="20">
      <c r="B20" s="43" t="str">
        <f>IFERROR(__xludf.DUMMYFUNCTION("""COMPUTED_VALUE"""),"Pragyat A")</f>
        <v>Pragyat A</v>
      </c>
      <c r="C20" s="90">
        <f>IFERROR(__xludf.DUMMYFUNCTION("COUNTUNIQUEIFS('Claim Sheet'!$A:$A,'Claim Sheet'!$C:$C,$B20,'Claim Sheet'!$M:$M,TRUE,'Claim Sheet'!$K:$K,C$3)"),2.0)</f>
        <v>2</v>
      </c>
      <c r="D20" s="24">
        <f>IFERROR(__xludf.DUMMYFUNCTION("COUNTUNIQUEIFS('Claim Sheet'!$A:$A,'Claim Sheet'!$C:$C,$B20,'Claim Sheet'!$M:$M,TRUE,'Claim Sheet'!$K:$K,D$3)"),0.0)</f>
        <v>0</v>
      </c>
      <c r="E20" s="90">
        <f>IFERROR(__xludf.DUMMYFUNCTION("COUNTUNIQUEIFS('Claim Sheet'!$A:$A,'Claim Sheet'!$C:$C,$B20,'Claim Sheet'!$M:$M,TRUE,'Claim Sheet'!$K:$K,E$3)"),0.0)</f>
        <v>0</v>
      </c>
      <c r="F20" s="90">
        <f>IFERROR(__xludf.DUMMYFUNCTION("COUNTUNIQUEIFS('Claim Sheet'!$A:$A,'Claim Sheet'!$C:$C,$B20,'Claim Sheet'!$M:$M,TRUE,'Claim Sheet'!$K:$K,F$3)"),0.0)</f>
        <v>0</v>
      </c>
      <c r="G20" s="90">
        <f>IFERROR(__xludf.DUMMYFUNCTION("COUNTUNIQUEIFS('Claim Sheet'!$A:$A,'Claim Sheet'!$C:$C,$B20,'Claim Sheet'!$M:$M,TRUE,'Claim Sheet'!$K:$K,G$3)"),4.0)</f>
        <v>4</v>
      </c>
      <c r="H20" s="90">
        <f>IFERROR(__xludf.DUMMYFUNCTION("COUNTUNIQUEIFS('Claim Sheet'!$A:$A,'Claim Sheet'!$C:$C,$B20,'Claim Sheet'!$M:$M,TRUE,'Claim Sheet'!$K:$K,H$3)"),0.0)</f>
        <v>0</v>
      </c>
      <c r="I20" s="90">
        <f>IFERROR(__xludf.DUMMYFUNCTION("COUNTUNIQUEIFS('Claim Sheet'!$A:$A,'Claim Sheet'!$C:$C,$B20,'Claim Sheet'!$M:$M,TRUE,'Claim Sheet'!$K:$K,I$3)"),0.0)</f>
        <v>0</v>
      </c>
      <c r="J20" s="90">
        <f>IFERROR(__xludf.DUMMYFUNCTION("COUNTUNIQUEIFS('Claim Sheet'!$A:$A,'Claim Sheet'!$C:$C,$B20,'Claim Sheet'!$M:$M,TRUE,'Claim Sheet'!$K:$K,J$3)"),0.0)</f>
        <v>0</v>
      </c>
      <c r="K20" s="90">
        <f>IFERROR(__xludf.DUMMYFUNCTION("COUNTUNIQUEIFS('Claim Sheet'!$A:$A,'Claim Sheet'!$C:$C,$B20,'Claim Sheet'!$M:$M,TRUE,'Claim Sheet'!$K:$K,K$3)"),0.0)</f>
        <v>0</v>
      </c>
      <c r="L20" s="24">
        <f t="shared" si="5"/>
        <v>6</v>
      </c>
    </row>
    <row r="21">
      <c r="B21" s="43" t="str">
        <f>IFERROR(__xludf.DUMMYFUNCTION("""COMPUTED_VALUE"""),"Pragyat A ")</f>
        <v>Pragyat A </v>
      </c>
      <c r="C21" s="24">
        <f>IFERROR(__xludf.DUMMYFUNCTION("COUNTUNIQUEIFS('Claim Sheet'!$A:$A,'Claim Sheet'!$C:$C,$B21,'Claim Sheet'!$M:$M,TRUE,'Claim Sheet'!$K:$K,C$3)"),0.0)</f>
        <v>0</v>
      </c>
      <c r="D21" s="24">
        <f>IFERROR(__xludf.DUMMYFUNCTION("COUNTUNIQUEIFS('Claim Sheet'!$A:$A,'Claim Sheet'!$C:$C,$B21,'Claim Sheet'!$M:$M,TRUE,'Claim Sheet'!$K:$K,D$3)"),0.0)</f>
        <v>0</v>
      </c>
      <c r="E21" s="24">
        <f>IFERROR(__xludf.DUMMYFUNCTION("COUNTUNIQUEIFS('Claim Sheet'!$A:$A,'Claim Sheet'!$C:$C,$B21,'Claim Sheet'!$M:$M,TRUE,'Claim Sheet'!$K:$K,E$3)"),0.0)</f>
        <v>0</v>
      </c>
      <c r="F21" s="24">
        <f>IFERROR(__xludf.DUMMYFUNCTION("COUNTUNIQUEIFS('Claim Sheet'!$A:$A,'Claim Sheet'!$C:$C,$B21,'Claim Sheet'!$M:$M,TRUE,'Claim Sheet'!$K:$K,F$3)"),0.0)</f>
        <v>0</v>
      </c>
      <c r="G21" s="24">
        <f>IFERROR(__xludf.DUMMYFUNCTION("COUNTUNIQUEIFS('Claim Sheet'!$A:$A,'Claim Sheet'!$C:$C,$B21,'Claim Sheet'!$M:$M,TRUE,'Claim Sheet'!$K:$K,G$3)"),1.0)</f>
        <v>1</v>
      </c>
      <c r="H21" s="24">
        <f>IFERROR(__xludf.DUMMYFUNCTION("COUNTUNIQUEIFS('Claim Sheet'!$A:$A,'Claim Sheet'!$C:$C,$B21,'Claim Sheet'!$M:$M,TRUE,'Claim Sheet'!$K:$K,H$3)"),0.0)</f>
        <v>0</v>
      </c>
      <c r="I21" s="24">
        <f>IFERROR(__xludf.DUMMYFUNCTION("COUNTUNIQUEIFS('Claim Sheet'!$A:$A,'Claim Sheet'!$C:$C,$B21,'Claim Sheet'!$M:$M,TRUE,'Claim Sheet'!$K:$K,I$3)"),0.0)</f>
        <v>0</v>
      </c>
      <c r="J21" s="24">
        <f>IFERROR(__xludf.DUMMYFUNCTION("COUNTUNIQUEIFS('Claim Sheet'!$A:$A,'Claim Sheet'!$C:$C,$B21,'Claim Sheet'!$M:$M,TRUE,'Claim Sheet'!$K:$K,J$3)"),0.0)</f>
        <v>0</v>
      </c>
      <c r="K21" s="24">
        <f>IFERROR(__xludf.DUMMYFUNCTION("COUNTUNIQUEIFS('Claim Sheet'!$A:$A,'Claim Sheet'!$C:$C,$B21,'Claim Sheet'!$M:$M,TRUE,'Claim Sheet'!$K:$K,K$3)"),0.0)</f>
        <v>0</v>
      </c>
      <c r="L21" s="24">
        <f t="shared" si="5"/>
        <v>1</v>
      </c>
    </row>
    <row r="22">
      <c r="B22" s="43" t="str">
        <f>IFERROR(__xludf.DUMMYFUNCTION("""COMPUTED_VALUE"""),"Richards C")</f>
        <v>Richards C</v>
      </c>
      <c r="C22" s="24">
        <f>IFERROR(__xludf.DUMMYFUNCTION("COUNTUNIQUEIFS('Claim Sheet'!$A:$A,'Claim Sheet'!$C:$C,$B22,'Claim Sheet'!$M:$M,TRUE,'Claim Sheet'!$K:$K,C$3)"),0.0)</f>
        <v>0</v>
      </c>
      <c r="D22" s="24">
        <f>IFERROR(__xludf.DUMMYFUNCTION("COUNTUNIQUEIFS('Claim Sheet'!$A:$A,'Claim Sheet'!$C:$C,$B22,'Claim Sheet'!$M:$M,TRUE,'Claim Sheet'!$K:$K,D$3)"),0.0)</f>
        <v>0</v>
      </c>
      <c r="E22" s="24">
        <f>IFERROR(__xludf.DUMMYFUNCTION("COUNTUNIQUEIFS('Claim Sheet'!$A:$A,'Claim Sheet'!$C:$C,$B22,'Claim Sheet'!$M:$M,TRUE,'Claim Sheet'!$K:$K,E$3)"),0.0)</f>
        <v>0</v>
      </c>
      <c r="F22" s="24">
        <f>IFERROR(__xludf.DUMMYFUNCTION("COUNTUNIQUEIFS('Claim Sheet'!$A:$A,'Claim Sheet'!$C:$C,$B22,'Claim Sheet'!$M:$M,TRUE,'Claim Sheet'!$K:$K,F$3)"),0.0)</f>
        <v>0</v>
      </c>
      <c r="G22" s="24">
        <f>IFERROR(__xludf.DUMMYFUNCTION("COUNTUNIQUEIFS('Claim Sheet'!$A:$A,'Claim Sheet'!$C:$C,$B22,'Claim Sheet'!$M:$M,TRUE,'Claim Sheet'!$K:$K,G$3)"),3.0)</f>
        <v>3</v>
      </c>
      <c r="H22" s="24">
        <f>IFERROR(__xludf.DUMMYFUNCTION("COUNTUNIQUEIFS('Claim Sheet'!$A:$A,'Claim Sheet'!$C:$C,$B22,'Claim Sheet'!$M:$M,TRUE,'Claim Sheet'!$K:$K,H$3)"),0.0)</f>
        <v>0</v>
      </c>
      <c r="I22" s="24">
        <f>IFERROR(__xludf.DUMMYFUNCTION("COUNTUNIQUEIFS('Claim Sheet'!$A:$A,'Claim Sheet'!$C:$C,$B22,'Claim Sheet'!$M:$M,TRUE,'Claim Sheet'!$K:$K,I$3)"),0.0)</f>
        <v>0</v>
      </c>
      <c r="J22" s="24">
        <f>IFERROR(__xludf.DUMMYFUNCTION("COUNTUNIQUEIFS('Claim Sheet'!$A:$A,'Claim Sheet'!$C:$C,$B22,'Claim Sheet'!$M:$M,TRUE,'Claim Sheet'!$K:$K,J$3)"),0.0)</f>
        <v>0</v>
      </c>
      <c r="K22" s="24">
        <f>IFERROR(__xludf.DUMMYFUNCTION("COUNTUNIQUEIFS('Claim Sheet'!$A:$A,'Claim Sheet'!$C:$C,$B22,'Claim Sheet'!$M:$M,TRUE,'Claim Sheet'!$K:$K,K$3)"),0.0)</f>
        <v>0</v>
      </c>
      <c r="L22" s="24">
        <f t="shared" si="5"/>
        <v>3</v>
      </c>
    </row>
    <row r="23">
      <c r="B23" s="43" t="str">
        <f>IFERROR(__xludf.DUMMYFUNCTION("""COMPUTED_VALUE"""),"Spencer H")</f>
        <v>Spencer H</v>
      </c>
    </row>
  </sheetData>
  <conditionalFormatting sqref="C4:K999 O4:W15">
    <cfRule type="cellIs" dxfId="0" priority="1"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91" t="s">
        <v>1461</v>
      </c>
      <c r="C2" s="92"/>
      <c r="D2" s="5"/>
      <c r="E2" s="5"/>
      <c r="F2" s="5"/>
      <c r="G2" s="5"/>
      <c r="H2" s="5"/>
    </row>
    <row r="3">
      <c r="B3" s="62" t="s">
        <v>1463</v>
      </c>
      <c r="C3" s="93">
        <f>COUNTIF('Model Decomp'!E:E,"True")</f>
        <v>39</v>
      </c>
      <c r="D3" s="5"/>
      <c r="E3" s="5"/>
      <c r="F3" s="5"/>
      <c r="G3" s="5"/>
      <c r="H3" s="5"/>
    </row>
    <row r="4">
      <c r="B4" s="62" t="s">
        <v>1464</v>
      </c>
      <c r="C4" s="93">
        <f>COUNTIF('Model Decomp'!K:K,"TRUE")</f>
        <v>20</v>
      </c>
      <c r="D4" s="5"/>
      <c r="E4" s="5"/>
      <c r="F4" s="5"/>
      <c r="G4" s="5"/>
      <c r="H4" s="5"/>
    </row>
    <row r="5">
      <c r="B5" s="8" t="s">
        <v>1465</v>
      </c>
      <c r="C5" s="5">
        <f>COUNTIF('Model Decomp'!$C$2:$C$148,"")</f>
        <v>46</v>
      </c>
      <c r="D5" s="5"/>
      <c r="E5" s="5"/>
      <c r="F5" s="5"/>
      <c r="G5" s="5"/>
      <c r="H5" s="5"/>
    </row>
    <row r="6">
      <c r="B6" s="5"/>
      <c r="C6" s="5"/>
      <c r="D6" s="5"/>
      <c r="E6" s="5"/>
      <c r="F6" s="5"/>
      <c r="G6" s="5"/>
      <c r="H6" s="5"/>
    </row>
    <row r="7">
      <c r="B7" s="5"/>
      <c r="C7" s="5"/>
      <c r="D7" s="5"/>
      <c r="E7" s="5"/>
      <c r="F7" s="5"/>
      <c r="G7" s="5"/>
      <c r="H7" s="5"/>
    </row>
    <row r="8">
      <c r="B8" s="5"/>
      <c r="C8" s="5"/>
      <c r="D8" s="5"/>
      <c r="E8" s="5"/>
      <c r="F8" s="5"/>
      <c r="G8" s="5"/>
      <c r="H8" s="5"/>
    </row>
    <row r="9">
      <c r="B9" s="94">
        <f>SUM(C9:H9)</f>
        <v>36</v>
      </c>
      <c r="C9" s="94">
        <f t="shared" ref="C9:H9" si="1">SUM(C12:C16)</f>
        <v>2</v>
      </c>
      <c r="D9" s="94">
        <f t="shared" si="1"/>
        <v>0</v>
      </c>
      <c r="E9" s="94">
        <f t="shared" si="1"/>
        <v>2</v>
      </c>
      <c r="F9" s="94">
        <f t="shared" si="1"/>
        <v>7</v>
      </c>
      <c r="G9" s="94">
        <f t="shared" si="1"/>
        <v>20</v>
      </c>
      <c r="H9" s="94">
        <f t="shared" si="1"/>
        <v>5</v>
      </c>
    </row>
    <row r="10">
      <c r="B10" s="91" t="s">
        <v>1463</v>
      </c>
      <c r="C10" s="92"/>
      <c r="D10" s="92"/>
      <c r="E10" s="92"/>
      <c r="F10" s="92"/>
      <c r="G10" s="92"/>
      <c r="H10" s="92"/>
    </row>
    <row r="11">
      <c r="B11" s="95" t="s">
        <v>1462</v>
      </c>
      <c r="C11" s="96">
        <v>46158.0</v>
      </c>
      <c r="D11" s="96">
        <v>46159.0</v>
      </c>
      <c r="E11" s="96">
        <v>46160.0</v>
      </c>
      <c r="F11" s="96">
        <v>46161.0</v>
      </c>
      <c r="G11" s="96">
        <v>46162.0</v>
      </c>
      <c r="H11" s="96">
        <v>46163.0</v>
      </c>
    </row>
    <row r="12">
      <c r="B12" s="62" t="s">
        <v>408</v>
      </c>
      <c r="C12" s="93">
        <f>COUNTIFS('Model Decomp'!$E:$E,"TRUE",'Model Decomp'!$C:$C,$B12,'Model Decomp'!$G:$G,C$11)</f>
        <v>0</v>
      </c>
      <c r="D12" s="93">
        <f>COUNTIFS('Model Decomp'!$E:$E,"TRUE",'Model Decomp'!$C:$C,$B12,'Model Decomp'!$G:$G,D$11)</f>
        <v>0</v>
      </c>
      <c r="E12" s="93">
        <f>COUNTIFS('Model Decomp'!$E:$E,"TRUE",'Model Decomp'!$C:$C,$B12,'Model Decomp'!$G:$G,E$11)</f>
        <v>0</v>
      </c>
      <c r="F12" s="93">
        <f>COUNTIFS('Model Decomp'!$E:$E,"TRUE",'Model Decomp'!$C:$C,$B12,'Model Decomp'!$G:$G,F$11)</f>
        <v>0</v>
      </c>
      <c r="G12" s="93">
        <f>COUNTIFS('Model Decomp'!$E:$E,"TRUE",'Model Decomp'!$C:$C,$B12,'Model Decomp'!$G:$G,G$11)</f>
        <v>0</v>
      </c>
      <c r="H12" s="93">
        <f>COUNTIFS('Model Decomp'!$E:$E,"TRUE",'Model Decomp'!$C:$C,$B12,'Model Decomp'!$G:$G,H$11)</f>
        <v>0</v>
      </c>
    </row>
    <row r="13">
      <c r="B13" s="62" t="s">
        <v>68</v>
      </c>
      <c r="C13" s="93">
        <f>COUNTIFS('Model Decomp'!$E:$E,"TRUE",'Model Decomp'!$C:$C,$B13,'Model Decomp'!$G:$G,C$11)</f>
        <v>0</v>
      </c>
      <c r="D13" s="93">
        <f>COUNTIFS('Model Decomp'!$E:$E,"TRUE",'Model Decomp'!$C:$C,$B13,'Model Decomp'!$G:$G,D$11)</f>
        <v>0</v>
      </c>
      <c r="E13" s="93">
        <f>COUNTIFS('Model Decomp'!$E:$E,"TRUE",'Model Decomp'!$C:$C,$B13,'Model Decomp'!$G:$G,E$11)</f>
        <v>0</v>
      </c>
      <c r="F13" s="93">
        <f>COUNTIFS('Model Decomp'!$E:$E,"TRUE",'Model Decomp'!$C:$C,$B13,'Model Decomp'!$G:$G,F$11)</f>
        <v>5</v>
      </c>
      <c r="G13" s="93">
        <f>COUNTIFS('Model Decomp'!$E:$E,"TRUE",'Model Decomp'!$C:$C,$B13,'Model Decomp'!$G:$G,G$11)</f>
        <v>6</v>
      </c>
      <c r="H13" s="93">
        <f>COUNTIFS('Model Decomp'!$E:$E,"TRUE",'Model Decomp'!$C:$C,$B13,'Model Decomp'!$G:$G,H$11)</f>
        <v>5</v>
      </c>
    </row>
    <row r="14">
      <c r="B14" s="62" t="s">
        <v>150</v>
      </c>
      <c r="C14" s="93">
        <f>COUNTIFS('Model Decomp'!$E:$E,"TRUE",'Model Decomp'!$C:$C,$B14,'Model Decomp'!$G:$G,C$11)</f>
        <v>2</v>
      </c>
      <c r="D14" s="93">
        <f>COUNTIFS('Model Decomp'!$E:$E,"TRUE",'Model Decomp'!$C:$C,$B14,'Model Decomp'!$G:$G,D$11)</f>
        <v>0</v>
      </c>
      <c r="E14" s="93">
        <f>COUNTIFS('Model Decomp'!$E:$E,"TRUE",'Model Decomp'!$C:$C,$B14,'Model Decomp'!$G:$G,E$11)</f>
        <v>2</v>
      </c>
      <c r="F14" s="93">
        <f>COUNTIFS('Model Decomp'!$E:$E,"TRUE",'Model Decomp'!$C:$C,$B14,'Model Decomp'!$G:$G,F$11)</f>
        <v>1</v>
      </c>
      <c r="G14" s="93">
        <f>COUNTIFS('Model Decomp'!$E:$E,"TRUE",'Model Decomp'!$C:$C,$B14,'Model Decomp'!$G:$G,G$11)</f>
        <v>13</v>
      </c>
      <c r="H14" s="93">
        <f>COUNTIFS('Model Decomp'!$E:$E,"TRUE",'Model Decomp'!$C:$C,$B14,'Model Decomp'!$G:$G,H$11)</f>
        <v>0</v>
      </c>
    </row>
    <row r="15">
      <c r="B15" s="62" t="s">
        <v>62</v>
      </c>
      <c r="C15" s="93">
        <f>COUNTIFS('Model Decomp'!$E:$E,"TRUE",'Model Decomp'!$C:$C,$B15,'Model Decomp'!$G:$G,C$11)</f>
        <v>0</v>
      </c>
      <c r="D15" s="93">
        <f>COUNTIFS('Model Decomp'!$E:$E,"TRUE",'Model Decomp'!$C:$C,$B15,'Model Decomp'!$G:$G,D$11)</f>
        <v>0</v>
      </c>
      <c r="E15" s="93">
        <f>COUNTIFS('Model Decomp'!$E:$E,"TRUE",'Model Decomp'!$C:$C,$B15,'Model Decomp'!$G:$G,E$11)</f>
        <v>0</v>
      </c>
      <c r="F15" s="93">
        <f>COUNTIFS('Model Decomp'!$E:$E,"TRUE",'Model Decomp'!$C:$C,$B15,'Model Decomp'!$G:$G,F$11)</f>
        <v>1</v>
      </c>
      <c r="G15" s="93">
        <f>COUNTIFS('Model Decomp'!$E:$E,"TRUE",'Model Decomp'!$C:$C,$B15,'Model Decomp'!$G:$G,G$11)</f>
        <v>1</v>
      </c>
      <c r="H15" s="93">
        <f>COUNTIFS('Model Decomp'!$E:$E,"TRUE",'Model Decomp'!$C:$C,$B15,'Model Decomp'!$G:$G,H$11)</f>
        <v>0</v>
      </c>
    </row>
    <row r="16">
      <c r="B16" s="62" t="s">
        <v>36</v>
      </c>
      <c r="C16" s="93">
        <f>COUNTIFS('Model Decomp'!$E:$E,"TRUE",'Model Decomp'!$C:$C,$B16,'Model Decomp'!$G:$G,C$11)</f>
        <v>0</v>
      </c>
      <c r="D16" s="93">
        <f>COUNTIFS('Model Decomp'!$E:$E,"TRUE",'Model Decomp'!$C:$C,$B16,'Model Decomp'!$G:$G,D$11)</f>
        <v>0</v>
      </c>
      <c r="E16" s="93">
        <f>COUNTIFS('Model Decomp'!$E:$E,"TRUE",'Model Decomp'!$C:$C,$B16,'Model Decomp'!$G:$G,E$11)</f>
        <v>0</v>
      </c>
      <c r="F16" s="93">
        <f>COUNTIFS('Model Decomp'!$E:$E,"TRUE",'Model Decomp'!$C:$C,$B16,'Model Decomp'!$G:$G,F$11)</f>
        <v>0</v>
      </c>
      <c r="G16" s="93">
        <f>COUNTIFS('Model Decomp'!$E:$E,"TRUE",'Model Decomp'!$C:$C,$B16,'Model Decomp'!$G:$G,G$11)</f>
        <v>0</v>
      </c>
      <c r="H16" s="93">
        <f>COUNTIFS('Model Decomp'!$E:$E,"TRUE",'Model Decomp'!$C:$C,$B16,'Model Decomp'!$G:$G,H$11)</f>
        <v>0</v>
      </c>
    </row>
    <row r="17">
      <c r="B17" s="5"/>
      <c r="C17" s="5"/>
      <c r="D17" s="5"/>
      <c r="E17" s="5"/>
      <c r="F17" s="5"/>
      <c r="G17" s="5"/>
      <c r="H17" s="5"/>
    </row>
    <row r="18">
      <c r="B18" s="5"/>
      <c r="C18" s="5"/>
      <c r="D18" s="5"/>
      <c r="E18" s="5"/>
      <c r="F18" s="5"/>
      <c r="G18" s="5"/>
      <c r="H18" s="5"/>
    </row>
    <row r="19">
      <c r="B19" s="94">
        <f>SUM(C19:H19)</f>
        <v>20</v>
      </c>
      <c r="C19" s="94">
        <f t="shared" ref="C19:H19" si="2">SUM(C22:C26)</f>
        <v>0</v>
      </c>
      <c r="D19" s="94">
        <f t="shared" si="2"/>
        <v>0</v>
      </c>
      <c r="E19" s="94">
        <f t="shared" si="2"/>
        <v>2</v>
      </c>
      <c r="F19" s="94">
        <f t="shared" si="2"/>
        <v>0</v>
      </c>
      <c r="G19" s="94">
        <f t="shared" si="2"/>
        <v>12</v>
      </c>
      <c r="H19" s="94">
        <f t="shared" si="2"/>
        <v>6</v>
      </c>
    </row>
    <row r="20">
      <c r="B20" s="91" t="s">
        <v>1464</v>
      </c>
      <c r="C20" s="92"/>
      <c r="D20" s="92"/>
      <c r="E20" s="92"/>
      <c r="F20" s="92"/>
      <c r="G20" s="92"/>
      <c r="H20" s="92"/>
    </row>
    <row r="21">
      <c r="B21" s="95" t="s">
        <v>1462</v>
      </c>
      <c r="C21" s="96">
        <v>46158.0</v>
      </c>
      <c r="D21" s="96">
        <v>46159.0</v>
      </c>
      <c r="E21" s="96">
        <v>46160.0</v>
      </c>
      <c r="F21" s="96">
        <v>46161.0</v>
      </c>
      <c r="G21" s="96">
        <v>46162.0</v>
      </c>
      <c r="H21" s="96">
        <v>46163.0</v>
      </c>
    </row>
    <row r="22">
      <c r="B22" s="62" t="s">
        <v>408</v>
      </c>
      <c r="C22" s="93">
        <f>COUNTIFS('Model Decomp'!$K:$K,"TRUE",'Model Decomp'!$C:$C,$B22,'Model Decomp'!$L:$L,C$21)</f>
        <v>0</v>
      </c>
      <c r="D22" s="93">
        <f>COUNTIFS('Model Decomp'!$K:$K,"TRUE",'Model Decomp'!$C:$C,$B22,'Model Decomp'!$L:$L,D$21)</f>
        <v>0</v>
      </c>
      <c r="E22" s="93">
        <f>COUNTIFS('Model Decomp'!$K:$K,"TRUE",'Model Decomp'!$C:$C,$B22,'Model Decomp'!$L:$L,E$21)</f>
        <v>0</v>
      </c>
      <c r="F22" s="93">
        <f>COUNTIFS('Model Decomp'!$K:$K,"TRUE",'Model Decomp'!$C:$C,$B22,'Model Decomp'!$L:$L,F$21)</f>
        <v>0</v>
      </c>
      <c r="G22" s="93">
        <f>COUNTIFS('Model Decomp'!$K:$K,"TRUE",'Model Decomp'!$C:$C,$B22,'Model Decomp'!$L:$L,G$21)</f>
        <v>0</v>
      </c>
      <c r="H22" s="93">
        <f>COUNTIFS('Model Decomp'!$K:$K,"TRUE",'Model Decomp'!$C:$C,$B22,'Model Decomp'!$L:$L,H$21)</f>
        <v>0</v>
      </c>
    </row>
    <row r="23">
      <c r="B23" s="62" t="s">
        <v>68</v>
      </c>
      <c r="C23" s="93">
        <f>COUNTIFS('Model Decomp'!$K:$K,"TRUE",'Model Decomp'!$C:$C,$B23,'Model Decomp'!$L:$L,C$21)</f>
        <v>0</v>
      </c>
      <c r="D23" s="93">
        <f>COUNTIFS('Model Decomp'!$K:$K,"TRUE",'Model Decomp'!$C:$C,$B23,'Model Decomp'!$L:$L,D$21)</f>
        <v>0</v>
      </c>
      <c r="E23" s="93">
        <f>COUNTIFS('Model Decomp'!$K:$K,"TRUE",'Model Decomp'!$C:$C,$B23,'Model Decomp'!$L:$L,E$21)</f>
        <v>0</v>
      </c>
      <c r="F23" s="93">
        <f>COUNTIFS('Model Decomp'!$K:$K,"TRUE",'Model Decomp'!$C:$C,$B23,'Model Decomp'!$L:$L,F$21)</f>
        <v>0</v>
      </c>
      <c r="G23" s="93">
        <f>COUNTIFS('Model Decomp'!$K:$K,"TRUE",'Model Decomp'!$C:$C,$B23,'Model Decomp'!$L:$L,G$21)</f>
        <v>1</v>
      </c>
      <c r="H23" s="93">
        <f>COUNTIFS('Model Decomp'!$K:$K,"TRUE",'Model Decomp'!$C:$C,$B23,'Model Decomp'!$L:$L,H$21)</f>
        <v>4</v>
      </c>
    </row>
    <row r="24">
      <c r="B24" s="62" t="s">
        <v>150</v>
      </c>
      <c r="C24" s="93">
        <f>COUNTIFS('Model Decomp'!$K:$K,"TRUE",'Model Decomp'!$C:$C,$B24,'Model Decomp'!$L:$L,C$21)</f>
        <v>0</v>
      </c>
      <c r="D24" s="93">
        <f>COUNTIFS('Model Decomp'!$K:$K,"TRUE",'Model Decomp'!$C:$C,$B24,'Model Decomp'!$L:$L,D$21)</f>
        <v>0</v>
      </c>
      <c r="E24" s="93">
        <f>COUNTIFS('Model Decomp'!$K:$K,"TRUE",'Model Decomp'!$C:$C,$B24,'Model Decomp'!$L:$L,E$21)</f>
        <v>2</v>
      </c>
      <c r="F24" s="93">
        <f>COUNTIFS('Model Decomp'!$K:$K,"TRUE",'Model Decomp'!$C:$C,$B24,'Model Decomp'!$L:$L,F$21)</f>
        <v>0</v>
      </c>
      <c r="G24" s="93">
        <f>COUNTIFS('Model Decomp'!$K:$K,"TRUE",'Model Decomp'!$C:$C,$B24,'Model Decomp'!$L:$L,G$21)</f>
        <v>10</v>
      </c>
      <c r="H24" s="93">
        <f>COUNTIFS('Model Decomp'!$K:$K,"TRUE",'Model Decomp'!$C:$C,$B24,'Model Decomp'!$L:$L,H$21)</f>
        <v>2</v>
      </c>
    </row>
    <row r="25">
      <c r="B25" s="62" t="s">
        <v>62</v>
      </c>
      <c r="C25" s="93">
        <f>COUNTIFS('Model Decomp'!$K:$K,"TRUE",'Model Decomp'!$C:$C,$B25,'Model Decomp'!$L:$L,C$21)</f>
        <v>0</v>
      </c>
      <c r="D25" s="93">
        <f>COUNTIFS('Model Decomp'!$K:$K,"TRUE",'Model Decomp'!$C:$C,$B25,'Model Decomp'!$L:$L,D$21)</f>
        <v>0</v>
      </c>
      <c r="E25" s="93">
        <f>COUNTIFS('Model Decomp'!$K:$K,"TRUE",'Model Decomp'!$C:$C,$B25,'Model Decomp'!$L:$L,E$21)</f>
        <v>0</v>
      </c>
      <c r="F25" s="93">
        <f>COUNTIFS('Model Decomp'!$K:$K,"TRUE",'Model Decomp'!$C:$C,$B25,'Model Decomp'!$L:$L,F$21)</f>
        <v>0</v>
      </c>
      <c r="G25" s="93">
        <f>COUNTIFS('Model Decomp'!$K:$K,"TRUE",'Model Decomp'!$C:$C,$B25,'Model Decomp'!$L:$L,G$21)</f>
        <v>1</v>
      </c>
      <c r="H25" s="93">
        <f>COUNTIFS('Model Decomp'!$K:$K,"TRUE",'Model Decomp'!$C:$C,$B25,'Model Decomp'!$L:$L,H$21)</f>
        <v>0</v>
      </c>
    </row>
    <row r="26">
      <c r="B26" s="62" t="s">
        <v>36</v>
      </c>
      <c r="C26" s="93">
        <f>COUNTIFS('Model Decomp'!$K:$K,"TRUE",'Model Decomp'!$C:$C,$B26,'Model Decomp'!$L:$L,C$21)</f>
        <v>0</v>
      </c>
      <c r="D26" s="93">
        <f>COUNTIFS('Model Decomp'!$K:$K,"TRUE",'Model Decomp'!$C:$C,$B26,'Model Decomp'!$L:$L,D$21)</f>
        <v>0</v>
      </c>
      <c r="E26" s="93">
        <f>COUNTIFS('Model Decomp'!$K:$K,"TRUE",'Model Decomp'!$C:$C,$B26,'Model Decomp'!$L:$L,E$21)</f>
        <v>0</v>
      </c>
      <c r="F26" s="93">
        <f>COUNTIFS('Model Decomp'!$K:$K,"TRUE",'Model Decomp'!$C:$C,$B26,'Model Decomp'!$L:$L,F$21)</f>
        <v>0</v>
      </c>
      <c r="G26" s="93">
        <f>COUNTIFS('Model Decomp'!$K:$K,"TRUE",'Model Decomp'!$C:$C,$B26,'Model Decomp'!$L:$L,G$21)</f>
        <v>0</v>
      </c>
      <c r="H26" s="93">
        <f>COUNTIFS('Model Decomp'!$K:$K,"TRUE",'Model Decomp'!$C:$C,$B26,'Model Decomp'!$L:$L,H$21)</f>
        <v>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6.0"/>
    <col customWidth="1" min="3" max="3" width="20.0"/>
    <col customWidth="1" min="4" max="4" width="18.88"/>
    <col customWidth="1" min="5" max="5" width="9.88"/>
    <col customWidth="1" min="6" max="6" width="14.0"/>
    <col customWidth="1" min="7" max="7" width="14.75"/>
    <col customWidth="1" min="8" max="9" width="13.75"/>
    <col customWidth="1" min="10" max="10" width="13.63"/>
    <col customWidth="1" min="11" max="11" width="13.75"/>
    <col customWidth="1" min="12" max="12" width="21.38"/>
    <col customWidth="1" min="13" max="13" width="21.25"/>
    <col customWidth="1" min="14" max="14" width="15.88"/>
    <col customWidth="1" min="15" max="15" width="20.63"/>
    <col customWidth="1" min="16" max="16" width="34.88"/>
  </cols>
  <sheetData>
    <row r="1">
      <c r="A1" s="68" t="s">
        <v>0</v>
      </c>
      <c r="B1" s="68" t="s">
        <v>1</v>
      </c>
      <c r="C1" s="68" t="s">
        <v>1375</v>
      </c>
      <c r="D1" s="68" t="s">
        <v>3</v>
      </c>
      <c r="E1" s="68" t="s">
        <v>4</v>
      </c>
      <c r="F1" s="68" t="s">
        <v>5</v>
      </c>
      <c r="G1" s="97" t="s">
        <v>5</v>
      </c>
      <c r="H1" s="68" t="s">
        <v>7</v>
      </c>
      <c r="I1" s="69" t="s">
        <v>8</v>
      </c>
      <c r="J1" s="68" t="s">
        <v>9</v>
      </c>
      <c r="K1" s="68" t="s">
        <v>11</v>
      </c>
      <c r="L1" s="68" t="s">
        <v>1466</v>
      </c>
      <c r="M1" s="68" t="s">
        <v>1467</v>
      </c>
      <c r="N1" s="70" t="s">
        <v>1376</v>
      </c>
      <c r="O1" s="70" t="s">
        <v>1377</v>
      </c>
      <c r="P1" s="71" t="s">
        <v>1378</v>
      </c>
      <c r="Q1" s="98"/>
      <c r="R1" s="98"/>
      <c r="S1" s="98"/>
      <c r="T1" s="98"/>
      <c r="U1" s="98"/>
      <c r="V1" s="98"/>
      <c r="W1" s="98"/>
    </row>
    <row r="2">
      <c r="A2" s="5" t="s">
        <v>207</v>
      </c>
      <c r="B2" s="6" t="str">
        <f t="shared" ref="B2:B20" si="1">concat("https://www.tsip.ai/force/",A2)</f>
        <v>https://www.tsip.ai/force/455a84b6-0dec-4e36-9f0c-a49a25261eda</v>
      </c>
      <c r="C2" s="7"/>
      <c r="D2" s="5"/>
      <c r="E2" s="5"/>
      <c r="F2" s="9"/>
      <c r="G2" s="9"/>
      <c r="H2" s="9"/>
      <c r="I2" s="9"/>
      <c r="J2" s="5"/>
      <c r="K2" s="5" t="b">
        <v>0</v>
      </c>
      <c r="M2" s="5" t="b">
        <v>0</v>
      </c>
      <c r="O2" s="5"/>
    </row>
    <row r="3">
      <c r="A3" s="5" t="s">
        <v>209</v>
      </c>
      <c r="B3" s="6" t="str">
        <f t="shared" si="1"/>
        <v>https://www.tsip.ai/force/e3c878e1-31cc-44a5-9d12-3045a0475fdd</v>
      </c>
      <c r="C3" s="7"/>
      <c r="D3" s="5"/>
      <c r="E3" s="5"/>
      <c r="F3" s="9"/>
      <c r="G3" s="9"/>
      <c r="H3" s="9"/>
      <c r="I3" s="9"/>
      <c r="J3" s="5"/>
      <c r="K3" s="5" t="b">
        <v>0</v>
      </c>
      <c r="M3" s="5" t="b">
        <v>0</v>
      </c>
      <c r="O3" s="5"/>
    </row>
    <row r="4">
      <c r="A4" s="5" t="s">
        <v>211</v>
      </c>
      <c r="B4" s="6" t="str">
        <f t="shared" si="1"/>
        <v>https://www.tsip.ai/force/36ab5d58-e3a7-40e2-9388-e1d156a775f7</v>
      </c>
      <c r="D4" s="5"/>
      <c r="E4" s="5"/>
      <c r="F4" s="9"/>
      <c r="G4" s="9"/>
      <c r="H4" s="9"/>
      <c r="I4" s="9"/>
      <c r="J4" s="5"/>
      <c r="K4" s="5" t="b">
        <v>0</v>
      </c>
      <c r="M4" s="5" t="b">
        <v>0</v>
      </c>
      <c r="O4" s="5"/>
    </row>
    <row r="5">
      <c r="A5" s="5" t="s">
        <v>202</v>
      </c>
      <c r="B5" s="6" t="str">
        <f t="shared" si="1"/>
        <v>https://www.tsip.ai/force/bcdd0085-aeb2-483b-937b-3eca8c90a71a</v>
      </c>
      <c r="C5" s="4" t="s">
        <v>1468</v>
      </c>
      <c r="D5" s="5"/>
      <c r="E5" s="5"/>
      <c r="F5" s="9"/>
      <c r="G5" s="9"/>
      <c r="H5" s="9"/>
      <c r="I5" s="9"/>
      <c r="J5" s="5"/>
      <c r="K5" s="5" t="b">
        <v>0</v>
      </c>
      <c r="M5" s="5" t="b">
        <v>0</v>
      </c>
      <c r="O5" s="5"/>
    </row>
    <row r="6">
      <c r="A6" s="5" t="s">
        <v>1469</v>
      </c>
      <c r="B6" s="6" t="str">
        <f t="shared" si="1"/>
        <v>https://www.tsip.ai/force/1c85bdc2-97c0-46f9-bdc1-09c3c8216c0e</v>
      </c>
      <c r="C6" s="4" t="s">
        <v>1468</v>
      </c>
      <c r="D6" s="5"/>
      <c r="E6" s="5"/>
      <c r="F6" s="9"/>
      <c r="G6" s="9"/>
      <c r="H6" s="9"/>
      <c r="I6" s="9"/>
      <c r="J6" s="5"/>
      <c r="K6" s="5" t="b">
        <v>0</v>
      </c>
      <c r="M6" s="5" t="b">
        <v>0</v>
      </c>
      <c r="O6" s="5"/>
    </row>
    <row r="7">
      <c r="A7" s="5" t="s">
        <v>13</v>
      </c>
      <c r="B7" s="6" t="str">
        <f t="shared" si="1"/>
        <v>https://www.tsip.ai/force/7a807980-2578-4689-9a0a-784ea3d33e86</v>
      </c>
      <c r="F7" s="9"/>
      <c r="G7" s="9"/>
      <c r="H7" s="9"/>
      <c r="I7" s="9"/>
      <c r="K7" s="5" t="b">
        <v>0</v>
      </c>
      <c r="M7" s="5" t="b">
        <v>0</v>
      </c>
      <c r="O7" s="5"/>
    </row>
    <row r="8">
      <c r="A8" s="5" t="s">
        <v>17</v>
      </c>
      <c r="B8" s="6" t="str">
        <f t="shared" si="1"/>
        <v>https://www.tsip.ai/force/44ac67cb-1bb6-4667-8756-b22d439ca759</v>
      </c>
      <c r="F8" s="9"/>
      <c r="G8" s="9"/>
      <c r="H8" s="9"/>
      <c r="I8" s="9"/>
      <c r="K8" s="5" t="b">
        <v>0</v>
      </c>
      <c r="M8" s="5" t="b">
        <v>0</v>
      </c>
      <c r="O8" s="5"/>
    </row>
    <row r="9">
      <c r="A9" s="5" t="s">
        <v>20</v>
      </c>
      <c r="B9" s="6" t="str">
        <f t="shared" si="1"/>
        <v>https://www.tsip.ai/force/65be1d3a-83f6-4e28-9f85-b3a419a84fd6</v>
      </c>
      <c r="F9" s="9"/>
      <c r="G9" s="9"/>
      <c r="H9" s="9"/>
      <c r="I9" s="9"/>
      <c r="K9" s="5" t="b">
        <v>0</v>
      </c>
      <c r="M9" s="5" t="b">
        <v>0</v>
      </c>
      <c r="O9" s="5"/>
    </row>
    <row r="10">
      <c r="A10" s="5" t="s">
        <v>23</v>
      </c>
      <c r="B10" s="6" t="str">
        <f t="shared" si="1"/>
        <v>https://www.tsip.ai/force/2f1fdba6-a805-483f-810e-035773eb691d</v>
      </c>
      <c r="F10" s="9"/>
      <c r="G10" s="9"/>
      <c r="H10" s="9"/>
      <c r="I10" s="9"/>
      <c r="K10" s="5" t="b">
        <v>0</v>
      </c>
      <c r="M10" s="5" t="b">
        <v>0</v>
      </c>
      <c r="O10" s="5"/>
    </row>
    <row r="11">
      <c r="A11" s="5" t="s">
        <v>50</v>
      </c>
      <c r="B11" s="6" t="str">
        <f t="shared" si="1"/>
        <v>https://www.tsip.ai/force/e66fa748-66f4-4f25-b521-834f0ba81ff4</v>
      </c>
      <c r="D11" s="5" t="s">
        <v>1470</v>
      </c>
      <c r="E11" s="24"/>
      <c r="F11" s="24"/>
      <c r="G11" s="28"/>
      <c r="H11" s="46"/>
      <c r="I11" s="6"/>
      <c r="J11" s="18">
        <v>46154.0</v>
      </c>
      <c r="K11" s="46" t="b">
        <v>1</v>
      </c>
      <c r="L11" s="13"/>
      <c r="M11" s="5" t="b">
        <v>0</v>
      </c>
      <c r="N11" s="5" t="s">
        <v>1471</v>
      </c>
      <c r="O11" s="24">
        <v>2.0</v>
      </c>
      <c r="P11" s="99" t="s">
        <v>1472</v>
      </c>
    </row>
    <row r="12">
      <c r="A12" s="5" t="s">
        <v>54</v>
      </c>
      <c r="B12" s="6" t="str">
        <f t="shared" si="1"/>
        <v>https://www.tsip.ai/force/90bbed8a-b185-4f3d-96d0-b1527582ae9b</v>
      </c>
      <c r="D12" s="5" t="s">
        <v>1473</v>
      </c>
      <c r="E12" s="24"/>
      <c r="F12" s="24"/>
      <c r="G12" s="28"/>
      <c r="H12" s="46"/>
      <c r="I12" s="6"/>
      <c r="J12" s="18">
        <v>46154.0</v>
      </c>
      <c r="K12" s="46" t="b">
        <v>1</v>
      </c>
      <c r="L12" s="13"/>
      <c r="M12" s="5" t="b">
        <v>0</v>
      </c>
      <c r="N12" s="5" t="s">
        <v>1474</v>
      </c>
      <c r="O12" s="5"/>
      <c r="P12" s="5"/>
    </row>
    <row r="13">
      <c r="A13" s="5" t="s">
        <v>66</v>
      </c>
      <c r="B13" s="6" t="str">
        <f t="shared" si="1"/>
        <v>https://www.tsip.ai/force/a2cea33d-12d0-44ca-a889-a81ace87c570</v>
      </c>
      <c r="D13" s="5" t="s">
        <v>1475</v>
      </c>
      <c r="E13" s="24"/>
      <c r="F13" s="24"/>
      <c r="G13" s="28"/>
      <c r="H13" s="46"/>
      <c r="I13" s="6"/>
      <c r="J13" s="18">
        <v>46155.0</v>
      </c>
      <c r="K13" s="46" t="b">
        <v>1</v>
      </c>
      <c r="L13" s="13"/>
      <c r="M13" s="5" t="b">
        <v>0</v>
      </c>
      <c r="N13" s="8" t="s">
        <v>1476</v>
      </c>
      <c r="O13" s="5"/>
      <c r="P13" s="5"/>
    </row>
    <row r="14">
      <c r="A14" s="5" t="s">
        <v>133</v>
      </c>
      <c r="B14" s="6" t="str">
        <f t="shared" si="1"/>
        <v>https://www.tsip.ai/force/8d6779ec-df84-4fcb-8d42-17100bec979c</v>
      </c>
      <c r="D14" s="5" t="s">
        <v>1477</v>
      </c>
      <c r="E14" s="24"/>
      <c r="F14" s="24"/>
      <c r="G14" s="28"/>
      <c r="H14" s="46"/>
      <c r="I14" s="6"/>
      <c r="J14" s="18">
        <v>46155.0</v>
      </c>
      <c r="K14" s="46" t="b">
        <v>1</v>
      </c>
      <c r="L14" s="13"/>
      <c r="M14" s="8" t="b">
        <v>1</v>
      </c>
      <c r="N14" s="5" t="s">
        <v>1471</v>
      </c>
      <c r="O14" s="24">
        <v>2.0</v>
      </c>
      <c r="P14" s="99" t="s">
        <v>1478</v>
      </c>
    </row>
    <row r="15">
      <c r="A15" s="5" t="s">
        <v>139</v>
      </c>
      <c r="B15" s="6" t="str">
        <f t="shared" si="1"/>
        <v>https://www.tsip.ai/force/6be2cad2-d839-433a-837f-ead416902d88</v>
      </c>
      <c r="D15" s="5" t="s">
        <v>1479</v>
      </c>
      <c r="E15" s="24"/>
      <c r="F15" s="24"/>
      <c r="G15" s="28"/>
      <c r="H15" s="46"/>
      <c r="I15" s="6"/>
      <c r="J15" s="18">
        <v>46156.0</v>
      </c>
      <c r="K15" s="46" t="b">
        <v>1</v>
      </c>
      <c r="L15" s="13"/>
      <c r="M15" s="5" t="b">
        <v>0</v>
      </c>
      <c r="N15" s="5" t="s">
        <v>1471</v>
      </c>
      <c r="O15" s="5"/>
      <c r="P15" s="99" t="s">
        <v>1480</v>
      </c>
    </row>
    <row r="16">
      <c r="A16" s="5" t="s">
        <v>23</v>
      </c>
      <c r="B16" s="6" t="str">
        <f t="shared" si="1"/>
        <v>https://www.tsip.ai/force/2f1fdba6-a805-483f-810e-035773eb691d</v>
      </c>
      <c r="D16" s="5"/>
      <c r="E16" s="5"/>
      <c r="F16" s="24"/>
      <c r="G16" s="28"/>
      <c r="H16" s="46"/>
      <c r="I16" s="6"/>
      <c r="J16" s="5"/>
      <c r="K16" s="46" t="b">
        <v>0</v>
      </c>
      <c r="L16" s="13"/>
      <c r="M16" s="5" t="b">
        <v>0</v>
      </c>
      <c r="N16" s="5"/>
      <c r="O16" s="5"/>
      <c r="P16" s="5"/>
    </row>
    <row r="17">
      <c r="A17" s="5" t="s">
        <v>35</v>
      </c>
      <c r="B17" s="6" t="str">
        <f t="shared" si="1"/>
        <v>https://www.tsip.ai/force/bc059c29-6c77-45f1-8172-fdbe6d1c4d42</v>
      </c>
      <c r="D17" s="5"/>
      <c r="E17" s="5"/>
      <c r="F17" s="24"/>
      <c r="G17" s="28"/>
      <c r="H17" s="46"/>
      <c r="I17" s="6"/>
      <c r="J17" s="5"/>
      <c r="K17" s="46" t="b">
        <v>0</v>
      </c>
      <c r="L17" s="13"/>
      <c r="M17" s="5" t="b">
        <v>0</v>
      </c>
      <c r="N17" s="5"/>
      <c r="O17" s="5"/>
      <c r="P17" s="5"/>
    </row>
    <row r="18">
      <c r="A18" s="5" t="s">
        <v>202</v>
      </c>
      <c r="B18" s="6" t="str">
        <f t="shared" si="1"/>
        <v>https://www.tsip.ai/force/bcdd0085-aeb2-483b-937b-3eca8c90a71a</v>
      </c>
      <c r="D18" s="5" t="s">
        <v>1481</v>
      </c>
      <c r="E18" s="24"/>
      <c r="F18" s="24"/>
      <c r="G18" s="28"/>
      <c r="H18" s="46"/>
      <c r="I18" s="6"/>
      <c r="J18" s="18">
        <v>46155.0</v>
      </c>
      <c r="K18" s="46" t="b">
        <v>1</v>
      </c>
      <c r="L18" s="13"/>
      <c r="M18" s="5" t="b">
        <v>0</v>
      </c>
      <c r="N18" s="5" t="s">
        <v>1471</v>
      </c>
      <c r="O18" s="24">
        <v>2.0</v>
      </c>
      <c r="P18" s="99" t="s">
        <v>1482</v>
      </c>
    </row>
    <row r="19">
      <c r="A19" s="5" t="s">
        <v>48</v>
      </c>
      <c r="B19" s="6" t="str">
        <f t="shared" si="1"/>
        <v>https://www.tsip.ai/force/cf573523-a0a1-40fb-ad40-b6b41b27ae3d</v>
      </c>
      <c r="D19" s="5"/>
      <c r="E19" s="5"/>
      <c r="F19" s="24"/>
      <c r="G19" s="28"/>
      <c r="H19" s="46"/>
      <c r="I19" s="6"/>
      <c r="J19" s="5"/>
      <c r="K19" s="46" t="b">
        <v>0</v>
      </c>
      <c r="L19" s="13"/>
      <c r="M19" s="5" t="b">
        <v>0</v>
      </c>
      <c r="N19" s="5"/>
      <c r="O19" s="5"/>
      <c r="P19" s="5"/>
    </row>
    <row r="20">
      <c r="A20" s="5" t="s">
        <v>204</v>
      </c>
      <c r="B20" s="6" t="str">
        <f t="shared" si="1"/>
        <v>https://www.tsip.ai/force/ecea9d6b-d4fa-4ceb-9612-428e69c57930</v>
      </c>
      <c r="D20" s="5" t="s">
        <v>1483</v>
      </c>
      <c r="E20" s="24"/>
      <c r="F20" s="24"/>
      <c r="G20" s="28"/>
      <c r="H20" s="46"/>
      <c r="I20" s="6"/>
      <c r="J20" s="18">
        <v>46160.0</v>
      </c>
      <c r="K20" s="46" t="b">
        <v>1</v>
      </c>
      <c r="L20" s="13"/>
      <c r="M20" s="5" t="b">
        <v>0</v>
      </c>
      <c r="N20" s="8" t="s">
        <v>1471</v>
      </c>
      <c r="O20" s="8">
        <v>4.0</v>
      </c>
      <c r="P20" s="5"/>
    </row>
  </sheetData>
  <dataValidations>
    <dataValidation type="list" allowBlank="1" showErrorMessage="1" sqref="O2:O20">
      <formula1>"1,2,3,4,5"</formula1>
    </dataValidation>
  </dataValidations>
  <hyperlinks>
    <hyperlink r:id="rId1" ref="P11"/>
    <hyperlink r:id="rId2" ref="P14"/>
    <hyperlink r:id="rId3" ref="P15"/>
    <hyperlink r:id="rId4" ref="P18"/>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1484</v>
      </c>
      <c r="B1" s="5" t="s">
        <v>1485</v>
      </c>
    </row>
    <row r="2" ht="15.75" customHeight="1">
      <c r="A2" s="5" t="s">
        <v>333</v>
      </c>
      <c r="B2" s="5" t="s">
        <v>1486</v>
      </c>
    </row>
    <row r="3" ht="15.75" customHeight="1">
      <c r="A3" s="5" t="s">
        <v>343</v>
      </c>
      <c r="B3" s="5" t="s">
        <v>344</v>
      </c>
    </row>
    <row r="4" ht="15.75" customHeight="1">
      <c r="A4" s="5" t="s">
        <v>345</v>
      </c>
      <c r="B4" s="5" t="s">
        <v>1487</v>
      </c>
    </row>
    <row r="5" ht="15.75" customHeight="1">
      <c r="A5" s="5" t="s">
        <v>346</v>
      </c>
      <c r="B5" s="5" t="s">
        <v>1488</v>
      </c>
    </row>
    <row r="6" ht="15.75" customHeight="1">
      <c r="A6" s="5" t="s">
        <v>347</v>
      </c>
      <c r="B6" s="5" t="s">
        <v>1489</v>
      </c>
    </row>
    <row r="7" ht="15.75" customHeight="1">
      <c r="A7" s="5" t="s">
        <v>348</v>
      </c>
      <c r="B7" s="5" t="s">
        <v>1490</v>
      </c>
    </row>
    <row r="8" ht="15.75" customHeight="1">
      <c r="A8" s="5" t="s">
        <v>349</v>
      </c>
      <c r="B8" s="5" t="s">
        <v>1491</v>
      </c>
    </row>
    <row r="9" ht="15.75" customHeight="1">
      <c r="A9" s="5" t="s">
        <v>350</v>
      </c>
      <c r="B9" s="5" t="s">
        <v>1492</v>
      </c>
    </row>
    <row r="10" ht="15.75" customHeight="1">
      <c r="A10" s="5" t="s">
        <v>353</v>
      </c>
      <c r="B10" s="5" t="s">
        <v>1493</v>
      </c>
    </row>
    <row r="11" ht="15.75" customHeight="1">
      <c r="A11" s="5" t="s">
        <v>354</v>
      </c>
      <c r="B11" s="5" t="s">
        <v>1494</v>
      </c>
    </row>
    <row r="12" ht="15.75" customHeight="1">
      <c r="A12" s="5" t="s">
        <v>355</v>
      </c>
      <c r="B12" s="5" t="s">
        <v>1495</v>
      </c>
    </row>
    <row r="13" ht="15.75" customHeight="1">
      <c r="A13" s="5" t="s">
        <v>357</v>
      </c>
      <c r="B13" s="5" t="s">
        <v>1496</v>
      </c>
    </row>
    <row r="14" ht="15.75" customHeight="1">
      <c r="A14" s="5" t="s">
        <v>358</v>
      </c>
      <c r="B14" s="5" t="s">
        <v>359</v>
      </c>
    </row>
    <row r="15" ht="15.75" customHeight="1">
      <c r="A15" s="5" t="s">
        <v>360</v>
      </c>
      <c r="B15" s="5" t="s">
        <v>1497</v>
      </c>
    </row>
    <row r="16" ht="15.75" customHeight="1">
      <c r="A16" s="5" t="s">
        <v>361</v>
      </c>
      <c r="B16" s="5" t="s">
        <v>1498</v>
      </c>
    </row>
    <row r="17" ht="15.75" customHeight="1">
      <c r="A17" s="5" t="s">
        <v>362</v>
      </c>
      <c r="B17" s="5" t="s">
        <v>1499</v>
      </c>
    </row>
    <row r="18" ht="15.75" customHeight="1">
      <c r="A18" s="5" t="s">
        <v>363</v>
      </c>
      <c r="B18" s="5" t="s">
        <v>1500</v>
      </c>
    </row>
    <row r="19" ht="15.75" customHeight="1">
      <c r="A19" s="5" t="s">
        <v>364</v>
      </c>
      <c r="B19" s="5" t="s">
        <v>1501</v>
      </c>
    </row>
    <row r="20" ht="15.75" customHeight="1">
      <c r="A20" s="5" t="s">
        <v>366</v>
      </c>
      <c r="B20" s="5" t="s">
        <v>1502</v>
      </c>
    </row>
    <row r="21" ht="15.75" customHeight="1">
      <c r="A21" s="5" t="s">
        <v>371</v>
      </c>
      <c r="B21" s="5" t="s">
        <v>1503</v>
      </c>
    </row>
    <row r="22" ht="15.75" customHeight="1">
      <c r="A22" s="5" t="s">
        <v>373</v>
      </c>
      <c r="B22" s="5" t="s">
        <v>1504</v>
      </c>
    </row>
    <row r="23" ht="15.75" customHeight="1">
      <c r="A23" s="5" t="s">
        <v>375</v>
      </c>
      <c r="B23" s="5" t="s">
        <v>1505</v>
      </c>
    </row>
    <row r="24" ht="15.75" customHeight="1">
      <c r="A24" s="5" t="s">
        <v>382</v>
      </c>
      <c r="B24" s="5" t="s">
        <v>1506</v>
      </c>
    </row>
    <row r="25" ht="15.75" customHeight="1">
      <c r="A25" s="5" t="s">
        <v>384</v>
      </c>
      <c r="B25" s="5" t="s">
        <v>1507</v>
      </c>
    </row>
    <row r="26" ht="15.75" customHeight="1">
      <c r="A26" s="5" t="s">
        <v>385</v>
      </c>
      <c r="B26" s="5" t="s">
        <v>1508</v>
      </c>
    </row>
    <row r="27" ht="15.75" customHeight="1">
      <c r="A27" s="5" t="s">
        <v>386</v>
      </c>
      <c r="B27" s="5" t="s">
        <v>1509</v>
      </c>
    </row>
    <row r="28" ht="15.75" customHeight="1">
      <c r="A28" s="5" t="s">
        <v>388</v>
      </c>
      <c r="B28" s="5" t="s">
        <v>1510</v>
      </c>
    </row>
    <row r="29" ht="15.75" customHeight="1">
      <c r="A29" s="5" t="s">
        <v>389</v>
      </c>
      <c r="B29" s="5" t="s">
        <v>1511</v>
      </c>
    </row>
    <row r="30" ht="15.75" customHeight="1">
      <c r="A30" s="5" t="s">
        <v>390</v>
      </c>
      <c r="B30" s="5" t="s">
        <v>1512</v>
      </c>
    </row>
    <row r="31" ht="15.75" customHeight="1">
      <c r="A31" s="5" t="s">
        <v>392</v>
      </c>
      <c r="B31" s="5" t="s">
        <v>1513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3" width="48.5"/>
    <col customWidth="1" min="4" max="4" width="18.25"/>
    <col customWidth="1" min="5" max="5" width="16.25"/>
    <col customWidth="1" min="6" max="6" width="21.5"/>
  </cols>
  <sheetData>
    <row r="1">
      <c r="A1" s="100" t="s">
        <v>2</v>
      </c>
      <c r="B1" s="100" t="s">
        <v>1514</v>
      </c>
      <c r="C1" s="100" t="s">
        <v>1515</v>
      </c>
      <c r="D1" s="100" t="s">
        <v>11</v>
      </c>
      <c r="E1" s="100" t="s">
        <v>1516</v>
      </c>
      <c r="F1" s="100" t="s">
        <v>1517</v>
      </c>
    </row>
    <row r="2">
      <c r="B2" s="101"/>
      <c r="C2" s="102" t="s">
        <v>1518</v>
      </c>
      <c r="D2" s="4" t="b">
        <v>0</v>
      </c>
      <c r="F2" s="43" t="str">
        <f>iferror(VLOOKUP(C2,'PT Results'!A:Z,26,false),"Graded Upon Submission")</f>
        <v>Effective overall score ~68 (re-try needed band). Multiple required caps stack and the lowest binding cap is 80 (Old Loans still described as sourced from the Capital tab in the prompt: 'For each of the four debt instruments, pull the loan amount, interest rate, and term directly from the Capital tab'), while the rubric correctly grades Old Loans from Opening Balance Sheet — a direct prompt/rubric mismatch. Additional caps that apply: input workbook Capital terms were NOT corrected (Mortgage D25=1 and Other Bank Debt D26=1 remain, should be 4 and 3; cap 90), the rubric still uses -3225.17 for Cash Flow repayment at Month 36 when that value is actually Month 37 — the true Month 36 raw value is -4678.87 (cap 88), the duplicate Loan Amount 150,000→180,000 / Net Income Y1 M1 ≈ 2,754 perturbation appears twice (c1549091 and 81476534; cap 92), and downstream Income Statement/Balance Sheet/Cash Flow integration is entirely absent from the prompt but heavily graded in the rubric (cap 85). The prompt also underspecifies compounding monthly rate conversion, fixed level amortization methodology, and the interest/principal/balance row logic, and omits any formatting guidance. Output validation targets use rounded display values (2954.99, 180728.16, 73979.56, 16.61) rather than exact raw values from the workbook. Presentation includes a gridlines-hidden criterion that should be removed and bundles header/fill/border into one stacked check. Pitfalls cover broad inherited tabs (4) Operating Expenses, 9) WACC, Financial Highlights, Sensitivity, Ratio, PD Charts, Valuation) unrelated to the changed scope, and misuse 'hidden' for sizing-based truncation. Required revisions: (1) rewrite prompt so Old Loans sources from 8) Opening Balance Sheet and the other three from 6) Capital, (2) correct input workbook D25=4 and D26=3, (3) add downstream IS/BS/CF integration language to the prompt, (4) specify compounding monthly rate and fixed level amortization methodology in non-formula language, (5) fix Month 36 Cash Flow target to -4678.87 (or move to Month 37 at -3225.17), (6) remove the duplicate Loan Amount perturbation, (7) replace rounded targets with exact raw values, (8) split or drop bundled presentation criteria and remove gridlines check, (9) scope pitfalls to the changed/relevant tabs and replace 'hidden' with 'truncated' for sizing issues.</v>
      </c>
    </row>
    <row r="3">
      <c r="A3" s="4" t="s">
        <v>1519</v>
      </c>
      <c r="B3" s="101"/>
      <c r="C3" s="102" t="s">
        <v>1520</v>
      </c>
      <c r="D3" s="4" t="b">
        <v>1</v>
      </c>
      <c r="E3" s="103">
        <v>46162.0</v>
      </c>
      <c r="F3" s="43" t="str">
        <f>iferror(VLOOKUP(C3,'PT Results'!A:Z,26,false),"Graded Upon Submission")</f>
        <v>Graded Upon Submission</v>
      </c>
    </row>
    <row r="4">
      <c r="A4" s="4" t="s">
        <v>1521</v>
      </c>
      <c r="B4" s="101"/>
      <c r="C4" s="102" t="s">
        <v>1522</v>
      </c>
      <c r="D4" s="4" t="b">
        <v>0</v>
      </c>
      <c r="E4" s="103"/>
      <c r="F4" s="43" t="str">
        <f>iferror(VLOOKUP(C4,'PT Results'!A:Z,26,false),"Graded Upon Submission")</f>
        <v>Graded Upon Submission</v>
      </c>
    </row>
    <row r="5">
      <c r="B5" s="101"/>
      <c r="C5" s="102" t="s">
        <v>1523</v>
      </c>
      <c r="D5" s="43" t="b">
        <v>0</v>
      </c>
      <c r="F5" s="43" t="str">
        <f>iferror(VLOOKUP(C5,'PT Results'!A:Z,26,false),"Graded Upon Submission")</f>
        <v>Graded Upon Submission</v>
      </c>
    </row>
    <row r="6">
      <c r="B6" s="101"/>
      <c r="C6" s="102" t="s">
        <v>1524</v>
      </c>
      <c r="D6" s="43" t="b">
        <v>0</v>
      </c>
      <c r="F6" s="43" t="str">
        <f>iferror(VLOOKUP(C6,'PT Results'!A:Z,26,false),"Graded Upon Submission")</f>
        <v>Graded Upon Submission</v>
      </c>
    </row>
    <row r="7">
      <c r="B7" s="101"/>
      <c r="C7" s="102" t="s">
        <v>1525</v>
      </c>
      <c r="D7" s="43" t="b">
        <v>0</v>
      </c>
      <c r="F7" s="43" t="str">
        <f>iferror(VLOOKUP(C7,'PT Results'!A:Z,26,false),"Graded Upon Submission")</f>
        <v>Graded Upon Submission</v>
      </c>
    </row>
    <row r="8">
      <c r="B8" s="101"/>
      <c r="C8" s="102" t="s">
        <v>1526</v>
      </c>
      <c r="D8" s="43" t="b">
        <v>0</v>
      </c>
      <c r="F8" s="43" t="str">
        <f>iferror(VLOOKUP(C8,'PT Results'!A:Z,26,false),"Graded Upon Submission")</f>
        <v>Graded Upon Submission</v>
      </c>
    </row>
    <row r="9">
      <c r="A9" s="4" t="s">
        <v>1527</v>
      </c>
      <c r="B9" s="101" t="s">
        <v>1528</v>
      </c>
      <c r="C9" s="102" t="s">
        <v>1529</v>
      </c>
      <c r="D9" s="4" t="b">
        <v>1</v>
      </c>
      <c r="E9" s="103">
        <v>46163.0</v>
      </c>
      <c r="F9" s="43" t="str">
        <f>iferror(VLOOKUP(C9,'PT Results'!A:Z,26,false),"Graded Upon Submission")</f>
        <v>Effective overall score roughly 58/100, decision band re-try needed. The submitted package has central misses. The input workbook still has Mortgage and Other Bank Debt terms of 1 year on the 6) Capital tab; they were not corrected to 4 and 3, which triggers the 90 cap, and it also leaves the Mortgage and Other Bank Debt zeroing criteria in the rubric (which check beyond a 12-month term) factually wrong relative to the intended 48-month and 36-month terms. The submitted prompt drops Old Loans entirely rather than directing it to be sourced from 8) Opening Balance Sheet, even though the golden output workbook does build an Old Loans block sourced from Opening Balance Sheet; this prompt-vs-workbook misalignment is a major defect and the rubric likewise fails to grade Old Loans assumptions, interest, principal, balance, or downstream contribution. The interest-expense rubric line says 'sum of interest from all four debt instruments' but then lists only three, which is incoherent. The duplicate Loan Amount 150,000 to 180,000 / Net Income Year 1 Month 1 perturbation remains, triggering the 92 cap, and the perturbation values are rounded display numbers rather than exact recalculated raw values. Output validation uses 16.61 for interest at Month 60 (OK, matches raw 16.6139) but uses 123916.40 for Loan-only Month 12 instead of 180728.16 for Balance Sheet Loans Month 12, and omits the Cash Flow repayment Month 36 / Month 37 check, so the starting -3225.17 period mismatch was sidestepped rather than corrected with the true Month 36 value (-4678.87). The prompt also omits any material formatting guidance, while the rubric still grades bundled presentation (bold + light grey fill + bottom borders in one criterion) and a gridlines-hidden criterion that should be removed. Pitfalls remain overly broad across many unrelated tabs and conflate truncated with hidden. Required revisions: correct the 6) Capital terms to 5/4/3; add Old Loans to the prompt as sourced from 8) Opening Balance Sheet and add corresponding rubric criteria for its assumptions and downstream contribution; fix Mortgage and Other Bank Debt zeroing thresholds to 48 and 36 months; replace the Loan Month 12 target with the Balance Sheet Loans Month 12 raw value 180728.16 or clearly scope it as Loan-only; add a Cash Flow repayment check at Month 36 using -4678.87 (or move the -3225.17 check to Month 37); remove the duplicate Loan Amount perturbation; use exact raw values for perturbation targets or note Excel recalculation; split the bundled presentation criterion and drop the gridlines criterion unless prompt-backed; narrow pitfalls to the changed/relevant tabs and replace 'hidden' with 'truncated' for sizing issues; add prompt-backed formatting guidance for headers and numeric/percentage formats.</v>
      </c>
    </row>
    <row r="10">
      <c r="A10" s="4" t="s">
        <v>1530</v>
      </c>
      <c r="B10" s="101" t="s">
        <v>1531</v>
      </c>
      <c r="C10" s="102" t="s">
        <v>1532</v>
      </c>
      <c r="D10" s="4" t="b">
        <v>1</v>
      </c>
      <c r="E10" s="103">
        <v>46163.0</v>
      </c>
      <c r="F10" s="43" t="str">
        <f>iferror(VLOOKUP(C10,'PT Results'!A:Z,26,false),"Graded Upon Submission")</f>
        <v>Effective score ~70, decision band re-try needed. The submission has two central, capped defects. First, the revised prompt explicitly instructs the model to pull loan amount, annual interest rate, and term for all four instruments — including Old Loans — directly from the Capital tab, and the rubric reinforces this by asking whether the Old Loans monthly rate is derived from the Capital tab (criterion 10f8af5e). Per ground truth, Old Loans must source from 8) Opening Balance Sheet, so this is a central source-tab miss that triggers the 80 cap, even though one rubric criterion (4f8aaf04) does correctly ask whether the Old Loans loan amount links to the Opening Balance Sheet — this creates an internal contradiction. Second, the submitted input workbook still has Mortgage term = 1 and Other Bank Debt term = 1 on the 6) Capital tab; these were not corrected to 4 and 3, which independently caps the score at 90. Additional medium issues: methodology in the prompt is underspecified (no compounding-aware annual-to-monthly rate conversion, no explicit statement that interest is computed on the prior period ending balance, that principal equals payment minus interest, or that balances zero after term/payoff); the rubric still includes a gridline-hiding criterion that should be deleted; the Month 24 Mortgage and Month 30 Other Bank Debt validation targets cannot be reconciled against ground truth without recalculation given the uncorrected input terms; and several output-validation targets use rounded display values (e.g., 2954.99, 180728.16, -4,678.87, 16.61) rather than exact raw values. Strengths: downstream Income Statement/Balance Sheet/Cash Flow integration is present in both prompt and rubric, the Cash Flow Month 36 target is correctly -4,678.87 (no period mismatch), there is no duplicate Loan Amount perturbation, pitfalls are scoped to the relevant tabs, and 'truncated' is used correctly. Required revisions: (1) rewrite the prompt to source Old Loans from 8) Opening Balance Sheet and the other three instruments from 6) Capital; (2) correct rubric criterion 10f8af5e (and any term/payment-months criterion) so Old Loans is graded against Opening Balance Sheet, not Capital; (3) fix the input workbook 6) Capital terms to 5 / 4 / 3; (4) add compounding-aware monthly rate, fixed level amortizing payment, prior-balance interest, principal = payment − interest, and post-term zeroing language to the prompt; (5) replace rounded validation targets with exact raw values and remove the gridlines criterion.</v>
      </c>
    </row>
    <row r="11">
      <c r="B11" s="101"/>
      <c r="C11" s="102" t="s">
        <v>1533</v>
      </c>
      <c r="D11" s="43" t="b">
        <v>0</v>
      </c>
      <c r="F11" s="43" t="str">
        <f>iferror(VLOOKUP(C11,'PT Results'!A:Z,26,false),"Graded Upon Submission")</f>
        <v>Graded Upon Submission</v>
      </c>
    </row>
    <row r="12">
      <c r="B12" s="101"/>
      <c r="C12" s="102" t="s">
        <v>1534</v>
      </c>
      <c r="D12" s="43" t="b">
        <v>0</v>
      </c>
      <c r="F12" s="43" t="str">
        <f>iferror(VLOOKUP(C12,'PT Results'!A:Z,26,false),"Graded Upon Submission")</f>
        <v>Graded Upon Submission</v>
      </c>
    </row>
    <row r="13">
      <c r="A13" s="4" t="s">
        <v>1535</v>
      </c>
      <c r="B13" s="101"/>
      <c r="C13" s="102" t="s">
        <v>1536</v>
      </c>
      <c r="D13" s="43" t="b">
        <v>0</v>
      </c>
      <c r="F13" s="43" t="str">
        <f>iferror(VLOOKUP(C13,'PT Results'!A:Z,26,false),"Graded Upon Submission")</f>
        <v>Graded Upon Submission</v>
      </c>
    </row>
    <row r="14">
      <c r="B14" s="101"/>
      <c r="C14" s="102" t="s">
        <v>1537</v>
      </c>
      <c r="D14" s="43" t="b">
        <v>0</v>
      </c>
      <c r="F14" s="43" t="str">
        <f>iferror(VLOOKUP(C14,'PT Results'!A:Z,26,false),"Graded Upon Submission")</f>
        <v>Graded Upon Submission</v>
      </c>
    </row>
    <row r="15">
      <c r="A15" s="4" t="s">
        <v>1538</v>
      </c>
      <c r="B15" s="101" t="s">
        <v>1539</v>
      </c>
      <c r="C15" s="102" t="s">
        <v>1540</v>
      </c>
      <c r="D15" s="43" t="b">
        <v>0</v>
      </c>
      <c r="F15" s="43" t="str">
        <f>iferror(VLOOKUP(C15,'PT Results'!A:Z,26,false),"Graded Upon Submission")</f>
        <v>Graded Upon Submission</v>
      </c>
    </row>
    <row r="16">
      <c r="B16" s="101"/>
      <c r="C16" s="102" t="s">
        <v>1541</v>
      </c>
      <c r="D16" s="43" t="b">
        <v>0</v>
      </c>
      <c r="F16" s="43" t="str">
        <f>iferror(VLOOKUP(C16,'PT Results'!A:Z,26,false),"Graded Upon Submission")</f>
        <v>Graded Upon Submission</v>
      </c>
    </row>
    <row r="17">
      <c r="B17" s="101"/>
      <c r="C17" s="102" t="s">
        <v>1542</v>
      </c>
      <c r="D17" s="43" t="b">
        <v>0</v>
      </c>
      <c r="F17" s="43" t="str">
        <f>iferror(VLOOKUP(C17,'PT Results'!A:Z,26,false),"Graded Upon Submission")</f>
        <v>Graded Upon Submission</v>
      </c>
    </row>
    <row r="18">
      <c r="B18" s="101"/>
      <c r="C18" s="102" t="s">
        <v>1543</v>
      </c>
      <c r="D18" s="43" t="b">
        <v>0</v>
      </c>
      <c r="F18" s="43" t="str">
        <f>iferror(VLOOKUP(C18,'PT Results'!A:Z,26,false),"Graded Upon Submission")</f>
        <v>Graded Upon Submission</v>
      </c>
    </row>
    <row r="19">
      <c r="B19" s="101"/>
      <c r="C19" s="102" t="s">
        <v>1544</v>
      </c>
      <c r="D19" s="43" t="b">
        <v>0</v>
      </c>
      <c r="F19" s="43" t="str">
        <f>iferror(VLOOKUP(C19,'PT Results'!A:Z,26,false),"Graded Upon Submission")</f>
        <v>Graded Upon Submission</v>
      </c>
    </row>
    <row r="20">
      <c r="A20" s="4" t="s">
        <v>1545</v>
      </c>
      <c r="B20" s="101" t="s">
        <v>1546</v>
      </c>
      <c r="C20" s="102" t="s">
        <v>1547</v>
      </c>
      <c r="D20" s="43" t="b">
        <v>0</v>
      </c>
      <c r="F20" s="43" t="str">
        <f>iferror(VLOOKUP(C20,'PT Results'!A:Z,26,false),"Graded Upon Submission")</f>
        <v>Graded Upon Submission</v>
      </c>
    </row>
    <row r="21">
      <c r="B21" s="101"/>
      <c r="C21" s="102" t="s">
        <v>1548</v>
      </c>
      <c r="D21" s="43" t="b">
        <v>0</v>
      </c>
      <c r="F21" s="43" t="str">
        <f>iferror(VLOOKUP(C21,'PT Results'!A:Z,26,false),"Graded Upon Submission")</f>
        <v>Graded Upon Submission</v>
      </c>
    </row>
    <row r="22">
      <c r="B22" s="101"/>
      <c r="C22" s="102" t="s">
        <v>1549</v>
      </c>
      <c r="D22" s="43" t="b">
        <v>0</v>
      </c>
      <c r="F22" s="43" t="str">
        <f>iferror(VLOOKUP(C22,'PT Results'!A:Z,26,false),"Graded Upon Submission")</f>
        <v>Graded Upon Submission</v>
      </c>
    </row>
    <row r="23">
      <c r="C23" s="102" t="s">
        <v>1550</v>
      </c>
      <c r="D23" s="43" t="b">
        <v>0</v>
      </c>
      <c r="F23" s="43" t="str">
        <f>iferror(VLOOKUP(C23,'PT Results'!A:Z,26,false),"Graded Upon Submission")</f>
        <v>Graded Upon Submission</v>
      </c>
    </row>
    <row r="24">
      <c r="B24" s="101"/>
      <c r="C24" s="102" t="s">
        <v>1551</v>
      </c>
      <c r="D24" s="43" t="b">
        <v>0</v>
      </c>
      <c r="F24" s="43" t="str">
        <f>iferror(VLOOKUP(C24,'PT Results'!A:Z,26,false),"Graded Upon Submission")</f>
        <v>Graded Upon Submission</v>
      </c>
    </row>
    <row r="25">
      <c r="B25" s="101"/>
      <c r="C25" s="102" t="s">
        <v>1552</v>
      </c>
      <c r="D25" s="43" t="b">
        <v>0</v>
      </c>
      <c r="F25" s="43" t="str">
        <f>iferror(VLOOKUP(C25,'PT Results'!A:Z,26,false),"Graded Upon Submission")</f>
        <v>Graded Upon Submission</v>
      </c>
    </row>
    <row r="26">
      <c r="B26" s="101"/>
      <c r="C26" s="102" t="s">
        <v>1553</v>
      </c>
      <c r="D26" s="43" t="b">
        <v>0</v>
      </c>
      <c r="F26" s="43" t="str">
        <f>iferror(VLOOKUP(C26,'PT Results'!A:Z,26,false),"Graded Upon Submission")</f>
        <v>Graded Upon Submission</v>
      </c>
    </row>
    <row r="27">
      <c r="B27" s="101"/>
      <c r="C27" s="102" t="s">
        <v>1554</v>
      </c>
      <c r="D27" s="43" t="b">
        <v>0</v>
      </c>
      <c r="F27" s="43" t="str">
        <f>iferror(VLOOKUP(C27,'PT Results'!A:Z,26,false),"Graded Upon Submission")</f>
        <v>Graded Upon Submission</v>
      </c>
    </row>
    <row r="28">
      <c r="B28" s="101"/>
      <c r="C28" s="102" t="s">
        <v>1555</v>
      </c>
      <c r="D28" s="43" t="b">
        <v>0</v>
      </c>
      <c r="F28" s="43" t="str">
        <f>iferror(VLOOKUP(C28,'PT Results'!A:Z,26,false),"Graded Upon Submission")</f>
        <v>Graded Upon Submission</v>
      </c>
    </row>
    <row r="29">
      <c r="A29" s="4" t="s">
        <v>1556</v>
      </c>
      <c r="B29" s="101" t="s">
        <v>1557</v>
      </c>
      <c r="C29" s="102" t="s">
        <v>1558</v>
      </c>
      <c r="D29" s="4" t="b">
        <v>1</v>
      </c>
      <c r="E29" s="103">
        <v>46162.0</v>
      </c>
      <c r="F29" s="43" t="str">
        <f>iferror(VLOOKUP(C29,'PT Results'!A:Z,26,false),"Graded Upon Submission")</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row>
    <row r="30">
      <c r="B30" s="101"/>
      <c r="C30" s="102" t="s">
        <v>1559</v>
      </c>
      <c r="D30" s="43" t="b">
        <v>0</v>
      </c>
      <c r="F30" s="43" t="str">
        <f>iferror(VLOOKUP(C30,'PT Results'!A:Z,26,false),"Graded Upon Submission")</f>
        <v>Graded Upon Submission</v>
      </c>
    </row>
    <row r="31">
      <c r="A31" s="4" t="s">
        <v>14</v>
      </c>
      <c r="B31" s="101" t="s">
        <v>1560</v>
      </c>
      <c r="C31" s="102" t="s">
        <v>1561</v>
      </c>
      <c r="D31" s="43" t="b">
        <v>0</v>
      </c>
      <c r="F31" s="43" t="str">
        <f>iferror(VLOOKUP(C31,'PT Results'!A:Z,26,false),"Graded Upon Submission")</f>
        <v>Graded Upon Submission</v>
      </c>
    </row>
    <row r="32">
      <c r="B32" s="101"/>
      <c r="C32" s="102" t="s">
        <v>1562</v>
      </c>
      <c r="D32" s="43" t="b">
        <v>0</v>
      </c>
      <c r="F32" s="43" t="str">
        <f>iferror(VLOOKUP(C32,'PT Results'!A:Z,26,false),"Graded Upon Submission")</f>
        <v>Graded Upon Submission</v>
      </c>
    </row>
    <row r="33">
      <c r="B33" s="101"/>
      <c r="C33" s="102" t="s">
        <v>1563</v>
      </c>
      <c r="D33" s="43" t="b">
        <v>0</v>
      </c>
      <c r="F33" s="43" t="str">
        <f>iferror(VLOOKUP(C33,'PT Results'!A:Z,26,false),"Graded Upon Submission")</f>
        <v>Graded Upon Submission</v>
      </c>
    </row>
    <row r="34">
      <c r="B34" s="101"/>
      <c r="C34" s="102" t="s">
        <v>1564</v>
      </c>
      <c r="D34" s="43" t="b">
        <v>0</v>
      </c>
      <c r="F34" s="43" t="str">
        <f>iferror(VLOOKUP(C34,'PT Results'!A:Z,26,false),"Graded Upon Submission")</f>
        <v>Graded Upon Submission</v>
      </c>
    </row>
    <row r="35">
      <c r="B35" s="101"/>
      <c r="C35" s="102" t="s">
        <v>1565</v>
      </c>
      <c r="D35" s="43" t="b">
        <v>0</v>
      </c>
      <c r="F35" s="43" t="str">
        <f>iferror(VLOOKUP(C35,'PT Results'!A:Z,26,false),"Graded Upon Submission")</f>
        <v>Graded Upon Submission</v>
      </c>
    </row>
    <row r="36">
      <c r="B36" s="101"/>
      <c r="C36" s="102" t="s">
        <v>1566</v>
      </c>
      <c r="D36" s="43" t="b">
        <v>0</v>
      </c>
      <c r="F36" s="43" t="str">
        <f>iferror(VLOOKUP(C36,'PT Results'!A:Z,26,false),"Graded Upon Submission")</f>
        <v>Graded Upon Submission</v>
      </c>
    </row>
    <row r="37">
      <c r="B37" s="101"/>
      <c r="C37" s="102" t="s">
        <v>1567</v>
      </c>
      <c r="D37" s="43" t="b">
        <v>0</v>
      </c>
      <c r="F37" s="43" t="str">
        <f>iferror(VLOOKUP(C37,'PT Results'!A:Z,26,false),"Graded Upon Submission")</f>
        <v>Graded Upon Submission</v>
      </c>
    </row>
    <row r="38">
      <c r="B38" s="101"/>
      <c r="C38" s="102" t="s">
        <v>1568</v>
      </c>
      <c r="D38" s="43" t="b">
        <v>0</v>
      </c>
      <c r="F38" s="43" t="str">
        <f>iferror(VLOOKUP(C38,'PT Results'!A:Z,26,false),"Graded Upon Submission")</f>
        <v>Graded Upon Submission</v>
      </c>
    </row>
    <row r="39">
      <c r="B39" s="101"/>
      <c r="C39" s="102" t="s">
        <v>1569</v>
      </c>
      <c r="D39" s="43" t="b">
        <v>0</v>
      </c>
      <c r="F39" s="43" t="str">
        <f>iferror(VLOOKUP(C39,'PT Results'!A:Z,26,false),"Graded Upon Submission")</f>
        <v>Graded Upon Submission</v>
      </c>
    </row>
    <row r="40">
      <c r="B40" s="101"/>
      <c r="C40" s="102" t="s">
        <v>1570</v>
      </c>
      <c r="D40" s="43" t="b">
        <v>0</v>
      </c>
      <c r="F40" s="43" t="str">
        <f>iferror(VLOOKUP(C40,'PT Results'!A:Z,26,false),"Graded Upon Submission")</f>
        <v>Graded Upon Submission</v>
      </c>
    </row>
    <row r="41">
      <c r="B41" s="101"/>
      <c r="C41" s="102" t="s">
        <v>1571</v>
      </c>
      <c r="D41" s="43" t="b">
        <v>0</v>
      </c>
      <c r="F41" s="43" t="str">
        <f>iferror(VLOOKUP(C41,'PT Results'!A:Z,26,false),"Graded Upon Submission")</f>
        <v>Graded Upon Submission</v>
      </c>
    </row>
    <row r="42">
      <c r="B42" s="101"/>
      <c r="C42" s="102" t="s">
        <v>1572</v>
      </c>
      <c r="D42" s="43" t="b">
        <v>0</v>
      </c>
      <c r="F42" s="43" t="str">
        <f>iferror(VLOOKUP(C42,'PT Results'!A:Z,26,false),"Graded Upon Submission")</f>
        <v>Graded Upon Submission</v>
      </c>
    </row>
    <row r="43">
      <c r="B43" s="101"/>
      <c r="C43" s="102" t="s">
        <v>1573</v>
      </c>
      <c r="D43" s="43" t="b">
        <v>0</v>
      </c>
      <c r="F43" s="43" t="str">
        <f>iferror(VLOOKUP(C43,'PT Results'!A:Z,26,false),"Graded Upon Submission")</f>
        <v>Graded Upon Submission</v>
      </c>
    </row>
    <row r="44">
      <c r="B44" s="101"/>
      <c r="C44" s="102" t="s">
        <v>1574</v>
      </c>
      <c r="D44" s="43" t="b">
        <v>0</v>
      </c>
      <c r="F44" s="43" t="str">
        <f>iferror(VLOOKUP(C44,'PT Results'!A:Z,26,false),"Graded Upon Submission")</f>
        <v>Graded Upon Submission</v>
      </c>
    </row>
    <row r="45">
      <c r="B45" s="101"/>
      <c r="C45" s="102" t="s">
        <v>1575</v>
      </c>
      <c r="D45" s="43" t="b">
        <v>0</v>
      </c>
      <c r="F45" s="43" t="str">
        <f>iferror(VLOOKUP(C45,'PT Results'!A:Z,26,false),"Graded Upon Submission")</f>
        <v>Graded Upon Submission</v>
      </c>
    </row>
    <row r="46">
      <c r="B46" s="101"/>
      <c r="C46" s="102" t="s">
        <v>1576</v>
      </c>
      <c r="D46" s="43" t="b">
        <v>0</v>
      </c>
      <c r="F46" s="43" t="str">
        <f>iferror(VLOOKUP(C46,'PT Results'!A:Z,26,false),"Graded Upon Submission")</f>
        <v>Graded Upon Submission</v>
      </c>
    </row>
    <row r="47">
      <c r="B47" s="101"/>
      <c r="C47" s="102" t="s">
        <v>1577</v>
      </c>
      <c r="D47" s="43" t="b">
        <v>0</v>
      </c>
      <c r="F47" s="43" t="str">
        <f>iferror(VLOOKUP(C47,'PT Results'!A:Z,26,false),"Graded Upon Submission")</f>
        <v>Graded Upon Submission</v>
      </c>
    </row>
    <row r="48">
      <c r="B48" s="101"/>
      <c r="C48" s="102" t="s">
        <v>1578</v>
      </c>
      <c r="D48" s="43" t="b">
        <v>0</v>
      </c>
      <c r="F48" s="43" t="str">
        <f>iferror(VLOOKUP(C48,'PT Results'!A:Z,26,false),"Graded Upon Submission")</f>
        <v>Graded Upon Submission</v>
      </c>
    </row>
    <row r="49">
      <c r="B49" s="101"/>
      <c r="C49" s="102" t="s">
        <v>1579</v>
      </c>
      <c r="D49" s="43" t="b">
        <v>0</v>
      </c>
      <c r="F49" s="43" t="str">
        <f>iferror(VLOOKUP(C49,'PT Results'!A:Z,26,false),"Graded Upon Submission")</f>
        <v>Graded Upon Submission</v>
      </c>
    </row>
    <row r="50">
      <c r="B50" s="101"/>
      <c r="C50" s="102" t="s">
        <v>1580</v>
      </c>
      <c r="D50" s="43" t="b">
        <v>0</v>
      </c>
      <c r="F50" s="43" t="str">
        <f>iferror(VLOOKUP(C50,'PT Results'!A:Z,26,false),"Graded Upon Submission")</f>
        <v>Graded Upon Submission</v>
      </c>
    </row>
    <row r="51">
      <c r="B51" s="101"/>
      <c r="C51" s="102" t="s">
        <v>1581</v>
      </c>
      <c r="D51" s="43" t="b">
        <v>0</v>
      </c>
      <c r="F51" s="43" t="str">
        <f>iferror(VLOOKUP(C51,'PT Results'!A:Z,26,false),"Graded Upon Submission")</f>
        <v>Graded Upon Submission</v>
      </c>
    </row>
    <row r="52">
      <c r="B52" s="101"/>
      <c r="C52" s="102" t="s">
        <v>1582</v>
      </c>
      <c r="D52" s="43" t="b">
        <v>0</v>
      </c>
      <c r="F52" s="43" t="str">
        <f>iferror(VLOOKUP(C52,'PT Results'!A:Z,26,false),"Graded Upon Submission")</f>
        <v>Graded Upon Submission</v>
      </c>
    </row>
    <row r="53">
      <c r="B53" s="101"/>
      <c r="C53" s="102" t="s">
        <v>1583</v>
      </c>
      <c r="D53" s="43" t="b">
        <v>0</v>
      </c>
      <c r="F53" s="43" t="str">
        <f>iferror(VLOOKUP(C53,'PT Results'!A:Z,26,false),"Graded Upon Submission")</f>
        <v>Graded Upon Submission</v>
      </c>
    </row>
    <row r="54">
      <c r="B54" s="101"/>
      <c r="C54" s="102" t="s">
        <v>1584</v>
      </c>
      <c r="D54" s="43" t="b">
        <v>0</v>
      </c>
      <c r="F54" s="43" t="str">
        <f>iferror(VLOOKUP(C54,'PT Results'!A:Z,26,false),"Graded Upon Submission")</f>
        <v>Graded Upon Submission</v>
      </c>
    </row>
    <row r="55">
      <c r="B55" s="101"/>
      <c r="C55" s="102" t="s">
        <v>1585</v>
      </c>
      <c r="D55" s="43" t="b">
        <v>0</v>
      </c>
      <c r="F55" s="43" t="str">
        <f>iferror(VLOOKUP(C55,'PT Results'!A:Z,26,false),"Graded Upon Submission")</f>
        <v>Graded Upon Submission</v>
      </c>
    </row>
    <row r="56">
      <c r="B56" s="101"/>
      <c r="C56" s="102" t="s">
        <v>1586</v>
      </c>
      <c r="D56" s="43" t="b">
        <v>0</v>
      </c>
      <c r="F56" s="43" t="str">
        <f>iferror(VLOOKUP(C56,'PT Results'!A:Z,26,false),"Graded Upon Submission")</f>
        <v>Graded Upon Submission</v>
      </c>
    </row>
    <row r="57">
      <c r="B57" s="101"/>
      <c r="C57" s="102" t="s">
        <v>1587</v>
      </c>
      <c r="D57" s="43" t="b">
        <v>0</v>
      </c>
      <c r="F57" s="43" t="str">
        <f>iferror(VLOOKUP(C57,'PT Results'!A:Z,26,false),"Graded Upon Submission")</f>
        <v>Graded Upon Submission</v>
      </c>
    </row>
    <row r="58">
      <c r="B58" s="101"/>
      <c r="C58" s="102" t="s">
        <v>1588</v>
      </c>
      <c r="D58" s="43" t="b">
        <v>0</v>
      </c>
      <c r="F58" s="43" t="str">
        <f>iferror(VLOOKUP(C58,'PT Results'!A:Z,26,false),"Graded Upon Submission")</f>
        <v>Graded Upon Submission</v>
      </c>
    </row>
    <row r="59">
      <c r="B59" s="101"/>
      <c r="C59" s="102" t="s">
        <v>1589</v>
      </c>
      <c r="D59" s="43" t="b">
        <v>0</v>
      </c>
      <c r="F59" s="43" t="str">
        <f>iferror(VLOOKUP(C59,'PT Results'!A:Z,26,false),"Graded Upon Submission")</f>
        <v>Graded Upon Submission</v>
      </c>
    </row>
    <row r="60">
      <c r="B60" s="101"/>
      <c r="C60" s="102" t="s">
        <v>1590</v>
      </c>
      <c r="D60" s="43" t="b">
        <v>0</v>
      </c>
      <c r="F60" s="43" t="str">
        <f>iferror(VLOOKUP(C60,'PT Results'!A:Z,26,false),"Graded Upon Submission")</f>
        <v>Graded Upon Submission</v>
      </c>
    </row>
    <row r="61">
      <c r="B61" s="101"/>
      <c r="C61" s="102" t="s">
        <v>1591</v>
      </c>
      <c r="D61" s="43" t="b">
        <v>0</v>
      </c>
      <c r="F61" s="43" t="str">
        <f>iferror(VLOOKUP(C61,'PT Results'!A:Z,26,false),"Graded Upon Submission")</f>
        <v>Graded Upon Submission</v>
      </c>
    </row>
    <row r="62">
      <c r="B62" s="101"/>
      <c r="C62" s="102" t="s">
        <v>1592</v>
      </c>
      <c r="D62" s="43" t="b">
        <v>0</v>
      </c>
      <c r="F62" s="43" t="str">
        <f>iferror(VLOOKUP(C62,'PT Results'!A:Z,26,false),"Graded Upon Submission")</f>
        <v>Graded Upon Submission</v>
      </c>
    </row>
    <row r="63">
      <c r="B63" s="101"/>
      <c r="C63" s="102" t="s">
        <v>1593</v>
      </c>
      <c r="D63" s="43" t="b">
        <v>0</v>
      </c>
      <c r="F63" s="43" t="str">
        <f>iferror(VLOOKUP(C63,'PT Results'!A:Z,26,false),"Graded Upon Submission")</f>
        <v>Graded Upon Submission</v>
      </c>
    </row>
    <row r="64">
      <c r="B64" s="101"/>
      <c r="C64" s="102" t="s">
        <v>1594</v>
      </c>
      <c r="D64" s="43" t="b">
        <v>0</v>
      </c>
      <c r="F64" s="43" t="str">
        <f>iferror(VLOOKUP(C64,'PT Results'!A:Z,26,false),"Graded Upon Submission")</f>
        <v>Graded Upon Submission</v>
      </c>
    </row>
    <row r="65">
      <c r="B65" s="101"/>
      <c r="C65" s="102" t="s">
        <v>1595</v>
      </c>
      <c r="D65" s="43" t="b">
        <v>0</v>
      </c>
      <c r="F65" s="43" t="str">
        <f>iferror(VLOOKUP(C65,'PT Results'!A:Z,26,false),"Graded Upon Submission")</f>
        <v>Graded Upon Submission</v>
      </c>
    </row>
    <row r="66">
      <c r="B66" s="101"/>
      <c r="C66" s="102" t="s">
        <v>1596</v>
      </c>
      <c r="D66" s="43" t="b">
        <v>0</v>
      </c>
      <c r="F66" s="43" t="str">
        <f>iferror(VLOOKUP(C66,'PT Results'!A:Z,26,false),"Graded Upon Submission")</f>
        <v>Graded Upon Submission</v>
      </c>
    </row>
    <row r="67">
      <c r="B67" s="101"/>
      <c r="C67" s="102" t="s">
        <v>1597</v>
      </c>
      <c r="D67" s="43" t="b">
        <v>0</v>
      </c>
      <c r="F67" s="43" t="str">
        <f>iferror(VLOOKUP(C67,'PT Results'!A:Z,26,false),"Graded Upon Submission")</f>
        <v>Graded Upon Submission</v>
      </c>
    </row>
    <row r="68">
      <c r="B68" s="101"/>
      <c r="C68" s="102" t="s">
        <v>1598</v>
      </c>
      <c r="D68" s="43" t="b">
        <v>0</v>
      </c>
      <c r="F68" s="43" t="str">
        <f>iferror(VLOOKUP(C68,'PT Results'!A:Z,26,false),"Graded Upon Submission")</f>
        <v>Graded Upon Submission</v>
      </c>
    </row>
    <row r="69">
      <c r="B69" s="101"/>
      <c r="C69" s="102" t="s">
        <v>1599</v>
      </c>
      <c r="D69" s="43" t="b">
        <v>0</v>
      </c>
      <c r="F69" s="43" t="str">
        <f>iferror(VLOOKUP(C69,'PT Results'!A:Z,26,false),"Graded Upon Submission")</f>
        <v>Graded Upon Submission</v>
      </c>
    </row>
    <row r="70">
      <c r="B70" s="101"/>
      <c r="C70" s="102" t="s">
        <v>1600</v>
      </c>
      <c r="D70" s="43" t="b">
        <v>0</v>
      </c>
      <c r="F70" s="43" t="str">
        <f>iferror(VLOOKUP(C70,'PT Results'!A:Z,26,false),"Graded Upon Submission")</f>
        <v>Graded Upon Submission</v>
      </c>
    </row>
    <row r="71">
      <c r="B71" s="101"/>
      <c r="C71" s="102" t="s">
        <v>1601</v>
      </c>
      <c r="D71" s="43" t="b">
        <v>0</v>
      </c>
      <c r="F71" s="43" t="str">
        <f>iferror(VLOOKUP(C71,'PT Results'!A:Z,26,false),"Graded Upon Submission")</f>
        <v>Graded Upon Submission</v>
      </c>
    </row>
    <row r="72">
      <c r="B72" s="101"/>
      <c r="C72" s="102" t="s">
        <v>1602</v>
      </c>
      <c r="D72" s="43" t="b">
        <v>0</v>
      </c>
      <c r="F72" s="43" t="str">
        <f>iferror(VLOOKUP(C72,'PT Results'!A:Z,26,false),"Graded Upon Submission")</f>
        <v>Graded Upon Submission</v>
      </c>
    </row>
    <row r="73">
      <c r="B73" s="101"/>
      <c r="C73" s="102" t="s">
        <v>1603</v>
      </c>
      <c r="D73" s="43" t="b">
        <v>0</v>
      </c>
      <c r="F73" s="43" t="str">
        <f>iferror(VLOOKUP(C73,'PT Results'!A:Z,26,false),"Graded Upon Submission")</f>
        <v>Graded Upon Submission</v>
      </c>
    </row>
    <row r="74">
      <c r="B74" s="101"/>
      <c r="C74" s="102" t="s">
        <v>1604</v>
      </c>
      <c r="D74" s="43" t="b">
        <v>0</v>
      </c>
      <c r="F74" s="43" t="str">
        <f>iferror(VLOOKUP(C74,'PT Results'!A:Z,26,false),"Graded Upon Submission")</f>
        <v>Graded Upon Submission</v>
      </c>
    </row>
    <row r="75">
      <c r="B75" s="101"/>
      <c r="C75" s="102" t="s">
        <v>1605</v>
      </c>
      <c r="D75" s="43" t="b">
        <v>0</v>
      </c>
      <c r="F75" s="43" t="str">
        <f>iferror(VLOOKUP(C75,'PT Results'!A:Z,26,false),"Graded Upon Submission")</f>
        <v>Graded Upon Submission</v>
      </c>
    </row>
    <row r="76">
      <c r="B76" s="101"/>
      <c r="C76" s="102" t="s">
        <v>1606</v>
      </c>
      <c r="D76" s="43" t="b">
        <v>0</v>
      </c>
      <c r="F76" s="43" t="str">
        <f>iferror(VLOOKUP(C76,'PT Results'!A:Z,26,false),"Graded Upon Submission")</f>
        <v>Graded Upon Submission</v>
      </c>
    </row>
    <row r="77">
      <c r="B77" s="101"/>
      <c r="C77" s="102" t="s">
        <v>1607</v>
      </c>
      <c r="D77" s="43" t="b">
        <v>0</v>
      </c>
      <c r="F77" s="43" t="str">
        <f>iferror(VLOOKUP(C77,'PT Results'!A:Z,26,false),"Graded Upon Submission")</f>
        <v>Graded Upon Submission</v>
      </c>
    </row>
    <row r="78">
      <c r="B78" s="101"/>
      <c r="C78" s="102" t="s">
        <v>1608</v>
      </c>
      <c r="D78" s="43" t="b">
        <v>0</v>
      </c>
      <c r="F78" s="43" t="str">
        <f>iferror(VLOOKUP(C78,'PT Results'!A:Z,26,false),"Graded Upon Submission")</f>
        <v>Graded Upon Submission</v>
      </c>
    </row>
    <row r="79">
      <c r="B79" s="101"/>
      <c r="C79" s="102" t="s">
        <v>1609</v>
      </c>
      <c r="D79" s="43" t="b">
        <v>0</v>
      </c>
      <c r="F79" s="43" t="str">
        <f>iferror(VLOOKUP(C79,'PT Results'!A:Z,26,false),"Graded Upon Submission")</f>
        <v>Graded Upon Submission</v>
      </c>
    </row>
    <row r="80">
      <c r="B80" s="101"/>
      <c r="C80" s="102" t="s">
        <v>1610</v>
      </c>
      <c r="D80" s="43" t="b">
        <v>0</v>
      </c>
      <c r="F80" s="43" t="str">
        <f>iferror(VLOOKUP(C80,'PT Results'!A:Z,26,false),"Graded Upon Submission")</f>
        <v>Graded Upon Submission</v>
      </c>
    </row>
    <row r="81">
      <c r="B81" s="101"/>
      <c r="C81" s="102" t="s">
        <v>1611</v>
      </c>
      <c r="D81" s="43" t="b">
        <v>0</v>
      </c>
      <c r="F81" s="43" t="str">
        <f>iferror(VLOOKUP(C81,'PT Results'!A:Z,26,false),"Graded Upon Submission")</f>
        <v>Graded Upon Submission</v>
      </c>
    </row>
    <row r="82">
      <c r="B82" s="101"/>
      <c r="C82" s="102" t="s">
        <v>1612</v>
      </c>
      <c r="D82" s="43" t="b">
        <v>0</v>
      </c>
      <c r="F82" s="43" t="str">
        <f>iferror(VLOOKUP(C82,'PT Results'!A:Z,26,false),"Graded Upon Submission")</f>
        <v>Graded Upon Submission</v>
      </c>
    </row>
    <row r="83">
      <c r="B83" s="101"/>
      <c r="C83" s="102" t="s">
        <v>1613</v>
      </c>
      <c r="D83" s="43" t="b">
        <v>0</v>
      </c>
      <c r="F83" s="43" t="str">
        <f>iferror(VLOOKUP(C83,'PT Results'!A:Z,26,false),"Graded Upon Submission")</f>
        <v>Graded Upon Submission</v>
      </c>
    </row>
    <row r="84">
      <c r="B84" s="101"/>
      <c r="C84" s="102" t="s">
        <v>1614</v>
      </c>
      <c r="D84" s="43" t="b">
        <v>0</v>
      </c>
      <c r="F84" s="43" t="str">
        <f>iferror(VLOOKUP(C84,'PT Results'!A:Z,26,false),"Graded Upon Submission")</f>
        <v>Graded Upon Submission</v>
      </c>
    </row>
    <row r="85">
      <c r="B85" s="101"/>
      <c r="C85" s="102" t="s">
        <v>1615</v>
      </c>
      <c r="D85" s="43" t="b">
        <v>0</v>
      </c>
      <c r="F85" s="43" t="str">
        <f>iferror(VLOOKUP(C85,'PT Results'!A:Z,26,false),"Graded Upon Submission")</f>
        <v>Graded Upon Submission</v>
      </c>
    </row>
    <row r="86">
      <c r="B86" s="101"/>
      <c r="C86" s="102" t="s">
        <v>1616</v>
      </c>
      <c r="D86" s="43" t="b">
        <v>0</v>
      </c>
      <c r="F86" s="43" t="str">
        <f>iferror(VLOOKUP(C86,'PT Results'!A:Z,26,false),"Graded Upon Submission")</f>
        <v>Graded Upon Submission</v>
      </c>
    </row>
    <row r="87">
      <c r="B87" s="101"/>
      <c r="C87" s="102" t="s">
        <v>1617</v>
      </c>
      <c r="D87" s="43" t="b">
        <v>0</v>
      </c>
      <c r="F87" s="43" t="str">
        <f>iferror(VLOOKUP(C87,'PT Results'!A:Z,26,false),"Graded Upon Submission")</f>
        <v>Graded Upon Submission</v>
      </c>
    </row>
    <row r="88">
      <c r="B88" s="101"/>
      <c r="C88" s="102" t="s">
        <v>1618</v>
      </c>
      <c r="D88" s="43" t="b">
        <v>0</v>
      </c>
      <c r="F88" s="43" t="str">
        <f>iferror(VLOOKUP(C88,'PT Results'!A:Z,26,false),"Graded Upon Submission")</f>
        <v>Graded Upon Submission</v>
      </c>
    </row>
    <row r="89">
      <c r="B89" s="101"/>
      <c r="C89" s="102" t="s">
        <v>1619</v>
      </c>
      <c r="D89" s="43" t="b">
        <v>0</v>
      </c>
      <c r="F89" s="43" t="str">
        <f>iferror(VLOOKUP(C89,'PT Results'!A:Z,26,false),"Graded Upon Submission")</f>
        <v>Graded Upon Submission</v>
      </c>
    </row>
    <row r="90">
      <c r="B90" s="101"/>
      <c r="C90" s="102" t="s">
        <v>1620</v>
      </c>
      <c r="D90" s="43" t="b">
        <v>0</v>
      </c>
      <c r="F90" s="43" t="str">
        <f>iferror(VLOOKUP(C90,'PT Results'!A:Z,26,false),"Graded Upon Submission")</f>
        <v>Graded Upon Submission</v>
      </c>
    </row>
    <row r="91">
      <c r="B91" s="101"/>
      <c r="C91" s="102" t="s">
        <v>1621</v>
      </c>
      <c r="D91" s="43" t="b">
        <v>0</v>
      </c>
      <c r="F91" s="43" t="str">
        <f>iferror(VLOOKUP(C91,'PT Results'!A:Z,26,false),"Graded Upon Submission")</f>
        <v>Graded Upon Submission</v>
      </c>
    </row>
    <row r="92">
      <c r="B92" s="101"/>
      <c r="C92" s="102" t="s">
        <v>1622</v>
      </c>
      <c r="D92" s="43" t="b">
        <v>0</v>
      </c>
      <c r="F92" s="43" t="str">
        <f>iferror(VLOOKUP(C92,'PT Results'!A:Z,26,false),"Graded Upon Submission")</f>
        <v>Graded Upon Submission</v>
      </c>
    </row>
    <row r="93">
      <c r="B93" s="101"/>
      <c r="C93" s="102" t="s">
        <v>1623</v>
      </c>
      <c r="D93" s="43" t="b">
        <v>0</v>
      </c>
      <c r="F93" s="43" t="str">
        <f>iferror(VLOOKUP(C93,'PT Results'!A:Z,26,false),"Graded Upon Submission")</f>
        <v>Graded Upon Submission</v>
      </c>
    </row>
    <row r="94">
      <c r="B94" s="101"/>
      <c r="C94" s="102" t="s">
        <v>1624</v>
      </c>
      <c r="D94" s="43" t="b">
        <v>0</v>
      </c>
      <c r="F94" s="43" t="str">
        <f>iferror(VLOOKUP(C94,'PT Results'!A:Z,26,false),"Graded Upon Submission")</f>
        <v>Graded Upon Submission</v>
      </c>
    </row>
    <row r="95">
      <c r="B95" s="101"/>
      <c r="C95" s="102" t="s">
        <v>1625</v>
      </c>
      <c r="D95" s="43" t="b">
        <v>0</v>
      </c>
      <c r="F95" s="43" t="str">
        <f>iferror(VLOOKUP(C95,'PT Results'!A:Z,26,false),"Graded Upon Submission")</f>
        <v>Graded Upon Submission</v>
      </c>
    </row>
    <row r="96">
      <c r="B96" s="101"/>
      <c r="C96" s="102" t="s">
        <v>1626</v>
      </c>
      <c r="D96" s="43" t="b">
        <v>0</v>
      </c>
      <c r="F96" s="43" t="str">
        <f>iferror(VLOOKUP(C96,'PT Results'!A:Z,26,false),"Graded Upon Submission")</f>
        <v>Graded Upon Submission</v>
      </c>
    </row>
    <row r="97">
      <c r="B97" s="101"/>
      <c r="C97" s="102" t="s">
        <v>1627</v>
      </c>
      <c r="D97" s="43" t="b">
        <v>0</v>
      </c>
      <c r="F97" s="43" t="str">
        <f>iferror(VLOOKUP(C97,'PT Results'!A:Z,26,false),"Graded Upon Submission")</f>
        <v>Graded Upon Submission</v>
      </c>
    </row>
    <row r="98">
      <c r="B98" s="101"/>
      <c r="C98" s="102" t="s">
        <v>1628</v>
      </c>
      <c r="D98" s="43" t="b">
        <v>0</v>
      </c>
      <c r="F98" s="43" t="str">
        <f>iferror(VLOOKUP(C98,'PT Results'!A:Z,26,false),"Graded Upon Submission")</f>
        <v>Graded Upon Submission</v>
      </c>
    </row>
    <row r="99">
      <c r="B99" s="101"/>
      <c r="C99" s="102" t="s">
        <v>1629</v>
      </c>
      <c r="D99" s="43" t="b">
        <v>0</v>
      </c>
      <c r="F99" s="43" t="str">
        <f>iferror(VLOOKUP(C99,'PT Results'!A:Z,26,false),"Graded Upon Submission")</f>
        <v>Graded Upon Submission</v>
      </c>
    </row>
    <row r="100">
      <c r="B100" s="101"/>
      <c r="C100" s="102" t="s">
        <v>1630</v>
      </c>
      <c r="D100" s="43" t="b">
        <v>0</v>
      </c>
      <c r="F100" s="43" t="str">
        <f>iferror(VLOOKUP(C100,'PT Results'!A:Z,26,false),"Graded Upon Submission")</f>
        <v>Graded Upon Submission</v>
      </c>
    </row>
    <row r="101">
      <c r="B101" s="101"/>
      <c r="C101" s="102" t="s">
        <v>1631</v>
      </c>
      <c r="D101" s="43" t="b">
        <v>0</v>
      </c>
      <c r="F101" s="43" t="str">
        <f>iferror(VLOOKUP(C101,'PT Results'!A:Z,26,false),"Graded Upon Submission")</f>
        <v>Graded Upon Submission</v>
      </c>
    </row>
    <row r="102">
      <c r="B102" s="101"/>
      <c r="C102" s="102" t="s">
        <v>1632</v>
      </c>
      <c r="D102" s="43" t="b">
        <v>0</v>
      </c>
      <c r="F102" s="43" t="str">
        <f>iferror(VLOOKUP(C102,'PT Results'!A:Z,26,false),"Graded Upon Submission")</f>
        <v>Graded Upon Submission</v>
      </c>
    </row>
    <row r="103">
      <c r="B103" s="101"/>
      <c r="C103" s="102" t="s">
        <v>1633</v>
      </c>
      <c r="D103" s="43" t="b">
        <v>0</v>
      </c>
      <c r="F103" s="43" t="str">
        <f>iferror(VLOOKUP(C103,'PT Results'!A:Z,26,false),"Graded Upon Submission")</f>
        <v>Graded Upon Submission</v>
      </c>
    </row>
    <row r="104">
      <c r="B104" s="101"/>
      <c r="C104" s="102" t="s">
        <v>1634</v>
      </c>
      <c r="D104" s="43" t="b">
        <v>0</v>
      </c>
      <c r="F104" s="43" t="str">
        <f>iferror(VLOOKUP(C104,'PT Results'!A:Z,26,false),"Graded Upon Submission")</f>
        <v>Graded Upon Submission</v>
      </c>
    </row>
    <row r="105">
      <c r="B105" s="101"/>
      <c r="C105" s="102" t="s">
        <v>1635</v>
      </c>
      <c r="D105" s="43" t="b">
        <v>0</v>
      </c>
      <c r="F105" s="43" t="str">
        <f>iferror(VLOOKUP(C105,'PT Results'!A:Z,26,false),"Graded Upon Submission")</f>
        <v>Graded Upon Submission</v>
      </c>
    </row>
    <row r="106">
      <c r="B106" s="101"/>
      <c r="C106" s="102" t="s">
        <v>1636</v>
      </c>
      <c r="D106" s="43" t="b">
        <v>0</v>
      </c>
      <c r="F106" s="43" t="str">
        <f>iferror(VLOOKUP(C106,'PT Results'!A:Z,26,false),"Graded Upon Submission")</f>
        <v>Graded Upon Submission</v>
      </c>
    </row>
    <row r="107">
      <c r="B107" s="5"/>
      <c r="C107" s="5"/>
    </row>
    <row r="108">
      <c r="B108" s="5"/>
      <c r="C108" s="5"/>
    </row>
    <row r="109">
      <c r="B109" s="5"/>
      <c r="C109" s="5"/>
    </row>
    <row r="110">
      <c r="B110" s="5"/>
      <c r="C110" s="5"/>
    </row>
    <row r="111">
      <c r="B111" s="5"/>
      <c r="C111" s="5"/>
    </row>
    <row r="112">
      <c r="B112" s="5"/>
      <c r="C112" s="5"/>
    </row>
    <row r="113">
      <c r="B113" s="5"/>
      <c r="C113" s="5"/>
    </row>
    <row r="114">
      <c r="B114" s="5"/>
      <c r="C114" s="5"/>
    </row>
    <row r="115">
      <c r="B115" s="5"/>
      <c r="C115" s="5"/>
    </row>
    <row r="116">
      <c r="B116" s="5"/>
      <c r="C116" s="5"/>
    </row>
    <row r="117">
      <c r="B117" s="5"/>
      <c r="C117" s="5"/>
    </row>
    <row r="118">
      <c r="B118" s="5"/>
      <c r="C118" s="5"/>
    </row>
    <row r="119">
      <c r="B119" s="5"/>
      <c r="C119" s="5"/>
    </row>
    <row r="120">
      <c r="B120" s="5"/>
      <c r="C120" s="5"/>
    </row>
    <row r="121">
      <c r="B121" s="5"/>
      <c r="C121" s="5"/>
    </row>
    <row r="122">
      <c r="B122" s="5"/>
      <c r="C122" s="5"/>
    </row>
    <row r="123">
      <c r="B123" s="5"/>
      <c r="C123" s="5"/>
    </row>
    <row r="124">
      <c r="B124" s="5"/>
      <c r="C124" s="5"/>
    </row>
    <row r="125">
      <c r="B125" s="5"/>
      <c r="C125" s="5"/>
    </row>
    <row r="126">
      <c r="B126" s="5"/>
      <c r="C126" s="5"/>
    </row>
    <row r="127">
      <c r="B127" s="5"/>
      <c r="C127" s="5"/>
    </row>
    <row r="128">
      <c r="B128" s="5"/>
      <c r="C128" s="5"/>
    </row>
    <row r="129">
      <c r="B129" s="5"/>
      <c r="C129" s="5"/>
    </row>
    <row r="130">
      <c r="B130" s="5"/>
      <c r="C130" s="5"/>
    </row>
    <row r="131">
      <c r="B131" s="5"/>
      <c r="C131" s="5"/>
    </row>
    <row r="132">
      <c r="B132" s="5"/>
      <c r="C132" s="5"/>
    </row>
    <row r="133">
      <c r="B133" s="5"/>
      <c r="C133" s="5"/>
    </row>
    <row r="134">
      <c r="B134" s="5"/>
      <c r="C134" s="5"/>
    </row>
    <row r="135">
      <c r="B135" s="5"/>
      <c r="C135" s="5"/>
    </row>
    <row r="136">
      <c r="B136" s="5"/>
      <c r="C136" s="5"/>
    </row>
    <row r="137">
      <c r="B137" s="5"/>
      <c r="C137" s="5"/>
    </row>
    <row r="138">
      <c r="B138" s="5"/>
      <c r="C138" s="5"/>
    </row>
    <row r="139">
      <c r="B139" s="5"/>
      <c r="C139" s="5"/>
    </row>
    <row r="140">
      <c r="B140" s="5"/>
      <c r="C140" s="5"/>
    </row>
    <row r="141">
      <c r="B141" s="5"/>
      <c r="C141" s="5"/>
    </row>
    <row r="142">
      <c r="B142" s="5"/>
      <c r="C142" s="5"/>
    </row>
    <row r="143">
      <c r="B143" s="5"/>
      <c r="C143" s="5"/>
    </row>
    <row r="144">
      <c r="B144" s="5"/>
      <c r="C144" s="5"/>
    </row>
    <row r="145">
      <c r="B145" s="5"/>
      <c r="C145" s="5"/>
    </row>
    <row r="146">
      <c r="B146" s="5"/>
      <c r="C146" s="5"/>
    </row>
    <row r="147">
      <c r="B147" s="5"/>
      <c r="C147" s="5"/>
    </row>
    <row r="148">
      <c r="B148" s="5"/>
      <c r="C148" s="5"/>
    </row>
    <row r="149">
      <c r="B149" s="5"/>
      <c r="C149" s="5"/>
    </row>
    <row r="150">
      <c r="B150" s="5"/>
      <c r="C150" s="5"/>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s>
  <drawing r:id="rId10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s>
  <sheetData>
    <row r="2">
      <c r="B2" s="104" t="s">
        <v>1461</v>
      </c>
      <c r="C2" s="105">
        <f t="shared" ref="C2:J2" si="1">sum(C4:C1000)</f>
        <v>0</v>
      </c>
      <c r="D2" s="105">
        <f t="shared" si="1"/>
        <v>0</v>
      </c>
      <c r="E2" s="105">
        <f t="shared" si="1"/>
        <v>2</v>
      </c>
      <c r="F2" s="105">
        <f t="shared" si="1"/>
        <v>2</v>
      </c>
      <c r="G2" s="105">
        <f t="shared" si="1"/>
        <v>0</v>
      </c>
      <c r="H2" s="105">
        <f t="shared" si="1"/>
        <v>0</v>
      </c>
      <c r="I2" s="105">
        <f t="shared" si="1"/>
        <v>0</v>
      </c>
      <c r="J2" s="105">
        <f t="shared" si="1"/>
        <v>4</v>
      </c>
    </row>
    <row r="3">
      <c r="B3" s="106" t="s">
        <v>1637</v>
      </c>
      <c r="C3" s="107">
        <v>46160.0</v>
      </c>
      <c r="D3" s="108">
        <f t="shared" ref="D3:I3" si="2">C3+1</f>
        <v>46161</v>
      </c>
      <c r="E3" s="108">
        <f t="shared" si="2"/>
        <v>46162</v>
      </c>
      <c r="F3" s="108">
        <f t="shared" si="2"/>
        <v>46163</v>
      </c>
      <c r="G3" s="108">
        <f t="shared" si="2"/>
        <v>46164</v>
      </c>
      <c r="H3" s="108">
        <f t="shared" si="2"/>
        <v>46165</v>
      </c>
      <c r="I3" s="108">
        <f t="shared" si="2"/>
        <v>46166</v>
      </c>
      <c r="J3" s="106" t="s">
        <v>1461</v>
      </c>
    </row>
    <row r="4">
      <c r="B4" s="43" t="str">
        <f>IFERROR(__xludf.DUMMYFUNCTION("SORT(UNIQUE(FILTER('Practice Task'!A2:A1000, 'Practice Task'!A2:A1000&lt;&gt;"""")))"),"Alan B")</f>
        <v>Alan B</v>
      </c>
      <c r="C4" s="43">
        <f>IFERROR(__xludf.DUMMYFUNCTION("COUNTUNIQUEIFS('Practice Task'!$C:$C,'Practice Task'!$A:$A,$B4,'Practice Task'!$D:$D,TRUE,'Practice Task'!$E:$E,C$3)"),0.0)</f>
        <v>0</v>
      </c>
      <c r="D4" s="43">
        <f>IFERROR(__xludf.DUMMYFUNCTION("COUNTUNIQUEIFS('Practice Task'!$C:$C,'Practice Task'!$A:$A,$B4,'Practice Task'!$D:$D,TRUE,'Practice Task'!$E:$E,D$3)"),0.0)</f>
        <v>0</v>
      </c>
      <c r="E4" s="43">
        <f>IFERROR(__xludf.DUMMYFUNCTION("COUNTUNIQUEIFS('Practice Task'!$C:$C,'Practice Task'!$A:$A,$B4,'Practice Task'!$D:$D,TRUE,'Practice Task'!$E:$E,E$3)"),0.0)</f>
        <v>0</v>
      </c>
      <c r="F4" s="43">
        <f>IFERROR(__xludf.DUMMYFUNCTION("COUNTUNIQUEIFS('Practice Task'!$C:$C,'Practice Task'!$A:$A,$B4,'Practice Task'!$D:$D,TRUE,'Practice Task'!$E:$E,F$3)"),0.0)</f>
        <v>0</v>
      </c>
      <c r="G4" s="43">
        <f>IFERROR(__xludf.DUMMYFUNCTION("COUNTUNIQUEIFS('Practice Task'!$C:$C,'Practice Task'!$A:$A,$B4,'Practice Task'!$D:$D,TRUE,'Practice Task'!$E:$E,G$3)"),0.0)</f>
        <v>0</v>
      </c>
      <c r="H4" s="43">
        <f>IFERROR(__xludf.DUMMYFUNCTION("COUNTUNIQUEIFS('Practice Task'!$C:$C,'Practice Task'!$A:$A,$B4,'Practice Task'!$D:$D,TRUE,'Practice Task'!$E:$E,H$3)"),0.0)</f>
        <v>0</v>
      </c>
      <c r="I4" s="43">
        <f>IFERROR(__xludf.DUMMYFUNCTION("COUNTUNIQUEIFS('Practice Task'!$C:$C,'Practice Task'!$A:$A,$B4,'Practice Task'!$D:$D,TRUE,'Practice Task'!$E:$E,I$3)"),0.0)</f>
        <v>0</v>
      </c>
      <c r="J4" s="43">
        <f t="shared" ref="J4:J12" si="3">SUM(C4:I4)</f>
        <v>0</v>
      </c>
    </row>
    <row r="5">
      <c r="B5" s="43" t="str">
        <f>IFERROR(__xludf.DUMMYFUNCTION("""COMPUTED_VALUE"""),"Artus G")</f>
        <v>Artus G</v>
      </c>
      <c r="C5" s="43">
        <f>IFERROR(__xludf.DUMMYFUNCTION("COUNTUNIQUEIFS('Practice Task'!$C:$C,'Practice Task'!$A:$A,$B5,'Practice Task'!$D:$D,TRUE,'Practice Task'!$E:$E,C$3)"),0.0)</f>
        <v>0</v>
      </c>
      <c r="D5" s="43">
        <f>IFERROR(__xludf.DUMMYFUNCTION("COUNTUNIQUEIFS('Practice Task'!$C:$C,'Practice Task'!$A:$A,$B5,'Practice Task'!$D:$D,TRUE,'Practice Task'!$E:$E,D$3)"),0.0)</f>
        <v>0</v>
      </c>
      <c r="E5" s="43">
        <f>IFERROR(__xludf.DUMMYFUNCTION("COUNTUNIQUEIFS('Practice Task'!$C:$C,'Practice Task'!$A:$A,$B5,'Practice Task'!$D:$D,TRUE,'Practice Task'!$E:$E,E$3)"),0.0)</f>
        <v>0</v>
      </c>
      <c r="F5" s="43">
        <f>IFERROR(__xludf.DUMMYFUNCTION("COUNTUNIQUEIFS('Practice Task'!$C:$C,'Practice Task'!$A:$A,$B5,'Practice Task'!$D:$D,TRUE,'Practice Task'!$E:$E,F$3)"),1.0)</f>
        <v>1</v>
      </c>
      <c r="G5" s="43">
        <f>IFERROR(__xludf.DUMMYFUNCTION("COUNTUNIQUEIFS('Practice Task'!$C:$C,'Practice Task'!$A:$A,$B5,'Practice Task'!$D:$D,TRUE,'Practice Task'!$E:$E,G$3)"),0.0)</f>
        <v>0</v>
      </c>
      <c r="H5" s="43">
        <f>IFERROR(__xludf.DUMMYFUNCTION("COUNTUNIQUEIFS('Practice Task'!$C:$C,'Practice Task'!$A:$A,$B5,'Practice Task'!$D:$D,TRUE,'Practice Task'!$E:$E,H$3)"),0.0)</f>
        <v>0</v>
      </c>
      <c r="I5" s="43">
        <f>IFERROR(__xludf.DUMMYFUNCTION("COUNTUNIQUEIFS('Practice Task'!$C:$C,'Practice Task'!$A:$A,$B5,'Practice Task'!$D:$D,TRUE,'Practice Task'!$E:$E,I$3)"),0.0)</f>
        <v>0</v>
      </c>
      <c r="J5" s="43">
        <f t="shared" si="3"/>
        <v>1</v>
      </c>
    </row>
    <row r="6">
      <c r="B6" s="43" t="str">
        <f>IFERROR(__xludf.DUMMYFUNCTION("""COMPUTED_VALUE"""),"Balthazar V")</f>
        <v>Balthazar V</v>
      </c>
      <c r="C6" s="43">
        <f>IFERROR(__xludf.DUMMYFUNCTION("COUNTUNIQUEIFS('Practice Task'!$C:$C,'Practice Task'!$A:$A,$B6,'Practice Task'!$D:$D,TRUE,'Practice Task'!$E:$E,C$3)"),0.0)</f>
        <v>0</v>
      </c>
      <c r="D6" s="43">
        <f>IFERROR(__xludf.DUMMYFUNCTION("COUNTUNIQUEIFS('Practice Task'!$C:$C,'Practice Task'!$A:$A,$B6,'Practice Task'!$D:$D,TRUE,'Practice Task'!$E:$E,D$3)"),0.0)</f>
        <v>0</v>
      </c>
      <c r="E6" s="43">
        <f>IFERROR(__xludf.DUMMYFUNCTION("COUNTUNIQUEIFS('Practice Task'!$C:$C,'Practice Task'!$A:$A,$B6,'Practice Task'!$D:$D,TRUE,'Practice Task'!$E:$E,E$3)"),1.0)</f>
        <v>1</v>
      </c>
      <c r="F6" s="43">
        <f>IFERROR(__xludf.DUMMYFUNCTION("COUNTUNIQUEIFS('Practice Task'!$C:$C,'Practice Task'!$A:$A,$B6,'Practice Task'!$D:$D,TRUE,'Practice Task'!$E:$E,F$3)"),0.0)</f>
        <v>0</v>
      </c>
      <c r="G6" s="43">
        <f>IFERROR(__xludf.DUMMYFUNCTION("COUNTUNIQUEIFS('Practice Task'!$C:$C,'Practice Task'!$A:$A,$B6,'Practice Task'!$D:$D,TRUE,'Practice Task'!$E:$E,G$3)"),0.0)</f>
        <v>0</v>
      </c>
      <c r="H6" s="43">
        <f>IFERROR(__xludf.DUMMYFUNCTION("COUNTUNIQUEIFS('Practice Task'!$C:$C,'Practice Task'!$A:$A,$B6,'Practice Task'!$D:$D,TRUE,'Practice Task'!$E:$E,H$3)"),0.0)</f>
        <v>0</v>
      </c>
      <c r="I6" s="43">
        <f>IFERROR(__xludf.DUMMYFUNCTION("COUNTUNIQUEIFS('Practice Task'!$C:$C,'Practice Task'!$A:$A,$B6,'Practice Task'!$D:$D,TRUE,'Practice Task'!$E:$E,I$3)"),0.0)</f>
        <v>0</v>
      </c>
      <c r="J6" s="43">
        <f t="shared" si="3"/>
        <v>1</v>
      </c>
    </row>
    <row r="7">
      <c r="B7" s="43" t="str">
        <f>IFERROR(__xludf.DUMMYFUNCTION("""COMPUTED_VALUE"""),"Dillon K")</f>
        <v>Dillon K</v>
      </c>
      <c r="C7" s="43">
        <f>IFERROR(__xludf.DUMMYFUNCTION("COUNTUNIQUEIFS('Practice Task'!$C:$C,'Practice Task'!$A:$A,$B7,'Practice Task'!$D:$D,TRUE,'Practice Task'!$E:$E,C$3)"),0.0)</f>
        <v>0</v>
      </c>
      <c r="D7" s="43">
        <f>IFERROR(__xludf.DUMMYFUNCTION("COUNTUNIQUEIFS('Practice Task'!$C:$C,'Practice Task'!$A:$A,$B7,'Practice Task'!$D:$D,TRUE,'Practice Task'!$E:$E,D$3)"),0.0)</f>
        <v>0</v>
      </c>
      <c r="E7" s="43">
        <f>IFERROR(__xludf.DUMMYFUNCTION("COUNTUNIQUEIFS('Practice Task'!$C:$C,'Practice Task'!$A:$A,$B7,'Practice Task'!$D:$D,TRUE,'Practice Task'!$E:$E,E$3)"),0.0)</f>
        <v>0</v>
      </c>
      <c r="F7" s="43">
        <f>IFERROR(__xludf.DUMMYFUNCTION("COUNTUNIQUEIFS('Practice Task'!$C:$C,'Practice Task'!$A:$A,$B7,'Practice Task'!$D:$D,TRUE,'Practice Task'!$E:$E,F$3)"),1.0)</f>
        <v>1</v>
      </c>
      <c r="G7" s="43">
        <f>IFERROR(__xludf.DUMMYFUNCTION("COUNTUNIQUEIFS('Practice Task'!$C:$C,'Practice Task'!$A:$A,$B7,'Practice Task'!$D:$D,TRUE,'Practice Task'!$E:$E,G$3)"),0.0)</f>
        <v>0</v>
      </c>
      <c r="H7" s="43">
        <f>IFERROR(__xludf.DUMMYFUNCTION("COUNTUNIQUEIFS('Practice Task'!$C:$C,'Practice Task'!$A:$A,$B7,'Practice Task'!$D:$D,TRUE,'Practice Task'!$E:$E,H$3)"),0.0)</f>
        <v>0</v>
      </c>
      <c r="I7" s="43">
        <f>IFERROR(__xludf.DUMMYFUNCTION("COUNTUNIQUEIFS('Practice Task'!$C:$C,'Practice Task'!$A:$A,$B7,'Practice Task'!$D:$D,TRUE,'Practice Task'!$E:$E,I$3)"),0.0)</f>
        <v>0</v>
      </c>
      <c r="J7" s="43">
        <f t="shared" si="3"/>
        <v>1</v>
      </c>
    </row>
    <row r="8">
      <c r="B8" s="43" t="str">
        <f>IFERROR(__xludf.DUMMYFUNCTION("""COMPUTED_VALUE"""),"Jack C")</f>
        <v>Jack C</v>
      </c>
      <c r="C8" s="43">
        <f>IFERROR(__xludf.DUMMYFUNCTION("COUNTUNIQUEIFS('Practice Task'!$C:$C,'Practice Task'!$A:$A,$B8,'Practice Task'!$D:$D,TRUE,'Practice Task'!$E:$E,C$3)"),0.0)</f>
        <v>0</v>
      </c>
      <c r="D8" s="43">
        <f>IFERROR(__xludf.DUMMYFUNCTION("COUNTUNIQUEIFS('Practice Task'!$C:$C,'Practice Task'!$A:$A,$B8,'Practice Task'!$D:$D,TRUE,'Practice Task'!$E:$E,D$3)"),0.0)</f>
        <v>0</v>
      </c>
      <c r="E8" s="43">
        <f>IFERROR(__xludf.DUMMYFUNCTION("COUNTUNIQUEIFS('Practice Task'!$C:$C,'Practice Task'!$A:$A,$B8,'Practice Task'!$D:$D,TRUE,'Practice Task'!$E:$E,E$3)"),0.0)</f>
        <v>0</v>
      </c>
      <c r="F8" s="43">
        <f>IFERROR(__xludf.DUMMYFUNCTION("COUNTUNIQUEIFS('Practice Task'!$C:$C,'Practice Task'!$A:$A,$B8,'Practice Task'!$D:$D,TRUE,'Practice Task'!$E:$E,F$3)"),0.0)</f>
        <v>0</v>
      </c>
      <c r="G8" s="43">
        <f>IFERROR(__xludf.DUMMYFUNCTION("COUNTUNIQUEIFS('Practice Task'!$C:$C,'Practice Task'!$A:$A,$B8,'Practice Task'!$D:$D,TRUE,'Practice Task'!$E:$E,G$3)"),0.0)</f>
        <v>0</v>
      </c>
      <c r="H8" s="43">
        <f>IFERROR(__xludf.DUMMYFUNCTION("COUNTUNIQUEIFS('Practice Task'!$C:$C,'Practice Task'!$A:$A,$B8,'Practice Task'!$D:$D,TRUE,'Practice Task'!$E:$E,H$3)"),0.0)</f>
        <v>0</v>
      </c>
      <c r="I8" s="43">
        <f>IFERROR(__xludf.DUMMYFUNCTION("COUNTUNIQUEIFS('Practice Task'!$C:$C,'Practice Task'!$A:$A,$B8,'Practice Task'!$D:$D,TRUE,'Practice Task'!$E:$E,I$3)"),0.0)</f>
        <v>0</v>
      </c>
      <c r="J8" s="43">
        <f t="shared" si="3"/>
        <v>0</v>
      </c>
    </row>
    <row r="9">
      <c r="B9" s="43" t="str">
        <f>IFERROR(__xludf.DUMMYFUNCTION("""COMPUTED_VALUE"""),"James")</f>
        <v>James</v>
      </c>
      <c r="C9" s="43">
        <f>IFERROR(__xludf.DUMMYFUNCTION("COUNTUNIQUEIFS('Practice Task'!$C:$C,'Practice Task'!$A:$A,$B9,'Practice Task'!$D:$D,TRUE,'Practice Task'!$E:$E,C$3)"),0.0)</f>
        <v>0</v>
      </c>
      <c r="D9" s="43">
        <f>IFERROR(__xludf.DUMMYFUNCTION("COUNTUNIQUEIFS('Practice Task'!$C:$C,'Practice Task'!$A:$A,$B9,'Practice Task'!$D:$D,TRUE,'Practice Task'!$E:$E,D$3)"),0.0)</f>
        <v>0</v>
      </c>
      <c r="E9" s="43">
        <f>IFERROR(__xludf.DUMMYFUNCTION("COUNTUNIQUEIFS('Practice Task'!$C:$C,'Practice Task'!$A:$A,$B9,'Practice Task'!$D:$D,TRUE,'Practice Task'!$E:$E,E$3)"),0.0)</f>
        <v>0</v>
      </c>
      <c r="F9" s="43">
        <f>IFERROR(__xludf.DUMMYFUNCTION("COUNTUNIQUEIFS('Practice Task'!$C:$C,'Practice Task'!$A:$A,$B9,'Practice Task'!$D:$D,TRUE,'Practice Task'!$E:$E,F$3)"),0.0)</f>
        <v>0</v>
      </c>
      <c r="G9" s="43">
        <f>IFERROR(__xludf.DUMMYFUNCTION("COUNTUNIQUEIFS('Practice Task'!$C:$C,'Practice Task'!$A:$A,$B9,'Practice Task'!$D:$D,TRUE,'Practice Task'!$E:$E,G$3)"),0.0)</f>
        <v>0</v>
      </c>
      <c r="H9" s="43">
        <f>IFERROR(__xludf.DUMMYFUNCTION("COUNTUNIQUEIFS('Practice Task'!$C:$C,'Practice Task'!$A:$A,$B9,'Practice Task'!$D:$D,TRUE,'Practice Task'!$E:$E,H$3)"),0.0)</f>
        <v>0</v>
      </c>
      <c r="I9" s="43">
        <f>IFERROR(__xludf.DUMMYFUNCTION("COUNTUNIQUEIFS('Practice Task'!$C:$C,'Practice Task'!$A:$A,$B9,'Practice Task'!$D:$D,TRUE,'Practice Task'!$E:$E,I$3)"),0.0)</f>
        <v>0</v>
      </c>
      <c r="J9" s="43">
        <f t="shared" si="3"/>
        <v>0</v>
      </c>
    </row>
    <row r="10">
      <c r="B10" s="43" t="str">
        <f>IFERROR(__xludf.DUMMYFUNCTION("""COMPUTED_VALUE"""),"John W")</f>
        <v>John W</v>
      </c>
      <c r="C10" s="43">
        <f>IFERROR(__xludf.DUMMYFUNCTION("COUNTUNIQUEIFS('Practice Task'!$C:$C,'Practice Task'!$A:$A,$B10,'Practice Task'!$D:$D,TRUE,'Practice Task'!$E:$E,C$3)"),0.0)</f>
        <v>0</v>
      </c>
      <c r="D10" s="43">
        <f>IFERROR(__xludf.DUMMYFUNCTION("COUNTUNIQUEIFS('Practice Task'!$C:$C,'Practice Task'!$A:$A,$B10,'Practice Task'!$D:$D,TRUE,'Practice Task'!$E:$E,D$3)"),0.0)</f>
        <v>0</v>
      </c>
      <c r="E10" s="43">
        <f>IFERROR(__xludf.DUMMYFUNCTION("COUNTUNIQUEIFS('Practice Task'!$C:$C,'Practice Task'!$A:$A,$B10,'Practice Task'!$D:$D,TRUE,'Practice Task'!$E:$E,E$3)"),0.0)</f>
        <v>0</v>
      </c>
      <c r="F10" s="43">
        <f>IFERROR(__xludf.DUMMYFUNCTION("COUNTUNIQUEIFS('Practice Task'!$C:$C,'Practice Task'!$A:$A,$B10,'Practice Task'!$D:$D,TRUE,'Practice Task'!$E:$E,F$3)"),0.0)</f>
        <v>0</v>
      </c>
      <c r="G10" s="43">
        <f>IFERROR(__xludf.DUMMYFUNCTION("COUNTUNIQUEIFS('Practice Task'!$C:$C,'Practice Task'!$A:$A,$B10,'Practice Task'!$D:$D,TRUE,'Practice Task'!$E:$E,G$3)"),0.0)</f>
        <v>0</v>
      </c>
      <c r="H10" s="43">
        <f>IFERROR(__xludf.DUMMYFUNCTION("COUNTUNIQUEIFS('Practice Task'!$C:$C,'Practice Task'!$A:$A,$B10,'Practice Task'!$D:$D,TRUE,'Practice Task'!$E:$E,H$3)"),0.0)</f>
        <v>0</v>
      </c>
      <c r="I10" s="43">
        <f>IFERROR(__xludf.DUMMYFUNCTION("COUNTUNIQUEIFS('Practice Task'!$C:$C,'Practice Task'!$A:$A,$B10,'Practice Task'!$D:$D,TRUE,'Practice Task'!$E:$E,I$3)"),0.0)</f>
        <v>0</v>
      </c>
      <c r="J10" s="43">
        <f t="shared" si="3"/>
        <v>0</v>
      </c>
    </row>
    <row r="11">
      <c r="B11" s="43" t="str">
        <f>IFERROR(__xludf.DUMMYFUNCTION("""COMPUTED_VALUE"""),"Nima K")</f>
        <v>Nima K</v>
      </c>
      <c r="C11" s="43">
        <f>IFERROR(__xludf.DUMMYFUNCTION("COUNTUNIQUEIFS('Practice Task'!$C:$C,'Practice Task'!$A:$A,$B11,'Practice Task'!$D:$D,TRUE,'Practice Task'!$E:$E,C$3)"),0.0)</f>
        <v>0</v>
      </c>
      <c r="D11" s="43">
        <f>IFERROR(__xludf.DUMMYFUNCTION("COUNTUNIQUEIFS('Practice Task'!$C:$C,'Practice Task'!$A:$A,$B11,'Practice Task'!$D:$D,TRUE,'Practice Task'!$E:$E,D$3)"),0.0)</f>
        <v>0</v>
      </c>
      <c r="E11" s="43">
        <f>IFERROR(__xludf.DUMMYFUNCTION("COUNTUNIQUEIFS('Practice Task'!$C:$C,'Practice Task'!$A:$A,$B11,'Practice Task'!$D:$D,TRUE,'Practice Task'!$E:$E,E$3)"),0.0)</f>
        <v>0</v>
      </c>
      <c r="F11" s="43">
        <f>IFERROR(__xludf.DUMMYFUNCTION("COUNTUNIQUEIFS('Practice Task'!$C:$C,'Practice Task'!$A:$A,$B11,'Practice Task'!$D:$D,TRUE,'Practice Task'!$E:$E,F$3)"),0.0)</f>
        <v>0</v>
      </c>
      <c r="G11" s="43">
        <f>IFERROR(__xludf.DUMMYFUNCTION("COUNTUNIQUEIFS('Practice Task'!$C:$C,'Practice Task'!$A:$A,$B11,'Practice Task'!$D:$D,TRUE,'Practice Task'!$E:$E,G$3)"),0.0)</f>
        <v>0</v>
      </c>
      <c r="H11" s="43">
        <f>IFERROR(__xludf.DUMMYFUNCTION("COUNTUNIQUEIFS('Practice Task'!$C:$C,'Practice Task'!$A:$A,$B11,'Practice Task'!$D:$D,TRUE,'Practice Task'!$E:$E,H$3)"),0.0)</f>
        <v>0</v>
      </c>
      <c r="I11" s="43">
        <f>IFERROR(__xludf.DUMMYFUNCTION("COUNTUNIQUEIFS('Practice Task'!$C:$C,'Practice Task'!$A:$A,$B11,'Practice Task'!$D:$D,TRUE,'Practice Task'!$E:$E,I$3)"),0.0)</f>
        <v>0</v>
      </c>
      <c r="J11" s="43">
        <f t="shared" si="3"/>
        <v>0</v>
      </c>
    </row>
    <row r="12">
      <c r="B12" s="43" t="str">
        <f>IFERROR(__xludf.DUMMYFUNCTION("""COMPUTED_VALUE"""),"Spencer D")</f>
        <v>Spencer D</v>
      </c>
      <c r="C12" s="43">
        <f>IFERROR(__xludf.DUMMYFUNCTION("COUNTUNIQUEIFS('Practice Task'!$C:$C,'Practice Task'!$A:$A,$B12,'Practice Task'!$D:$D,TRUE,'Practice Task'!$E:$E,C$3)"),0.0)</f>
        <v>0</v>
      </c>
      <c r="D12" s="43">
        <f>IFERROR(__xludf.DUMMYFUNCTION("COUNTUNIQUEIFS('Practice Task'!$C:$C,'Practice Task'!$A:$A,$B12,'Practice Task'!$D:$D,TRUE,'Practice Task'!$E:$E,D$3)"),0.0)</f>
        <v>0</v>
      </c>
      <c r="E12" s="43">
        <f>IFERROR(__xludf.DUMMYFUNCTION("COUNTUNIQUEIFS('Practice Task'!$C:$C,'Practice Task'!$A:$A,$B12,'Practice Task'!$D:$D,TRUE,'Practice Task'!$E:$E,E$3)"),1.0)</f>
        <v>1</v>
      </c>
      <c r="F12" s="43">
        <f>IFERROR(__xludf.DUMMYFUNCTION("COUNTUNIQUEIFS('Practice Task'!$C:$C,'Practice Task'!$A:$A,$B12,'Practice Task'!$D:$D,TRUE,'Practice Task'!$E:$E,F$3)"),0.0)</f>
        <v>0</v>
      </c>
      <c r="G12" s="43">
        <f>IFERROR(__xludf.DUMMYFUNCTION("COUNTUNIQUEIFS('Practice Task'!$C:$C,'Practice Task'!$A:$A,$B12,'Practice Task'!$D:$D,TRUE,'Practice Task'!$E:$E,G$3)"),0.0)</f>
        <v>0</v>
      </c>
      <c r="H12" s="43">
        <f>IFERROR(__xludf.DUMMYFUNCTION("COUNTUNIQUEIFS('Practice Task'!$C:$C,'Practice Task'!$A:$A,$B12,'Practice Task'!$D:$D,TRUE,'Practice Task'!$E:$E,H$3)"),0.0)</f>
        <v>0</v>
      </c>
      <c r="I12" s="43">
        <f>IFERROR(__xludf.DUMMYFUNCTION("COUNTUNIQUEIFS('Practice Task'!$C:$C,'Practice Task'!$A:$A,$B12,'Practice Task'!$D:$D,TRUE,'Practice Task'!$E:$E,I$3)"),0.0)</f>
        <v>0</v>
      </c>
      <c r="J12" s="43">
        <f t="shared" si="3"/>
        <v>1</v>
      </c>
    </row>
  </sheetData>
  <conditionalFormatting sqref="J4:J1000">
    <cfRule type="cellIs" dxfId="1" priority="1" operator="greaterThanOrEqual">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1638</v>
      </c>
      <c r="B1" s="82" t="s">
        <v>0</v>
      </c>
      <c r="C1" s="82" t="s">
        <v>1639</v>
      </c>
    </row>
    <row r="2">
      <c r="A2" s="109" t="s">
        <v>1640</v>
      </c>
      <c r="B2" s="4" t="s">
        <v>1641</v>
      </c>
      <c r="C2" s="43" t="str">
        <f>VLOOKUP(A2,'Practice Task'!C:C,1,false)</f>
        <v>#N/A</v>
      </c>
    </row>
    <row r="3">
      <c r="A3" s="109" t="s">
        <v>1642</v>
      </c>
      <c r="B3" s="4" t="s">
        <v>1643</v>
      </c>
      <c r="C3" s="43" t="str">
        <f>VLOOKUP(A3,'Practice Task'!C:C,1,false)</f>
        <v>#N/A</v>
      </c>
    </row>
    <row r="4">
      <c r="A4" s="109" t="s">
        <v>1644</v>
      </c>
      <c r="B4" s="4" t="s">
        <v>1645</v>
      </c>
      <c r="C4" s="43" t="str">
        <f>VLOOKUP(A4,'Practice Task'!C:C,1,false)</f>
        <v>#N/A</v>
      </c>
    </row>
    <row r="5">
      <c r="A5" s="109" t="s">
        <v>1646</v>
      </c>
      <c r="B5" s="4" t="s">
        <v>1647</v>
      </c>
      <c r="C5" s="43" t="str">
        <f>VLOOKUP(A5,'Practice Task'!C:C,1,false)</f>
        <v>#N/A</v>
      </c>
    </row>
    <row r="6">
      <c r="A6" s="109" t="s">
        <v>1648</v>
      </c>
      <c r="B6" s="4" t="s">
        <v>1649</v>
      </c>
      <c r="C6" s="43" t="str">
        <f>VLOOKUP(A6,'Practice Task'!C:C,1,false)</f>
        <v>#N/A</v>
      </c>
    </row>
    <row r="7">
      <c r="A7" s="109" t="s">
        <v>1650</v>
      </c>
      <c r="B7" s="4" t="s">
        <v>1651</v>
      </c>
      <c r="C7" s="43" t="str">
        <f>VLOOKUP(A7,'Practice Task'!C:C,1,false)</f>
        <v>#N/A</v>
      </c>
    </row>
    <row r="8">
      <c r="A8" s="109" t="s">
        <v>1652</v>
      </c>
      <c r="B8" s="4" t="s">
        <v>1653</v>
      </c>
      <c r="C8" s="43" t="str">
        <f>VLOOKUP(A8,'Practice Task'!C:C,1,false)</f>
        <v>#N/A</v>
      </c>
    </row>
    <row r="9">
      <c r="A9" s="109" t="s">
        <v>1654</v>
      </c>
      <c r="B9" s="4" t="s">
        <v>1655</v>
      </c>
      <c r="C9" s="43" t="str">
        <f>VLOOKUP(A9,'Practice Task'!C:C,1,false)</f>
        <v>#N/A</v>
      </c>
    </row>
    <row r="10">
      <c r="A10" s="109" t="s">
        <v>1656</v>
      </c>
      <c r="B10" s="4" t="s">
        <v>1657</v>
      </c>
      <c r="C10" s="43" t="str">
        <f>VLOOKUP(A10,'Practice Task'!C:C,1,false)</f>
        <v>#N/A</v>
      </c>
    </row>
    <row r="11">
      <c r="A11" s="109" t="s">
        <v>1658</v>
      </c>
      <c r="B11" s="4" t="s">
        <v>1659</v>
      </c>
      <c r="C11" s="43" t="str">
        <f>VLOOKUP(A11,'Practice Task'!C:C,1,false)</f>
        <v>#N/A</v>
      </c>
    </row>
    <row r="12">
      <c r="A12" s="109" t="s">
        <v>1660</v>
      </c>
      <c r="B12" s="4" t="s">
        <v>1661</v>
      </c>
      <c r="C12" s="43" t="str">
        <f>VLOOKUP(A12,'Practice Task'!C:C,1,false)</f>
        <v>#N/A</v>
      </c>
    </row>
    <row r="13">
      <c r="A13" s="109" t="s">
        <v>1662</v>
      </c>
      <c r="B13" s="4" t="s">
        <v>1663</v>
      </c>
      <c r="C13" s="43" t="str">
        <f>VLOOKUP(A13,'Practice Task'!C:C,1,false)</f>
        <v>#N/A</v>
      </c>
    </row>
    <row r="14">
      <c r="A14" s="109" t="s">
        <v>1664</v>
      </c>
      <c r="B14" s="4" t="s">
        <v>1665</v>
      </c>
      <c r="C14" s="43" t="str">
        <f>VLOOKUP(A14,'Practice Task'!C:C,1,false)</f>
        <v>#N/A</v>
      </c>
    </row>
    <row r="15">
      <c r="A15" s="109" t="s">
        <v>1666</v>
      </c>
      <c r="B15" s="4" t="s">
        <v>1667</v>
      </c>
      <c r="C15" s="43" t="str">
        <f>VLOOKUP(A15,'Practice Task'!C:C,1,false)</f>
        <v>#N/A</v>
      </c>
    </row>
    <row r="16">
      <c r="A16" s="109" t="s">
        <v>1668</v>
      </c>
      <c r="B16" s="4" t="s">
        <v>1669</v>
      </c>
      <c r="C16" s="43" t="str">
        <f>VLOOKUP(A16,'Practice Task'!C:C,1,false)</f>
        <v>#N/A</v>
      </c>
    </row>
    <row r="17">
      <c r="A17" s="109" t="s">
        <v>1670</v>
      </c>
      <c r="B17" s="4" t="s">
        <v>1671</v>
      </c>
      <c r="C17" s="43" t="str">
        <f>VLOOKUP(A17,'Practice Task'!C:C,1,false)</f>
        <v>#N/A</v>
      </c>
    </row>
    <row r="18">
      <c r="A18" s="109" t="s">
        <v>1672</v>
      </c>
      <c r="B18" s="4" t="s">
        <v>1673</v>
      </c>
      <c r="C18" s="43" t="str">
        <f>VLOOKUP(A18,'Practice Task'!C:C,1,false)</f>
        <v>#N/A</v>
      </c>
    </row>
    <row r="19">
      <c r="A19" s="109" t="s">
        <v>1674</v>
      </c>
      <c r="B19" s="4" t="s">
        <v>1675</v>
      </c>
      <c r="C19" s="43" t="str">
        <f>VLOOKUP(A19,'Practice Task'!C:C,1,false)</f>
        <v>#N/A</v>
      </c>
    </row>
    <row r="20">
      <c r="A20" s="109" t="s">
        <v>1676</v>
      </c>
      <c r="B20" s="4" t="s">
        <v>1677</v>
      </c>
      <c r="C20" s="43" t="str">
        <f>VLOOKUP(A20,'Practice Task'!C:C,1,false)</f>
        <v>#N/A</v>
      </c>
    </row>
    <row r="21">
      <c r="A21" s="109" t="s">
        <v>1678</v>
      </c>
      <c r="B21" s="4" t="s">
        <v>1679</v>
      </c>
      <c r="C21" s="43" t="str">
        <f>VLOOKUP(A21,'Practice Task'!C:C,1,false)</f>
        <v>#N/A</v>
      </c>
    </row>
    <row r="22">
      <c r="A22" s="109" t="s">
        <v>1680</v>
      </c>
      <c r="B22" s="4" t="s">
        <v>1681</v>
      </c>
      <c r="C22" s="43" t="str">
        <f>VLOOKUP(A22,'Practice Task'!C:C,1,false)</f>
        <v>#N/A</v>
      </c>
    </row>
    <row r="23">
      <c r="A23" s="109" t="s">
        <v>1682</v>
      </c>
      <c r="B23" s="4" t="s">
        <v>1683</v>
      </c>
      <c r="C23" s="43" t="str">
        <f>VLOOKUP(A23,'Practice Task'!C:C,1,false)</f>
        <v>#N/A</v>
      </c>
    </row>
    <row r="24">
      <c r="A24" s="109" t="s">
        <v>1684</v>
      </c>
      <c r="B24" s="4" t="s">
        <v>1685</v>
      </c>
      <c r="C24" s="43" t="str">
        <f>VLOOKUP(A24,'Practice Task'!C:C,1,false)</f>
        <v>#N/A</v>
      </c>
    </row>
    <row r="25">
      <c r="A25" s="109" t="s">
        <v>1686</v>
      </c>
      <c r="B25" s="4" t="s">
        <v>1687</v>
      </c>
      <c r="C25" s="43" t="str">
        <f>VLOOKUP(A25,'Practice Task'!C:C,1,false)</f>
        <v>#N/A</v>
      </c>
    </row>
    <row r="26">
      <c r="A26" s="109" t="s">
        <v>1688</v>
      </c>
      <c r="B26" s="4" t="s">
        <v>1689</v>
      </c>
      <c r="C26" s="43" t="str">
        <f>VLOOKUP(A26,'Practice Task'!C:C,1,false)</f>
        <v>#N/A</v>
      </c>
    </row>
    <row r="27">
      <c r="A27" s="109" t="s">
        <v>1690</v>
      </c>
      <c r="B27" s="4" t="s">
        <v>1691</v>
      </c>
      <c r="C27" s="43" t="str">
        <f>VLOOKUP(A27,'Practice Task'!C:C,1,false)</f>
        <v>#N/A</v>
      </c>
    </row>
    <row r="28">
      <c r="A28" s="109" t="s">
        <v>1692</v>
      </c>
      <c r="B28" s="4" t="s">
        <v>1693</v>
      </c>
      <c r="C28" s="43" t="str">
        <f>VLOOKUP(A28,'Practice Task'!C:C,1,false)</f>
        <v>#N/A</v>
      </c>
    </row>
    <row r="29">
      <c r="A29" s="109" t="s">
        <v>1694</v>
      </c>
      <c r="B29" s="4" t="s">
        <v>1695</v>
      </c>
      <c r="C29" s="43" t="str">
        <f>VLOOKUP(A29,'Practice Task'!C:C,1,false)</f>
        <v>#N/A</v>
      </c>
    </row>
    <row r="30">
      <c r="A30" s="109" t="s">
        <v>1696</v>
      </c>
      <c r="B30" s="4" t="s">
        <v>1697</v>
      </c>
      <c r="C30" s="43" t="str">
        <f>VLOOKUP(A30,'Practice Task'!C:C,1,false)</f>
        <v>#N/A</v>
      </c>
    </row>
    <row r="31">
      <c r="A31" s="109" t="s">
        <v>1698</v>
      </c>
      <c r="B31" s="4" t="s">
        <v>1699</v>
      </c>
      <c r="C31" s="43" t="str">
        <f>VLOOKUP(A31,'Practice Task'!C:C,1,false)</f>
        <v>#N/A</v>
      </c>
    </row>
    <row r="32">
      <c r="A32" s="109" t="s">
        <v>1700</v>
      </c>
      <c r="B32" s="4" t="s">
        <v>1701</v>
      </c>
      <c r="C32" s="43" t="str">
        <f>VLOOKUP(A32,'Practice Task'!C:C,1,false)</f>
        <v>#N/A</v>
      </c>
    </row>
    <row r="33">
      <c r="A33" s="109" t="s">
        <v>1702</v>
      </c>
      <c r="B33" s="4" t="s">
        <v>1703</v>
      </c>
      <c r="C33" s="43" t="str">
        <f>VLOOKUP(A33,'Practice Task'!C:C,1,false)</f>
        <v>#N/A</v>
      </c>
    </row>
    <row r="34">
      <c r="A34" s="109" t="s">
        <v>1704</v>
      </c>
      <c r="B34" s="4" t="s">
        <v>1705</v>
      </c>
      <c r="C34" s="43" t="str">
        <f>VLOOKUP(A34,'Practice Task'!C:C,1,false)</f>
        <v>#N/A</v>
      </c>
    </row>
    <row r="35">
      <c r="A35" s="109" t="s">
        <v>1706</v>
      </c>
      <c r="B35" s="4" t="s">
        <v>1707</v>
      </c>
      <c r="C35" s="43" t="str">
        <f>VLOOKUP(A35,'Practice Task'!C:C,1,false)</f>
        <v>#N/A</v>
      </c>
    </row>
    <row r="36">
      <c r="A36" s="109" t="s">
        <v>1708</v>
      </c>
      <c r="B36" s="4" t="s">
        <v>1709</v>
      </c>
      <c r="C36" s="43" t="str">
        <f>VLOOKUP(A36,'Practice Task'!C:C,1,false)</f>
        <v>#N/A</v>
      </c>
    </row>
    <row r="37">
      <c r="A37" s="109" t="s">
        <v>1710</v>
      </c>
      <c r="B37" s="4" t="s">
        <v>1711</v>
      </c>
      <c r="C37" s="43" t="str">
        <f>VLOOKUP(A37,'Practice Task'!C:C,1,false)</f>
        <v>#N/A</v>
      </c>
    </row>
    <row r="38">
      <c r="A38" s="109" t="s">
        <v>1712</v>
      </c>
      <c r="B38" s="4" t="s">
        <v>1713</v>
      </c>
      <c r="C38" s="43" t="str">
        <f>VLOOKUP(A38,'Practice Task'!C:C,1,false)</f>
        <v>#N/A</v>
      </c>
    </row>
    <row r="39">
      <c r="A39" s="109" t="s">
        <v>1714</v>
      </c>
      <c r="B39" s="4" t="s">
        <v>1715</v>
      </c>
      <c r="C39" s="43" t="str">
        <f>VLOOKUP(A39,'Practice Task'!C:C,1,false)</f>
        <v>#N/A</v>
      </c>
    </row>
    <row r="40">
      <c r="A40" s="109" t="s">
        <v>1716</v>
      </c>
      <c r="B40" s="4" t="s">
        <v>1717</v>
      </c>
      <c r="C40" s="43" t="str">
        <f>VLOOKUP(A40,'Practice Task'!C:C,1,false)</f>
        <v>#N/A</v>
      </c>
    </row>
    <row r="41">
      <c r="A41" s="109" t="s">
        <v>1718</v>
      </c>
      <c r="B41" s="4" t="s">
        <v>1719</v>
      </c>
      <c r="C41" s="43" t="str">
        <f>VLOOKUP(A41,'Practice Task'!C:C,1,false)</f>
        <v>#N/A</v>
      </c>
    </row>
    <row r="42">
      <c r="A42" s="109" t="s">
        <v>1718</v>
      </c>
      <c r="B42" s="4" t="s">
        <v>1720</v>
      </c>
      <c r="C42" s="43" t="str">
        <f>VLOOKUP(A42,'Practice Task'!C:C,1,false)</f>
        <v>#N/A</v>
      </c>
    </row>
    <row r="43">
      <c r="A43" s="109" t="s">
        <v>1718</v>
      </c>
      <c r="B43" s="4" t="s">
        <v>1721</v>
      </c>
      <c r="C43" s="43" t="str">
        <f>VLOOKUP(A43,'Practice Task'!C:C,1,false)</f>
        <v>#N/A</v>
      </c>
    </row>
    <row r="44">
      <c r="A44" s="109" t="s">
        <v>1718</v>
      </c>
      <c r="B44" s="4" t="s">
        <v>1722</v>
      </c>
      <c r="C44" s="43" t="str">
        <f>VLOOKUP(A44,'Practice Task'!C:C,1,false)</f>
        <v>#N/A</v>
      </c>
    </row>
    <row r="45">
      <c r="A45" s="109" t="s">
        <v>1718</v>
      </c>
      <c r="B45" s="4" t="s">
        <v>1723</v>
      </c>
      <c r="C45" s="43" t="str">
        <f>VLOOKUP(A45,'Practice Task'!C:C,1,false)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s>
  <drawing r:id="rId4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1724</v>
      </c>
      <c r="B1" s="43" t="str">
        <f>IFERROR(__xludf.DUMMYFUNCTION("IMPORTRANGE(""https://docs.google.com/spreadsheets/d/1AUgaEY-RtBiqJ6e0hJROmmGylqz9LdVu2QBDSlLdm1g/edit?gid=0#gid=0"",""Sheet1!A:Z"")"),"id")</f>
        <v>id</v>
      </c>
      <c r="C1" s="43" t="str">
        <f>IFERROR(__xludf.DUMMYFUNCTION("""COMPUTED_VALUE"""),"definition_id")</f>
        <v>definition_id</v>
      </c>
      <c r="D1" s="43" t="str">
        <f>IFERROR(__xludf.DUMMYFUNCTION("""COMPUTED_VALUE"""),"definition_version")</f>
        <v>definition_version</v>
      </c>
      <c r="E1" s="43" t="str">
        <f>IFERROR(__xludf.DUMMYFUNCTION("""COMPUTED_VALUE"""),"status")</f>
        <v>status</v>
      </c>
      <c r="F1" s="43" t="str">
        <f>IFERROR(__xludf.DUMMYFUNCTION("""COMPUTED_VALUE"""),"creator_id")</f>
        <v>creator_id</v>
      </c>
      <c r="G1" s="43" t="str">
        <f>IFERROR(__xludf.DUMMYFUNCTION("""COMPUTED_VALUE"""),"assigned_user_id")</f>
        <v>assigned_user_id</v>
      </c>
      <c r="H1" s="43" t="str">
        <f>IFERROR(__xludf.DUMMYFUNCTION("""COMPUTED_VALUE"""),"pooled_at")</f>
        <v>pooled_at</v>
      </c>
      <c r="I1" s="43" t="str">
        <f>IFERROR(__xludf.DUMMYFUNCTION("""COMPUTED_VALUE"""),"timeout_at")</f>
        <v>timeout_at</v>
      </c>
      <c r="J1" s="43" t="str">
        <f>IFERROR(__xludf.DUMMYFUNCTION("""COMPUTED_VALUE"""),"archived_at")</f>
        <v>archived_at</v>
      </c>
      <c r="K1" s="43" t="str">
        <f>IFERROR(__xludf.DUMMYFUNCTION("""COMPUTED_VALUE"""),"created_at")</f>
        <v>created_at</v>
      </c>
      <c r="L1" s="43" t="str">
        <f>IFERROR(__xludf.DUMMYFUNCTION("""COMPUTED_VALUE"""),"updated_at")</f>
        <v>updated_at</v>
      </c>
      <c r="M1" s="43" t="str">
        <f>IFERROR(__xludf.DUMMYFUNCTION("""COMPUTED_VALUE"""),"task_owner_id")</f>
        <v>task_owner_id</v>
      </c>
      <c r="N1" s="43" t="str">
        <f>IFERROR(__xludf.DUMMYFUNCTION("""COMPUTED_VALUE"""),"project_version_id")</f>
        <v>project_version_id</v>
      </c>
      <c r="O1" s="43" t="str">
        <f>IFERROR(__xludf.DUMMYFUNCTION("""COMPUTED_VALUE"""),"metadata")</f>
        <v>metadata</v>
      </c>
      <c r="P1" s="43" t="str">
        <f>IFERROR(__xludf.DUMMYFUNCTION("""COMPUTED_VALUE"""),"task_status")</f>
        <v>task_status</v>
      </c>
      <c r="Q1" s="43" t="str">
        <f>IFERROR(__xludf.DUMMYFUNCTION("""COMPUTED_VALUE"""),"definition_id_2")</f>
        <v>definition_id_2</v>
      </c>
      <c r="R1" s="43" t="str">
        <f>IFERROR(__xludf.DUMMYFUNCTION("""COMPUTED_VALUE"""),"prompt")</f>
        <v>prompt</v>
      </c>
      <c r="S1" s="43" t="str">
        <f>IFERROR(__xludf.DUMMYFUNCTION("""COMPUTED_VALUE"""),"rubric")</f>
        <v>rubric</v>
      </c>
      <c r="T1" s="43" t="str">
        <f>IFERROR(__xludf.DUMMYFUNCTION("""COMPUTED_VALUE"""),"overall_review")</f>
        <v>overall_review</v>
      </c>
      <c r="U1" s="43" t="str">
        <f>IFERROR(__xludf.DUMMYFUNCTION("""COMPUTED_VALUE"""),"training_instructions")</f>
        <v>training_instructions</v>
      </c>
      <c r="V1" s="43" t="str">
        <f>IFERROR(__xludf.DUMMYFUNCTION("""COMPUTED_VALUE"""),"input_workbook_url")</f>
        <v>input_workbook_url</v>
      </c>
      <c r="W1" s="43" t="str">
        <f>IFERROR(__xludf.DUMMYFUNCTION("""COMPUTED_VALUE"""),"output_workbook_url")</f>
        <v>output_workbook_url</v>
      </c>
      <c r="X1" s="43" t="str">
        <f>IFERROR(__xludf.DUMMYFUNCTION("""COMPUTED_VALUE"""),"status_2")</f>
        <v>status_2</v>
      </c>
      <c r="Y1" s="43" t="str">
        <f>IFERROR(__xludf.DUMMYFUNCTION("""COMPUTED_VALUE"""),"rating")</f>
        <v>rating</v>
      </c>
      <c r="Z1" s="43" t="str">
        <f>IFERROR(__xludf.DUMMYFUNCTION("""COMPUTED_VALUE"""),"feedback")</f>
        <v>feedback</v>
      </c>
      <c r="AA1" s="43" t="str">
        <f>IFERROR(__xludf.DUMMYFUNCTION("""COMPUTED_VALUE"""),"_action_status")</f>
        <v>_action_status</v>
      </c>
    </row>
    <row r="2">
      <c r="A2" s="110" t="str">
        <f t="shared" ref="A2:A1000" si="1">"www.tsip.ai/claim/"&amp;B2</f>
        <v>www.tsip.ai/claim/1c8f6062-9e4e-4485-9f8c-7107b036222c</v>
      </c>
      <c r="B2" s="43" t="str">
        <f>IFERROR(__xludf.DUMMYFUNCTION("""COMPUTED_VALUE"""),"1c8f6062-9e4e-4485-9f8c-7107b036222c")</f>
        <v>1c8f6062-9e4e-4485-9f8c-7107b036222c</v>
      </c>
      <c r="C2" s="43" t="str">
        <f>IFERROR(__xludf.DUMMYFUNCTION("""COMPUTED_VALUE"""),"sheets-training")</f>
        <v>sheets-training</v>
      </c>
      <c r="D2" s="43">
        <f>IFERROR(__xludf.DUMMYFUNCTION("""COMPUTED_VALUE"""),3.0)</f>
        <v>3</v>
      </c>
      <c r="E2" s="43" t="str">
        <f>IFERROR(__xludf.DUMMYFUNCTION("""COMPUTED_VALUE"""),"training_review")</f>
        <v>training_review</v>
      </c>
      <c r="F2" s="43" t="str">
        <f>IFERROR(__xludf.DUMMYFUNCTION("""COMPUTED_VALUE"""),"cb09ba27-c93f-488d-a521-1acfca174929")</f>
        <v>cb09ba27-c93f-488d-a521-1acfca174929</v>
      </c>
      <c r="G2" s="43" t="str">
        <f>IFERROR(__xludf.DUMMYFUNCTION("""COMPUTED_VALUE"""),"NULL")</f>
        <v>NULL</v>
      </c>
      <c r="H2" s="43" t="str">
        <f>IFERROR(__xludf.DUMMYFUNCTION("""COMPUTED_VALUE"""),"""2026-05-20T22:38:16.156Z""")</f>
        <v>"2026-05-20T22:38:16.156Z"</v>
      </c>
      <c r="I2" s="43" t="str">
        <f>IFERROR(__xludf.DUMMYFUNCTION("""COMPUTED_VALUE"""),"NULL")</f>
        <v>NULL</v>
      </c>
      <c r="J2" s="43" t="str">
        <f>IFERROR(__xludf.DUMMYFUNCTION("""COMPUTED_VALUE"""),"""2026-05-20T22:59:43.420Z""")</f>
        <v>"2026-05-20T22:59:43.420Z"</v>
      </c>
      <c r="K2" s="43" t="str">
        <f>IFERROR(__xludf.DUMMYFUNCTION("""COMPUTED_VALUE"""),"""2026-05-20T22:35:21.497Z""")</f>
        <v>"2026-05-20T22:35:21.497Z"</v>
      </c>
      <c r="L2" s="43" t="str">
        <f>IFERROR(__xludf.DUMMYFUNCTION("""COMPUTED_VALUE"""),"""2026-05-20T22:59:43.420Z""")</f>
        <v>"2026-05-20T22:59:43.420Z"</v>
      </c>
      <c r="M2" s="43" t="str">
        <f>IFERROR(__xludf.DUMMYFUNCTION("""COMPUTED_VALUE"""),"e7175f74-f5c9-41f7-9c77-dc3be8341fbf")</f>
        <v>e7175f74-f5c9-41f7-9c77-dc3be8341fbf</v>
      </c>
      <c r="N2" s="43" t="str">
        <f>IFERROR(__xludf.DUMMYFUNCTION("""COMPUTED_VALUE"""),"cacf4da3-cd8d-402b-a1e9-f3ad3e7f11bf")</f>
        <v>cacf4da3-cd8d-402b-a1e9-f3ad3e7f11bf</v>
      </c>
      <c r="O2" s="43" t="str">
        <f>IFERROR(__xludf.DUMMYFUNCTION("""COMPUTED_VALUE"""),"{}")</f>
        <v>{}</v>
      </c>
      <c r="P2" s="43" t="str">
        <f>IFERROR(__xludf.DUMMYFUNCTION("""COMPUTED_VALUE"""),"training_review")</f>
        <v>training_review</v>
      </c>
      <c r="Q2" s="43" t="str">
        <f>IFERROR(__xludf.DUMMYFUNCTION("""COMPUTED_VALUE"""),"sheets-training")</f>
        <v>sheets-training</v>
      </c>
      <c r="R2"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 s="43" t="str">
        <f>IFERROR(__xludf.DUMMYFUNCTION("""COMPUTED_VALUE"""),"train yourself!")</f>
        <v>train yourself!</v>
      </c>
      <c r="V2" s="110" t="str">
        <f>IFERROR(__xludf.DUMMYFUNCTION("""COMPUTED_VALUE"""),"https://tsipprd.blob.core.windows.net/tsip-files/imports/cb09ba27-c93f-488d-a521-1acfca174929/1779316481981_input.xlsx?sv=2026-02-06&amp;se=2026-05-22T23%3A39%3A59Z&amp;sr=b&amp;sp=r&amp;sig=CC5DNnPd5f2e1JwB9sDKqdOpa2zi7gHLrduNnKN2TtM%3D")</f>
        <v>https://tsipprd.blob.core.windows.net/tsip-files/imports/cb09ba27-c93f-488d-a521-1acfca174929/1779316481981_input.xlsx?sv=2026-02-06&amp;se=2026-05-22T23%3A39%3A59Z&amp;sr=b&amp;sp=r&amp;sig=CC5DNnPd5f2e1JwB9sDKqdOpa2zi7gHLrduNnKN2TtM%3D</v>
      </c>
      <c r="W2" s="110" t="str">
        <f>IFERROR(__xludf.DUMMYFUNCTION("""COMPUTED_VALUE"""),"https://tsipprd.blob.core.windows.net/tsip-files/imports/cb09ba27-c93f-488d-a521-1acfca174929/1779316482562_output.xlsx?sv=2026-02-06&amp;se=2026-05-22T23%3A39%3A59Z&amp;sr=b&amp;sp=r&amp;sig=BhlYqb1YbOkS1Jz5zjxzwAV9nv9twjEZu96NoaxARrI%3D")</f>
        <v>https://tsipprd.blob.core.windows.net/tsip-files/imports/cb09ba27-c93f-488d-a521-1acfca174929/1779316482562_output.xlsx?sv=2026-02-06&amp;se=2026-05-22T23%3A39%3A59Z&amp;sr=b&amp;sp=r&amp;sig=BhlYqb1YbOkS1Jz5zjxzwAV9nv9twjEZu96NoaxARrI%3D</v>
      </c>
      <c r="X2" s="43" t="str">
        <f>IFERROR(__xludf.DUMMYFUNCTION("""COMPUTED_VALUE"""),"success")</f>
        <v>success</v>
      </c>
      <c r="Y2" s="43">
        <f>IFERROR(__xludf.DUMMYFUNCTION("""COMPUTED_VALUE"""),2.0)</f>
        <v>2</v>
      </c>
      <c r="Z2"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 s="43" t="str">
        <f>IFERROR(__xludf.DUMMYFUNCTION("""COMPUTED_VALUE"""),"success")</f>
        <v>success</v>
      </c>
    </row>
    <row r="3">
      <c r="A3" s="110" t="str">
        <f t="shared" si="1"/>
        <v>www.tsip.ai/claim/1c8f6062-9e4e-4485-9f8c-7107b036222c</v>
      </c>
      <c r="B3" s="43" t="str">
        <f>IFERROR(__xludf.DUMMYFUNCTION("""COMPUTED_VALUE"""),"1c8f6062-9e4e-4485-9f8c-7107b036222c")</f>
        <v>1c8f6062-9e4e-4485-9f8c-7107b036222c</v>
      </c>
      <c r="C3" s="43" t="str">
        <f>IFERROR(__xludf.DUMMYFUNCTION("""COMPUTED_VALUE"""),"sheets-training")</f>
        <v>sheets-training</v>
      </c>
      <c r="D3" s="43">
        <f>IFERROR(__xludf.DUMMYFUNCTION("""COMPUTED_VALUE"""),3.0)</f>
        <v>3</v>
      </c>
      <c r="E3" s="43" t="str">
        <f>IFERROR(__xludf.DUMMYFUNCTION("""COMPUTED_VALUE"""),"training_review")</f>
        <v>training_review</v>
      </c>
      <c r="F3" s="43" t="str">
        <f>IFERROR(__xludf.DUMMYFUNCTION("""COMPUTED_VALUE"""),"cb09ba27-c93f-488d-a521-1acfca174929")</f>
        <v>cb09ba27-c93f-488d-a521-1acfca174929</v>
      </c>
      <c r="G3" s="43" t="str">
        <f>IFERROR(__xludf.DUMMYFUNCTION("""COMPUTED_VALUE"""),"NULL")</f>
        <v>NULL</v>
      </c>
      <c r="H3" s="43" t="str">
        <f>IFERROR(__xludf.DUMMYFUNCTION("""COMPUTED_VALUE"""),"""2026-05-20T22:38:16.156Z""")</f>
        <v>"2026-05-20T22:38:16.156Z"</v>
      </c>
      <c r="I3" s="43" t="str">
        <f>IFERROR(__xludf.DUMMYFUNCTION("""COMPUTED_VALUE"""),"NULL")</f>
        <v>NULL</v>
      </c>
      <c r="J3" s="43" t="str">
        <f>IFERROR(__xludf.DUMMYFUNCTION("""COMPUTED_VALUE"""),"""2026-05-20T22:59:43.420Z""")</f>
        <v>"2026-05-20T22:59:43.420Z"</v>
      </c>
      <c r="K3" s="43" t="str">
        <f>IFERROR(__xludf.DUMMYFUNCTION("""COMPUTED_VALUE"""),"""2026-05-20T22:35:21.497Z""")</f>
        <v>"2026-05-20T22:35:21.497Z"</v>
      </c>
      <c r="L3" s="43" t="str">
        <f>IFERROR(__xludf.DUMMYFUNCTION("""COMPUTED_VALUE"""),"""2026-05-20T22:59:43.420Z""")</f>
        <v>"2026-05-20T22:59:43.420Z"</v>
      </c>
      <c r="M3" s="43" t="str">
        <f>IFERROR(__xludf.DUMMYFUNCTION("""COMPUTED_VALUE"""),"e7175f74-f5c9-41f7-9c77-dc3be8341fbf")</f>
        <v>e7175f74-f5c9-41f7-9c77-dc3be8341fbf</v>
      </c>
      <c r="N3" s="43" t="str">
        <f>IFERROR(__xludf.DUMMYFUNCTION("""COMPUTED_VALUE"""),"cacf4da3-cd8d-402b-a1e9-f3ad3e7f11bf")</f>
        <v>cacf4da3-cd8d-402b-a1e9-f3ad3e7f11bf</v>
      </c>
      <c r="O3" s="43" t="str">
        <f>IFERROR(__xludf.DUMMYFUNCTION("""COMPUTED_VALUE"""),"{}")</f>
        <v>{}</v>
      </c>
      <c r="P3" s="43" t="str">
        <f>IFERROR(__xludf.DUMMYFUNCTION("""COMPUTED_VALUE"""),"training_review")</f>
        <v>training_review</v>
      </c>
      <c r="Q3" s="43" t="str">
        <f>IFERROR(__xludf.DUMMYFUNCTION("""COMPUTED_VALUE"""),"sheets-training")</f>
        <v>sheets-training</v>
      </c>
      <c r="R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 s="43" t="str">
        <f>IFERROR(__xludf.DUMMYFUNCTION("""COMPUTED_VALUE"""),"train yourself!")</f>
        <v>train yourself!</v>
      </c>
      <c r="V3" s="110" t="str">
        <f>IFERROR(__xludf.DUMMYFUNCTION("""COMPUTED_VALUE"""),"https://tsipprd.blob.core.windows.net/tsip-files/imports/cb09ba27-c93f-488d-a521-1acfca174929/1779316481981_input.xlsx?sv=2026-02-06&amp;se=2026-05-22T23%3A41%3A37Z&amp;sr=b&amp;sp=r&amp;sig=p8BFAjCxmCDosWp2mbNUVwq%2BqPxi9p1ruS5NMQbcVak%3D")</f>
        <v>https://tsipprd.blob.core.windows.net/tsip-files/imports/cb09ba27-c93f-488d-a521-1acfca174929/1779316481981_input.xlsx?sv=2026-02-06&amp;se=2026-05-22T23%3A41%3A37Z&amp;sr=b&amp;sp=r&amp;sig=p8BFAjCxmCDosWp2mbNUVwq%2BqPxi9p1ruS5NMQbcVak%3D</v>
      </c>
      <c r="W3" s="110" t="str">
        <f>IFERROR(__xludf.DUMMYFUNCTION("""COMPUTED_VALUE"""),"https://tsipprd.blob.core.windows.net/tsip-files/imports/cb09ba27-c93f-488d-a521-1acfca174929/1779316482562_output.xlsx?sv=2026-02-06&amp;se=2026-05-22T23%3A41%3A37Z&amp;sr=b&amp;sp=r&amp;sig=NvEGF73jInp4kpKSDmS%2BiU36MVBwbMwZrWS0gvFzhHw%3D")</f>
        <v>https://tsipprd.blob.core.windows.net/tsip-files/imports/cb09ba27-c93f-488d-a521-1acfca174929/1779316482562_output.xlsx?sv=2026-02-06&amp;se=2026-05-22T23%3A41%3A37Z&amp;sr=b&amp;sp=r&amp;sig=NvEGF73jInp4kpKSDmS%2BiU36MVBwbMwZrWS0gvFzhHw%3D</v>
      </c>
      <c r="X3" s="43" t="str">
        <f>IFERROR(__xludf.DUMMYFUNCTION("""COMPUTED_VALUE"""),"success")</f>
        <v>success</v>
      </c>
      <c r="Y3" s="43">
        <f>IFERROR(__xludf.DUMMYFUNCTION("""COMPUTED_VALUE"""),2.0)</f>
        <v>2</v>
      </c>
      <c r="Z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 s="43" t="str">
        <f>IFERROR(__xludf.DUMMYFUNCTION("""COMPUTED_VALUE"""),"success")</f>
        <v>success</v>
      </c>
    </row>
    <row r="4">
      <c r="A4" s="110" t="str">
        <f t="shared" si="1"/>
        <v>www.tsip.ai/claim/1c8f6062-9e4e-4485-9f8c-7107b036222c</v>
      </c>
      <c r="B4" s="43" t="str">
        <f>IFERROR(__xludf.DUMMYFUNCTION("""COMPUTED_VALUE"""),"1c8f6062-9e4e-4485-9f8c-7107b036222c")</f>
        <v>1c8f6062-9e4e-4485-9f8c-7107b036222c</v>
      </c>
      <c r="C4" s="43" t="str">
        <f>IFERROR(__xludf.DUMMYFUNCTION("""COMPUTED_VALUE"""),"sheets-training")</f>
        <v>sheets-training</v>
      </c>
      <c r="D4" s="43">
        <f>IFERROR(__xludf.DUMMYFUNCTION("""COMPUTED_VALUE"""),3.0)</f>
        <v>3</v>
      </c>
      <c r="E4" s="43" t="str">
        <f>IFERROR(__xludf.DUMMYFUNCTION("""COMPUTED_VALUE"""),"training_review")</f>
        <v>training_review</v>
      </c>
      <c r="F4" s="43" t="str">
        <f>IFERROR(__xludf.DUMMYFUNCTION("""COMPUTED_VALUE"""),"cb09ba27-c93f-488d-a521-1acfca174929")</f>
        <v>cb09ba27-c93f-488d-a521-1acfca174929</v>
      </c>
      <c r="G4" s="43" t="str">
        <f>IFERROR(__xludf.DUMMYFUNCTION("""COMPUTED_VALUE"""),"NULL")</f>
        <v>NULL</v>
      </c>
      <c r="H4" s="43" t="str">
        <f>IFERROR(__xludf.DUMMYFUNCTION("""COMPUTED_VALUE"""),"""2026-05-20T22:38:16.156Z""")</f>
        <v>"2026-05-20T22:38:16.156Z"</v>
      </c>
      <c r="I4" s="43" t="str">
        <f>IFERROR(__xludf.DUMMYFUNCTION("""COMPUTED_VALUE"""),"NULL")</f>
        <v>NULL</v>
      </c>
      <c r="J4" s="43" t="str">
        <f>IFERROR(__xludf.DUMMYFUNCTION("""COMPUTED_VALUE"""),"""2026-05-20T22:59:43.420Z""")</f>
        <v>"2026-05-20T22:59:43.420Z"</v>
      </c>
      <c r="K4" s="43" t="str">
        <f>IFERROR(__xludf.DUMMYFUNCTION("""COMPUTED_VALUE"""),"""2026-05-20T22:35:21.497Z""")</f>
        <v>"2026-05-20T22:35:21.497Z"</v>
      </c>
      <c r="L4" s="43" t="str">
        <f>IFERROR(__xludf.DUMMYFUNCTION("""COMPUTED_VALUE"""),"""2026-05-20T22:59:43.420Z""")</f>
        <v>"2026-05-20T22:59:43.420Z"</v>
      </c>
      <c r="M4" s="43" t="str">
        <f>IFERROR(__xludf.DUMMYFUNCTION("""COMPUTED_VALUE"""),"e7175f74-f5c9-41f7-9c77-dc3be8341fbf")</f>
        <v>e7175f74-f5c9-41f7-9c77-dc3be8341fbf</v>
      </c>
      <c r="N4" s="43" t="str">
        <f>IFERROR(__xludf.DUMMYFUNCTION("""COMPUTED_VALUE"""),"cacf4da3-cd8d-402b-a1e9-f3ad3e7f11bf")</f>
        <v>cacf4da3-cd8d-402b-a1e9-f3ad3e7f11bf</v>
      </c>
      <c r="O4" s="43" t="str">
        <f>IFERROR(__xludf.DUMMYFUNCTION("""COMPUTED_VALUE"""),"{}")</f>
        <v>{}</v>
      </c>
      <c r="P4" s="43" t="str">
        <f>IFERROR(__xludf.DUMMYFUNCTION("""COMPUTED_VALUE"""),"training_review")</f>
        <v>training_review</v>
      </c>
      <c r="Q4" s="43" t="str">
        <f>IFERROR(__xludf.DUMMYFUNCTION("""COMPUTED_VALUE"""),"sheets-training")</f>
        <v>sheets-training</v>
      </c>
      <c r="R4"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 s="43" t="str">
        <f>IFERROR(__xludf.DUMMYFUNCTION("""COMPUTED_VALUE"""),"train yourself!")</f>
        <v>train yourself!</v>
      </c>
      <c r="V4" s="110" t="str">
        <f>IFERROR(__xludf.DUMMYFUNCTION("""COMPUTED_VALUE"""),"https://tsipprd.blob.core.windows.net/tsip-files/imports/cb09ba27-c93f-488d-a521-1acfca174929/1779316481981_input.xlsx?sv=2026-02-06&amp;se=2026-05-22T23%3A45%3A01Z&amp;sr=b&amp;sp=r&amp;sig=6%2FHuLrOpX7EkFwCLPmnunqnxSu%2Bl%2BejSZBFgI%2BpZe0s%3D")</f>
        <v>https://tsipprd.blob.core.windows.net/tsip-files/imports/cb09ba27-c93f-488d-a521-1acfca174929/1779316481981_input.xlsx?sv=2026-02-06&amp;se=2026-05-22T23%3A45%3A01Z&amp;sr=b&amp;sp=r&amp;sig=6%2FHuLrOpX7EkFwCLPmnunqnxSu%2Bl%2BejSZBFgI%2BpZe0s%3D</v>
      </c>
      <c r="W4" s="110" t="str">
        <f>IFERROR(__xludf.DUMMYFUNCTION("""COMPUTED_VALUE"""),"https://tsipprd.blob.core.windows.net/tsip-files/imports/cb09ba27-c93f-488d-a521-1acfca174929/1779316482562_output.xlsx?sv=2026-02-06&amp;se=2026-05-22T23%3A45%3A01Z&amp;sr=b&amp;sp=r&amp;sig=%2BROzPL01yw%2F3I7452J0Bpq07KL%2BDl0syQMB8EbBQC90%3D")</f>
        <v>https://tsipprd.blob.core.windows.net/tsip-files/imports/cb09ba27-c93f-488d-a521-1acfca174929/1779316482562_output.xlsx?sv=2026-02-06&amp;se=2026-05-22T23%3A45%3A01Z&amp;sr=b&amp;sp=r&amp;sig=%2BROzPL01yw%2F3I7452J0Bpq07KL%2BDl0syQMB8EbBQC90%3D</v>
      </c>
      <c r="X4" s="43" t="str">
        <f>IFERROR(__xludf.DUMMYFUNCTION("""COMPUTED_VALUE"""),"success")</f>
        <v>success</v>
      </c>
      <c r="Y4" s="43">
        <f>IFERROR(__xludf.DUMMYFUNCTION("""COMPUTED_VALUE"""),2.0)</f>
        <v>2</v>
      </c>
      <c r="Z4"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 s="43" t="str">
        <f>IFERROR(__xludf.DUMMYFUNCTION("""COMPUTED_VALUE"""),"success")</f>
        <v>success</v>
      </c>
    </row>
    <row r="5">
      <c r="A5" s="110" t="str">
        <f t="shared" si="1"/>
        <v>www.tsip.ai/claim/1c8f6062-9e4e-4485-9f8c-7107b036222c</v>
      </c>
      <c r="B5" s="43" t="str">
        <f>IFERROR(__xludf.DUMMYFUNCTION("""COMPUTED_VALUE"""),"1c8f6062-9e4e-4485-9f8c-7107b036222c")</f>
        <v>1c8f6062-9e4e-4485-9f8c-7107b036222c</v>
      </c>
      <c r="C5" s="43" t="str">
        <f>IFERROR(__xludf.DUMMYFUNCTION("""COMPUTED_VALUE"""),"sheets-training")</f>
        <v>sheets-training</v>
      </c>
      <c r="D5" s="43">
        <f>IFERROR(__xludf.DUMMYFUNCTION("""COMPUTED_VALUE"""),3.0)</f>
        <v>3</v>
      </c>
      <c r="E5" s="43" t="str">
        <f>IFERROR(__xludf.DUMMYFUNCTION("""COMPUTED_VALUE"""),"training_review")</f>
        <v>training_review</v>
      </c>
      <c r="F5" s="43" t="str">
        <f>IFERROR(__xludf.DUMMYFUNCTION("""COMPUTED_VALUE"""),"cb09ba27-c93f-488d-a521-1acfca174929")</f>
        <v>cb09ba27-c93f-488d-a521-1acfca174929</v>
      </c>
      <c r="G5" s="43" t="str">
        <f>IFERROR(__xludf.DUMMYFUNCTION("""COMPUTED_VALUE"""),"NULL")</f>
        <v>NULL</v>
      </c>
      <c r="H5" s="43" t="str">
        <f>IFERROR(__xludf.DUMMYFUNCTION("""COMPUTED_VALUE"""),"""2026-05-20T22:38:16.156Z""")</f>
        <v>"2026-05-20T22:38:16.156Z"</v>
      </c>
      <c r="I5" s="43" t="str">
        <f>IFERROR(__xludf.DUMMYFUNCTION("""COMPUTED_VALUE"""),"NULL")</f>
        <v>NULL</v>
      </c>
      <c r="J5" s="43" t="str">
        <f>IFERROR(__xludf.DUMMYFUNCTION("""COMPUTED_VALUE"""),"""2026-05-20T22:59:43.420Z""")</f>
        <v>"2026-05-20T22:59:43.420Z"</v>
      </c>
      <c r="K5" s="43" t="str">
        <f>IFERROR(__xludf.DUMMYFUNCTION("""COMPUTED_VALUE"""),"""2026-05-20T22:35:21.497Z""")</f>
        <v>"2026-05-20T22:35:21.497Z"</v>
      </c>
      <c r="L5" s="43" t="str">
        <f>IFERROR(__xludf.DUMMYFUNCTION("""COMPUTED_VALUE"""),"""2026-05-20T22:59:43.420Z""")</f>
        <v>"2026-05-20T22:59:43.420Z"</v>
      </c>
      <c r="M5" s="43" t="str">
        <f>IFERROR(__xludf.DUMMYFUNCTION("""COMPUTED_VALUE"""),"e7175f74-f5c9-41f7-9c77-dc3be8341fbf")</f>
        <v>e7175f74-f5c9-41f7-9c77-dc3be8341fbf</v>
      </c>
      <c r="N5" s="43" t="str">
        <f>IFERROR(__xludf.DUMMYFUNCTION("""COMPUTED_VALUE"""),"cacf4da3-cd8d-402b-a1e9-f3ad3e7f11bf")</f>
        <v>cacf4da3-cd8d-402b-a1e9-f3ad3e7f11bf</v>
      </c>
      <c r="O5" s="43" t="str">
        <f>IFERROR(__xludf.DUMMYFUNCTION("""COMPUTED_VALUE"""),"{}")</f>
        <v>{}</v>
      </c>
      <c r="P5" s="43" t="str">
        <f>IFERROR(__xludf.DUMMYFUNCTION("""COMPUTED_VALUE"""),"training_review")</f>
        <v>training_review</v>
      </c>
      <c r="Q5" s="43" t="str">
        <f>IFERROR(__xludf.DUMMYFUNCTION("""COMPUTED_VALUE"""),"sheets-training")</f>
        <v>sheets-training</v>
      </c>
      <c r="R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 s="43" t="str">
        <f>IFERROR(__xludf.DUMMYFUNCTION("""COMPUTED_VALUE"""),"train yourself!")</f>
        <v>train yourself!</v>
      </c>
      <c r="V5" s="110" t="str">
        <f>IFERROR(__xludf.DUMMYFUNCTION("""COMPUTED_VALUE"""),"https://tsipprd.blob.core.windows.net/tsip-files/imports/cb09ba27-c93f-488d-a521-1acfca174929/1779316481981_input.xlsx?sv=2026-02-06&amp;se=2026-05-23T00%3A00%3A02Z&amp;sr=b&amp;sp=r&amp;sig=mD9KijmzCBTzaIf3HlVxfgn5PqIyiDrUSJyGQTJ%2Boog%3D")</f>
        <v>https://tsipprd.blob.core.windows.net/tsip-files/imports/cb09ba27-c93f-488d-a521-1acfca174929/1779316481981_input.xlsx?sv=2026-02-06&amp;se=2026-05-23T00%3A00%3A02Z&amp;sr=b&amp;sp=r&amp;sig=mD9KijmzCBTzaIf3HlVxfgn5PqIyiDrUSJyGQTJ%2Boog%3D</v>
      </c>
      <c r="W5" s="110" t="str">
        <f>IFERROR(__xludf.DUMMYFUNCTION("""COMPUTED_VALUE"""),"https://tsipprd.blob.core.windows.net/tsip-files/imports/cb09ba27-c93f-488d-a521-1acfca174929/1779316482562_output.xlsx?sv=2026-02-06&amp;se=2026-05-23T00%3A00%3A02Z&amp;sr=b&amp;sp=r&amp;sig=kx8ek3Jd3XQaKr1Ebl%2BkZiTYpaOFoIrPyYa5R00dvTs%3D")</f>
        <v>https://tsipprd.blob.core.windows.net/tsip-files/imports/cb09ba27-c93f-488d-a521-1acfca174929/1779316482562_output.xlsx?sv=2026-02-06&amp;se=2026-05-23T00%3A00%3A02Z&amp;sr=b&amp;sp=r&amp;sig=kx8ek3Jd3XQaKr1Ebl%2BkZiTYpaOFoIrPyYa5R00dvTs%3D</v>
      </c>
      <c r="X5" s="43" t="str">
        <f>IFERROR(__xludf.DUMMYFUNCTION("""COMPUTED_VALUE"""),"success")</f>
        <v>success</v>
      </c>
      <c r="Y5" s="43">
        <f>IFERROR(__xludf.DUMMYFUNCTION("""COMPUTED_VALUE"""),2.0)</f>
        <v>2</v>
      </c>
      <c r="Z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 s="43" t="str">
        <f>IFERROR(__xludf.DUMMYFUNCTION("""COMPUTED_VALUE"""),"success")</f>
        <v>success</v>
      </c>
    </row>
    <row r="6">
      <c r="A6" s="110" t="str">
        <f t="shared" si="1"/>
        <v>www.tsip.ai/claim/1c8f6062-9e4e-4485-9f8c-7107b036222c</v>
      </c>
      <c r="B6" s="43" t="str">
        <f>IFERROR(__xludf.DUMMYFUNCTION("""COMPUTED_VALUE"""),"1c8f6062-9e4e-4485-9f8c-7107b036222c")</f>
        <v>1c8f6062-9e4e-4485-9f8c-7107b036222c</v>
      </c>
      <c r="C6" s="43" t="str">
        <f>IFERROR(__xludf.DUMMYFUNCTION("""COMPUTED_VALUE"""),"sheets-training")</f>
        <v>sheets-training</v>
      </c>
      <c r="D6" s="43">
        <f>IFERROR(__xludf.DUMMYFUNCTION("""COMPUTED_VALUE"""),3.0)</f>
        <v>3</v>
      </c>
      <c r="E6" s="43" t="str">
        <f>IFERROR(__xludf.DUMMYFUNCTION("""COMPUTED_VALUE"""),"training_review")</f>
        <v>training_review</v>
      </c>
      <c r="F6" s="43" t="str">
        <f>IFERROR(__xludf.DUMMYFUNCTION("""COMPUTED_VALUE"""),"cb09ba27-c93f-488d-a521-1acfca174929")</f>
        <v>cb09ba27-c93f-488d-a521-1acfca174929</v>
      </c>
      <c r="G6" s="43" t="str">
        <f>IFERROR(__xludf.DUMMYFUNCTION("""COMPUTED_VALUE"""),"NULL")</f>
        <v>NULL</v>
      </c>
      <c r="H6" s="43" t="str">
        <f>IFERROR(__xludf.DUMMYFUNCTION("""COMPUTED_VALUE"""),"""2026-05-20T22:38:16.156Z""")</f>
        <v>"2026-05-20T22:38:16.156Z"</v>
      </c>
      <c r="I6" s="43" t="str">
        <f>IFERROR(__xludf.DUMMYFUNCTION("""COMPUTED_VALUE"""),"NULL")</f>
        <v>NULL</v>
      </c>
      <c r="J6" s="43" t="str">
        <f>IFERROR(__xludf.DUMMYFUNCTION("""COMPUTED_VALUE"""),"""2026-05-20T22:59:43.420Z""")</f>
        <v>"2026-05-20T22:59:43.420Z"</v>
      </c>
      <c r="K6" s="43" t="str">
        <f>IFERROR(__xludf.DUMMYFUNCTION("""COMPUTED_VALUE"""),"""2026-05-20T22:35:21.497Z""")</f>
        <v>"2026-05-20T22:35:21.497Z"</v>
      </c>
      <c r="L6" s="43" t="str">
        <f>IFERROR(__xludf.DUMMYFUNCTION("""COMPUTED_VALUE"""),"""2026-05-20T22:59:43.420Z""")</f>
        <v>"2026-05-20T22:59:43.420Z"</v>
      </c>
      <c r="M6" s="43" t="str">
        <f>IFERROR(__xludf.DUMMYFUNCTION("""COMPUTED_VALUE"""),"e7175f74-f5c9-41f7-9c77-dc3be8341fbf")</f>
        <v>e7175f74-f5c9-41f7-9c77-dc3be8341fbf</v>
      </c>
      <c r="N6" s="43" t="str">
        <f>IFERROR(__xludf.DUMMYFUNCTION("""COMPUTED_VALUE"""),"cacf4da3-cd8d-402b-a1e9-f3ad3e7f11bf")</f>
        <v>cacf4da3-cd8d-402b-a1e9-f3ad3e7f11bf</v>
      </c>
      <c r="O6" s="43" t="str">
        <f>IFERROR(__xludf.DUMMYFUNCTION("""COMPUTED_VALUE"""),"{}")</f>
        <v>{}</v>
      </c>
      <c r="P6" s="43" t="str">
        <f>IFERROR(__xludf.DUMMYFUNCTION("""COMPUTED_VALUE"""),"training_review")</f>
        <v>training_review</v>
      </c>
      <c r="Q6" s="43" t="str">
        <f>IFERROR(__xludf.DUMMYFUNCTION("""COMPUTED_VALUE"""),"sheets-training")</f>
        <v>sheets-training</v>
      </c>
      <c r="R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6"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6" s="43" t="str">
        <f>IFERROR(__xludf.DUMMYFUNCTION("""COMPUTED_VALUE"""),"train yourself!")</f>
        <v>train yourself!</v>
      </c>
      <c r="V6" s="110" t="str">
        <f>IFERROR(__xludf.DUMMYFUNCTION("""COMPUTED_VALUE"""),"https://tsipprd.blob.core.windows.net/tsip-files/imports/cb09ba27-c93f-488d-a521-1acfca174929/1779316481981_input.xlsx?sv=2026-02-06&amp;se=2026-05-23T00%3A15%3A01Z&amp;sr=b&amp;sp=r&amp;sig=ppGB9s0lwI6vrKIClQ%2FGOFW%2BUf1PQLGXrVq9R0AoCcs%3D")</f>
        <v>https://tsipprd.blob.core.windows.net/tsip-files/imports/cb09ba27-c93f-488d-a521-1acfca174929/1779316481981_input.xlsx?sv=2026-02-06&amp;se=2026-05-23T00%3A15%3A01Z&amp;sr=b&amp;sp=r&amp;sig=ppGB9s0lwI6vrKIClQ%2FGOFW%2BUf1PQLGXrVq9R0AoCcs%3D</v>
      </c>
      <c r="W6" s="110" t="str">
        <f>IFERROR(__xludf.DUMMYFUNCTION("""COMPUTED_VALUE"""),"https://tsipprd.blob.core.windows.net/tsip-files/imports/cb09ba27-c93f-488d-a521-1acfca174929/1779316482562_output.xlsx?sv=2026-02-06&amp;se=2026-05-23T00%3A15%3A01Z&amp;sr=b&amp;sp=r&amp;sig=zgnLoAyQhFIfd2V4QOu3lpigufDXLaCUwQ86OflR7Lg%3D")</f>
        <v>https://tsipprd.blob.core.windows.net/tsip-files/imports/cb09ba27-c93f-488d-a521-1acfca174929/1779316482562_output.xlsx?sv=2026-02-06&amp;se=2026-05-23T00%3A15%3A01Z&amp;sr=b&amp;sp=r&amp;sig=zgnLoAyQhFIfd2V4QOu3lpigufDXLaCUwQ86OflR7Lg%3D</v>
      </c>
      <c r="X6" s="43" t="str">
        <f>IFERROR(__xludf.DUMMYFUNCTION("""COMPUTED_VALUE"""),"success")</f>
        <v>success</v>
      </c>
      <c r="Y6" s="43">
        <f>IFERROR(__xludf.DUMMYFUNCTION("""COMPUTED_VALUE"""),2.0)</f>
        <v>2</v>
      </c>
      <c r="Z6"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6" s="43" t="str">
        <f>IFERROR(__xludf.DUMMYFUNCTION("""COMPUTED_VALUE"""),"success")</f>
        <v>success</v>
      </c>
    </row>
    <row r="7">
      <c r="A7" s="110" t="str">
        <f t="shared" si="1"/>
        <v>www.tsip.ai/claim/1c8f6062-9e4e-4485-9f8c-7107b036222c</v>
      </c>
      <c r="B7" s="43" t="str">
        <f>IFERROR(__xludf.DUMMYFUNCTION("""COMPUTED_VALUE"""),"1c8f6062-9e4e-4485-9f8c-7107b036222c")</f>
        <v>1c8f6062-9e4e-4485-9f8c-7107b036222c</v>
      </c>
      <c r="C7" s="43" t="str">
        <f>IFERROR(__xludf.DUMMYFUNCTION("""COMPUTED_VALUE"""),"sheets-training")</f>
        <v>sheets-training</v>
      </c>
      <c r="D7" s="43">
        <f>IFERROR(__xludf.DUMMYFUNCTION("""COMPUTED_VALUE"""),3.0)</f>
        <v>3</v>
      </c>
      <c r="E7" s="43" t="str">
        <f>IFERROR(__xludf.DUMMYFUNCTION("""COMPUTED_VALUE"""),"training_review")</f>
        <v>training_review</v>
      </c>
      <c r="F7" s="43" t="str">
        <f>IFERROR(__xludf.DUMMYFUNCTION("""COMPUTED_VALUE"""),"cb09ba27-c93f-488d-a521-1acfca174929")</f>
        <v>cb09ba27-c93f-488d-a521-1acfca174929</v>
      </c>
      <c r="G7" s="43" t="str">
        <f>IFERROR(__xludf.DUMMYFUNCTION("""COMPUTED_VALUE"""),"NULL")</f>
        <v>NULL</v>
      </c>
      <c r="H7" s="43" t="str">
        <f>IFERROR(__xludf.DUMMYFUNCTION("""COMPUTED_VALUE"""),"""2026-05-20T22:38:16.156Z""")</f>
        <v>"2026-05-20T22:38:16.156Z"</v>
      </c>
      <c r="I7" s="43" t="str">
        <f>IFERROR(__xludf.DUMMYFUNCTION("""COMPUTED_VALUE"""),"NULL")</f>
        <v>NULL</v>
      </c>
      <c r="J7" s="43" t="str">
        <f>IFERROR(__xludf.DUMMYFUNCTION("""COMPUTED_VALUE"""),"""2026-05-20T22:59:43.420Z""")</f>
        <v>"2026-05-20T22:59:43.420Z"</v>
      </c>
      <c r="K7" s="43" t="str">
        <f>IFERROR(__xludf.DUMMYFUNCTION("""COMPUTED_VALUE"""),"""2026-05-20T22:35:21.497Z""")</f>
        <v>"2026-05-20T22:35:21.497Z"</v>
      </c>
      <c r="L7" s="43" t="str">
        <f>IFERROR(__xludf.DUMMYFUNCTION("""COMPUTED_VALUE"""),"""2026-05-20T22:59:43.420Z""")</f>
        <v>"2026-05-20T22:59:43.420Z"</v>
      </c>
      <c r="M7" s="43" t="str">
        <f>IFERROR(__xludf.DUMMYFUNCTION("""COMPUTED_VALUE"""),"e7175f74-f5c9-41f7-9c77-dc3be8341fbf")</f>
        <v>e7175f74-f5c9-41f7-9c77-dc3be8341fbf</v>
      </c>
      <c r="N7" s="43" t="str">
        <f>IFERROR(__xludf.DUMMYFUNCTION("""COMPUTED_VALUE"""),"cacf4da3-cd8d-402b-a1e9-f3ad3e7f11bf")</f>
        <v>cacf4da3-cd8d-402b-a1e9-f3ad3e7f11bf</v>
      </c>
      <c r="O7" s="43" t="str">
        <f>IFERROR(__xludf.DUMMYFUNCTION("""COMPUTED_VALUE"""),"{}")</f>
        <v>{}</v>
      </c>
      <c r="P7" s="43" t="str">
        <f>IFERROR(__xludf.DUMMYFUNCTION("""COMPUTED_VALUE"""),"training_review")</f>
        <v>training_review</v>
      </c>
      <c r="Q7" s="43" t="str">
        <f>IFERROR(__xludf.DUMMYFUNCTION("""COMPUTED_VALUE"""),"sheets-training")</f>
        <v>sheets-training</v>
      </c>
      <c r="R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7" s="43" t="str">
        <f>IFERROR(__xludf.DUMMYFUNCTION("""COMPUTED_VALUE"""),"train yourself!")</f>
        <v>train yourself!</v>
      </c>
      <c r="V7" s="110" t="str">
        <f>IFERROR(__xludf.DUMMYFUNCTION("""COMPUTED_VALUE"""),"https://tsipprd.blob.core.windows.net/tsip-files/imports/cb09ba27-c93f-488d-a521-1acfca174929/1779316481981_input.xlsx?sv=2026-02-06&amp;se=2026-05-23T00%3A30%3A02Z&amp;sr=b&amp;sp=r&amp;sig=rZAX1LYkV0mv7VSeSKVSwpVpF9d2ojbvs%2F58DX9BOQI%3D")</f>
        <v>https://tsipprd.blob.core.windows.net/tsip-files/imports/cb09ba27-c93f-488d-a521-1acfca174929/1779316481981_input.xlsx?sv=2026-02-06&amp;se=2026-05-23T00%3A30%3A02Z&amp;sr=b&amp;sp=r&amp;sig=rZAX1LYkV0mv7VSeSKVSwpVpF9d2ojbvs%2F58DX9BOQI%3D</v>
      </c>
      <c r="W7" s="110" t="str">
        <f>IFERROR(__xludf.DUMMYFUNCTION("""COMPUTED_VALUE"""),"https://tsipprd.blob.core.windows.net/tsip-files/imports/cb09ba27-c93f-488d-a521-1acfca174929/1779316482562_output.xlsx?sv=2026-02-06&amp;se=2026-05-23T00%3A30%3A02Z&amp;sr=b&amp;sp=r&amp;sig=enA7dfFqIm2aUdmBY8cMcbt8R%2FzDszS7muQraJnQkS8%3D")</f>
        <v>https://tsipprd.blob.core.windows.net/tsip-files/imports/cb09ba27-c93f-488d-a521-1acfca174929/1779316482562_output.xlsx?sv=2026-02-06&amp;se=2026-05-23T00%3A30%3A02Z&amp;sr=b&amp;sp=r&amp;sig=enA7dfFqIm2aUdmBY8cMcbt8R%2FzDszS7muQraJnQkS8%3D</v>
      </c>
      <c r="X7" s="43" t="str">
        <f>IFERROR(__xludf.DUMMYFUNCTION("""COMPUTED_VALUE"""),"success")</f>
        <v>success</v>
      </c>
      <c r="Y7" s="43">
        <f>IFERROR(__xludf.DUMMYFUNCTION("""COMPUTED_VALUE"""),2.0)</f>
        <v>2</v>
      </c>
      <c r="Z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7" s="43" t="str">
        <f>IFERROR(__xludf.DUMMYFUNCTION("""COMPUTED_VALUE"""),"success")</f>
        <v>success</v>
      </c>
    </row>
    <row r="8">
      <c r="A8" s="110" t="str">
        <f t="shared" si="1"/>
        <v>www.tsip.ai/claim/1c8f6062-9e4e-4485-9f8c-7107b036222c</v>
      </c>
      <c r="B8" s="43" t="str">
        <f>IFERROR(__xludf.DUMMYFUNCTION("""COMPUTED_VALUE"""),"1c8f6062-9e4e-4485-9f8c-7107b036222c")</f>
        <v>1c8f6062-9e4e-4485-9f8c-7107b036222c</v>
      </c>
      <c r="C8" s="43" t="str">
        <f>IFERROR(__xludf.DUMMYFUNCTION("""COMPUTED_VALUE"""),"sheets-training")</f>
        <v>sheets-training</v>
      </c>
      <c r="D8" s="43">
        <f>IFERROR(__xludf.DUMMYFUNCTION("""COMPUTED_VALUE"""),3.0)</f>
        <v>3</v>
      </c>
      <c r="E8" s="43" t="str">
        <f>IFERROR(__xludf.DUMMYFUNCTION("""COMPUTED_VALUE"""),"training_review")</f>
        <v>training_review</v>
      </c>
      <c r="F8" s="43" t="str">
        <f>IFERROR(__xludf.DUMMYFUNCTION("""COMPUTED_VALUE"""),"cb09ba27-c93f-488d-a521-1acfca174929")</f>
        <v>cb09ba27-c93f-488d-a521-1acfca174929</v>
      </c>
      <c r="G8" s="43" t="str">
        <f>IFERROR(__xludf.DUMMYFUNCTION("""COMPUTED_VALUE"""),"NULL")</f>
        <v>NULL</v>
      </c>
      <c r="H8" s="43" t="str">
        <f>IFERROR(__xludf.DUMMYFUNCTION("""COMPUTED_VALUE"""),"""2026-05-20T22:38:16.156Z""")</f>
        <v>"2026-05-20T22:38:16.156Z"</v>
      </c>
      <c r="I8" s="43" t="str">
        <f>IFERROR(__xludf.DUMMYFUNCTION("""COMPUTED_VALUE"""),"NULL")</f>
        <v>NULL</v>
      </c>
      <c r="J8" s="43" t="str">
        <f>IFERROR(__xludf.DUMMYFUNCTION("""COMPUTED_VALUE"""),"""2026-05-20T22:59:43.420Z""")</f>
        <v>"2026-05-20T22:59:43.420Z"</v>
      </c>
      <c r="K8" s="43" t="str">
        <f>IFERROR(__xludf.DUMMYFUNCTION("""COMPUTED_VALUE"""),"""2026-05-20T22:35:21.497Z""")</f>
        <v>"2026-05-20T22:35:21.497Z"</v>
      </c>
      <c r="L8" s="43" t="str">
        <f>IFERROR(__xludf.DUMMYFUNCTION("""COMPUTED_VALUE"""),"""2026-05-20T22:59:43.420Z""")</f>
        <v>"2026-05-20T22:59:43.420Z"</v>
      </c>
      <c r="M8" s="43" t="str">
        <f>IFERROR(__xludf.DUMMYFUNCTION("""COMPUTED_VALUE"""),"e7175f74-f5c9-41f7-9c77-dc3be8341fbf")</f>
        <v>e7175f74-f5c9-41f7-9c77-dc3be8341fbf</v>
      </c>
      <c r="N8" s="43" t="str">
        <f>IFERROR(__xludf.DUMMYFUNCTION("""COMPUTED_VALUE"""),"cacf4da3-cd8d-402b-a1e9-f3ad3e7f11bf")</f>
        <v>cacf4da3-cd8d-402b-a1e9-f3ad3e7f11bf</v>
      </c>
      <c r="O8" s="43" t="str">
        <f>IFERROR(__xludf.DUMMYFUNCTION("""COMPUTED_VALUE"""),"{}")</f>
        <v>{}</v>
      </c>
      <c r="P8" s="43" t="str">
        <f>IFERROR(__xludf.DUMMYFUNCTION("""COMPUTED_VALUE"""),"training_review")</f>
        <v>training_review</v>
      </c>
      <c r="Q8" s="43" t="str">
        <f>IFERROR(__xludf.DUMMYFUNCTION("""COMPUTED_VALUE"""),"sheets-training")</f>
        <v>sheets-training</v>
      </c>
      <c r="R8"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8"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8" s="43" t="str">
        <f>IFERROR(__xludf.DUMMYFUNCTION("""COMPUTED_VALUE"""),"train yourself!")</f>
        <v>train yourself!</v>
      </c>
      <c r="V8" s="110" t="str">
        <f>IFERROR(__xludf.DUMMYFUNCTION("""COMPUTED_VALUE"""),"https://tsipprd.blob.core.windows.net/tsip-files/imports/cb09ba27-c93f-488d-a521-1acfca174929/1779316481981_input.xlsx?sv=2026-02-06&amp;se=2026-05-23T00%3A45%3A01Z&amp;sr=b&amp;sp=r&amp;sig=cMB7MgYggcdwm8sOGK4fZZQCX9QcMlJMiU40DJt4adg%3D")</f>
        <v>https://tsipprd.blob.core.windows.net/tsip-files/imports/cb09ba27-c93f-488d-a521-1acfca174929/1779316481981_input.xlsx?sv=2026-02-06&amp;se=2026-05-23T00%3A45%3A01Z&amp;sr=b&amp;sp=r&amp;sig=cMB7MgYggcdwm8sOGK4fZZQCX9QcMlJMiU40DJt4adg%3D</v>
      </c>
      <c r="W8" s="110" t="str">
        <f>IFERROR(__xludf.DUMMYFUNCTION("""COMPUTED_VALUE"""),"https://tsipprd.blob.core.windows.net/tsip-files/imports/cb09ba27-c93f-488d-a521-1acfca174929/1779316482562_output.xlsx?sv=2026-02-06&amp;se=2026-05-23T00%3A45%3A01Z&amp;sr=b&amp;sp=r&amp;sig=SEyiHNAZmdDX%2BJrbAms0bYb1tXb5%2Ba8r%2BE7pAyGwcds%3D")</f>
        <v>https://tsipprd.blob.core.windows.net/tsip-files/imports/cb09ba27-c93f-488d-a521-1acfca174929/1779316482562_output.xlsx?sv=2026-02-06&amp;se=2026-05-23T00%3A45%3A01Z&amp;sr=b&amp;sp=r&amp;sig=SEyiHNAZmdDX%2BJrbAms0bYb1tXb5%2Ba8r%2BE7pAyGwcds%3D</v>
      </c>
      <c r="X8" s="43" t="str">
        <f>IFERROR(__xludf.DUMMYFUNCTION("""COMPUTED_VALUE"""),"success")</f>
        <v>success</v>
      </c>
      <c r="Y8" s="43">
        <f>IFERROR(__xludf.DUMMYFUNCTION("""COMPUTED_VALUE"""),2.0)</f>
        <v>2</v>
      </c>
      <c r="Z8"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8" s="43" t="str">
        <f>IFERROR(__xludf.DUMMYFUNCTION("""COMPUTED_VALUE"""),"success")</f>
        <v>success</v>
      </c>
    </row>
    <row r="9">
      <c r="A9" s="110" t="str">
        <f t="shared" si="1"/>
        <v>www.tsip.ai/claim/1c8f6062-9e4e-4485-9f8c-7107b036222c</v>
      </c>
      <c r="B9" s="43" t="str">
        <f>IFERROR(__xludf.DUMMYFUNCTION("""COMPUTED_VALUE"""),"1c8f6062-9e4e-4485-9f8c-7107b036222c")</f>
        <v>1c8f6062-9e4e-4485-9f8c-7107b036222c</v>
      </c>
      <c r="C9" s="43" t="str">
        <f>IFERROR(__xludf.DUMMYFUNCTION("""COMPUTED_VALUE"""),"sheets-training")</f>
        <v>sheets-training</v>
      </c>
      <c r="D9" s="43">
        <f>IFERROR(__xludf.DUMMYFUNCTION("""COMPUTED_VALUE"""),3.0)</f>
        <v>3</v>
      </c>
      <c r="E9" s="43" t="str">
        <f>IFERROR(__xludf.DUMMYFUNCTION("""COMPUTED_VALUE"""),"training_review")</f>
        <v>training_review</v>
      </c>
      <c r="F9" s="43" t="str">
        <f>IFERROR(__xludf.DUMMYFUNCTION("""COMPUTED_VALUE"""),"cb09ba27-c93f-488d-a521-1acfca174929")</f>
        <v>cb09ba27-c93f-488d-a521-1acfca174929</v>
      </c>
      <c r="G9" s="43" t="str">
        <f>IFERROR(__xludf.DUMMYFUNCTION("""COMPUTED_VALUE"""),"NULL")</f>
        <v>NULL</v>
      </c>
      <c r="H9" s="43" t="str">
        <f>IFERROR(__xludf.DUMMYFUNCTION("""COMPUTED_VALUE"""),"""2026-05-20T22:38:16.156Z""")</f>
        <v>"2026-05-20T22:38:16.156Z"</v>
      </c>
      <c r="I9" s="43" t="str">
        <f>IFERROR(__xludf.DUMMYFUNCTION("""COMPUTED_VALUE"""),"NULL")</f>
        <v>NULL</v>
      </c>
      <c r="J9" s="43" t="str">
        <f>IFERROR(__xludf.DUMMYFUNCTION("""COMPUTED_VALUE"""),"""2026-05-20T22:59:43.420Z""")</f>
        <v>"2026-05-20T22:59:43.420Z"</v>
      </c>
      <c r="K9" s="43" t="str">
        <f>IFERROR(__xludf.DUMMYFUNCTION("""COMPUTED_VALUE"""),"""2026-05-20T22:35:21.497Z""")</f>
        <v>"2026-05-20T22:35:21.497Z"</v>
      </c>
      <c r="L9" s="43" t="str">
        <f>IFERROR(__xludf.DUMMYFUNCTION("""COMPUTED_VALUE"""),"""2026-05-20T22:59:43.420Z""")</f>
        <v>"2026-05-20T22:59:43.420Z"</v>
      </c>
      <c r="M9" s="43" t="str">
        <f>IFERROR(__xludf.DUMMYFUNCTION("""COMPUTED_VALUE"""),"e7175f74-f5c9-41f7-9c77-dc3be8341fbf")</f>
        <v>e7175f74-f5c9-41f7-9c77-dc3be8341fbf</v>
      </c>
      <c r="N9" s="43" t="str">
        <f>IFERROR(__xludf.DUMMYFUNCTION("""COMPUTED_VALUE"""),"cacf4da3-cd8d-402b-a1e9-f3ad3e7f11bf")</f>
        <v>cacf4da3-cd8d-402b-a1e9-f3ad3e7f11bf</v>
      </c>
      <c r="O9" s="43" t="str">
        <f>IFERROR(__xludf.DUMMYFUNCTION("""COMPUTED_VALUE"""),"{}")</f>
        <v>{}</v>
      </c>
      <c r="P9" s="43" t="str">
        <f>IFERROR(__xludf.DUMMYFUNCTION("""COMPUTED_VALUE"""),"training_review")</f>
        <v>training_review</v>
      </c>
      <c r="Q9" s="43" t="str">
        <f>IFERROR(__xludf.DUMMYFUNCTION("""COMPUTED_VALUE"""),"sheets-training")</f>
        <v>sheets-training</v>
      </c>
      <c r="R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9" s="43" t="str">
        <f>IFERROR(__xludf.DUMMYFUNCTION("""COMPUTED_VALUE"""),"train yourself!")</f>
        <v>train yourself!</v>
      </c>
      <c r="V9" s="110" t="str">
        <f>IFERROR(__xludf.DUMMYFUNCTION("""COMPUTED_VALUE"""),"https://tsipprd.blob.core.windows.net/tsip-files/imports/cb09ba27-c93f-488d-a521-1acfca174929/1779316481981_input.xlsx?sv=2026-02-06&amp;se=2026-05-23T01%3A00%3A01Z&amp;sr=b&amp;sp=r&amp;sig=w%2FSTcSUB3pOM0a7mNos%2FO2oWKkMRyvIm7w27U9bf%2FL0%3D")</f>
        <v>https://tsipprd.blob.core.windows.net/tsip-files/imports/cb09ba27-c93f-488d-a521-1acfca174929/1779316481981_input.xlsx?sv=2026-02-06&amp;se=2026-05-23T01%3A00%3A01Z&amp;sr=b&amp;sp=r&amp;sig=w%2FSTcSUB3pOM0a7mNos%2FO2oWKkMRyvIm7w27U9bf%2FL0%3D</v>
      </c>
      <c r="W9" s="110" t="str">
        <f>IFERROR(__xludf.DUMMYFUNCTION("""COMPUTED_VALUE"""),"https://tsipprd.blob.core.windows.net/tsip-files/imports/cb09ba27-c93f-488d-a521-1acfca174929/1779316482562_output.xlsx?sv=2026-02-06&amp;se=2026-05-23T01%3A00%3A01Z&amp;sr=b&amp;sp=r&amp;sig=TIOvmvI4rwUd6C9Yzjfi8BhjpOBSnZufVmQwr54kROA%3D")</f>
        <v>https://tsipprd.blob.core.windows.net/tsip-files/imports/cb09ba27-c93f-488d-a521-1acfca174929/1779316482562_output.xlsx?sv=2026-02-06&amp;se=2026-05-23T01%3A00%3A01Z&amp;sr=b&amp;sp=r&amp;sig=TIOvmvI4rwUd6C9Yzjfi8BhjpOBSnZufVmQwr54kROA%3D</v>
      </c>
      <c r="X9" s="43" t="str">
        <f>IFERROR(__xludf.DUMMYFUNCTION("""COMPUTED_VALUE"""),"success")</f>
        <v>success</v>
      </c>
      <c r="Y9" s="43">
        <f>IFERROR(__xludf.DUMMYFUNCTION("""COMPUTED_VALUE"""),2.0)</f>
        <v>2</v>
      </c>
      <c r="Z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9" s="43" t="str">
        <f>IFERROR(__xludf.DUMMYFUNCTION("""COMPUTED_VALUE"""),"success")</f>
        <v>success</v>
      </c>
    </row>
    <row r="10">
      <c r="A10" s="110" t="str">
        <f t="shared" si="1"/>
        <v>www.tsip.ai/claim/1c8f6062-9e4e-4485-9f8c-7107b036222c</v>
      </c>
      <c r="B10" s="43" t="str">
        <f>IFERROR(__xludf.DUMMYFUNCTION("""COMPUTED_VALUE"""),"1c8f6062-9e4e-4485-9f8c-7107b036222c")</f>
        <v>1c8f6062-9e4e-4485-9f8c-7107b036222c</v>
      </c>
      <c r="C10" s="43" t="str">
        <f>IFERROR(__xludf.DUMMYFUNCTION("""COMPUTED_VALUE"""),"sheets-training")</f>
        <v>sheets-training</v>
      </c>
      <c r="D10" s="43">
        <f>IFERROR(__xludf.DUMMYFUNCTION("""COMPUTED_VALUE"""),3.0)</f>
        <v>3</v>
      </c>
      <c r="E10" s="43" t="str">
        <f>IFERROR(__xludf.DUMMYFUNCTION("""COMPUTED_VALUE"""),"training_review")</f>
        <v>training_review</v>
      </c>
      <c r="F10" s="43" t="str">
        <f>IFERROR(__xludf.DUMMYFUNCTION("""COMPUTED_VALUE"""),"cb09ba27-c93f-488d-a521-1acfca174929")</f>
        <v>cb09ba27-c93f-488d-a521-1acfca174929</v>
      </c>
      <c r="G10" s="43" t="str">
        <f>IFERROR(__xludf.DUMMYFUNCTION("""COMPUTED_VALUE"""),"NULL")</f>
        <v>NULL</v>
      </c>
      <c r="H10" s="43" t="str">
        <f>IFERROR(__xludf.DUMMYFUNCTION("""COMPUTED_VALUE"""),"""2026-05-20T22:38:16.156Z""")</f>
        <v>"2026-05-20T22:38:16.156Z"</v>
      </c>
      <c r="I10" s="43" t="str">
        <f>IFERROR(__xludf.DUMMYFUNCTION("""COMPUTED_VALUE"""),"NULL")</f>
        <v>NULL</v>
      </c>
      <c r="J10" s="43" t="str">
        <f>IFERROR(__xludf.DUMMYFUNCTION("""COMPUTED_VALUE"""),"""2026-05-20T22:59:43.420Z""")</f>
        <v>"2026-05-20T22:59:43.420Z"</v>
      </c>
      <c r="K10" s="43" t="str">
        <f>IFERROR(__xludf.DUMMYFUNCTION("""COMPUTED_VALUE"""),"""2026-05-20T22:35:21.497Z""")</f>
        <v>"2026-05-20T22:35:21.497Z"</v>
      </c>
      <c r="L10" s="43" t="str">
        <f>IFERROR(__xludf.DUMMYFUNCTION("""COMPUTED_VALUE"""),"""2026-05-20T22:59:43.420Z""")</f>
        <v>"2026-05-20T22:59:43.420Z"</v>
      </c>
      <c r="M10" s="43" t="str">
        <f>IFERROR(__xludf.DUMMYFUNCTION("""COMPUTED_VALUE"""),"e7175f74-f5c9-41f7-9c77-dc3be8341fbf")</f>
        <v>e7175f74-f5c9-41f7-9c77-dc3be8341fbf</v>
      </c>
      <c r="N10" s="43" t="str">
        <f>IFERROR(__xludf.DUMMYFUNCTION("""COMPUTED_VALUE"""),"cacf4da3-cd8d-402b-a1e9-f3ad3e7f11bf")</f>
        <v>cacf4da3-cd8d-402b-a1e9-f3ad3e7f11bf</v>
      </c>
      <c r="O10" s="43" t="str">
        <f>IFERROR(__xludf.DUMMYFUNCTION("""COMPUTED_VALUE"""),"{}")</f>
        <v>{}</v>
      </c>
      <c r="P10" s="43" t="str">
        <f>IFERROR(__xludf.DUMMYFUNCTION("""COMPUTED_VALUE"""),"training_review")</f>
        <v>training_review</v>
      </c>
      <c r="Q10" s="43" t="str">
        <f>IFERROR(__xludf.DUMMYFUNCTION("""COMPUTED_VALUE"""),"sheets-training")</f>
        <v>sheets-training</v>
      </c>
      <c r="R10"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0"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0" s="43" t="str">
        <f>IFERROR(__xludf.DUMMYFUNCTION("""COMPUTED_VALUE"""),"train yourself!")</f>
        <v>train yourself!</v>
      </c>
      <c r="V10" s="110" t="str">
        <f>IFERROR(__xludf.DUMMYFUNCTION("""COMPUTED_VALUE"""),"https://tsipprd.blob.core.windows.net/tsip-files/imports/cb09ba27-c93f-488d-a521-1acfca174929/1779316481981_input.xlsx?sv=2026-02-06&amp;se=2026-05-23T01%3A15%3A02Z&amp;sr=b&amp;sp=r&amp;sig=uoOnx%2FEre72fEauynZnziQNlJAB9HFIELKwG76hedbA%3D")</f>
        <v>https://tsipprd.blob.core.windows.net/tsip-files/imports/cb09ba27-c93f-488d-a521-1acfca174929/1779316481981_input.xlsx?sv=2026-02-06&amp;se=2026-05-23T01%3A15%3A02Z&amp;sr=b&amp;sp=r&amp;sig=uoOnx%2FEre72fEauynZnziQNlJAB9HFIELKwG76hedbA%3D</v>
      </c>
      <c r="W10" s="110" t="str">
        <f>IFERROR(__xludf.DUMMYFUNCTION("""COMPUTED_VALUE"""),"https://tsipprd.blob.core.windows.net/tsip-files/imports/cb09ba27-c93f-488d-a521-1acfca174929/1779316482562_output.xlsx?sv=2026-02-06&amp;se=2026-05-23T01%3A15%3A02Z&amp;sr=b&amp;sp=r&amp;sig=qZwn3o0CTTwwRco8zLHauV%2FjOUKxrJEVQYJQutI%2FcXU%3D")</f>
        <v>https://tsipprd.blob.core.windows.net/tsip-files/imports/cb09ba27-c93f-488d-a521-1acfca174929/1779316482562_output.xlsx?sv=2026-02-06&amp;se=2026-05-23T01%3A15%3A02Z&amp;sr=b&amp;sp=r&amp;sig=qZwn3o0CTTwwRco8zLHauV%2FjOUKxrJEVQYJQutI%2FcXU%3D</v>
      </c>
      <c r="X10" s="43" t="str">
        <f>IFERROR(__xludf.DUMMYFUNCTION("""COMPUTED_VALUE"""),"success")</f>
        <v>success</v>
      </c>
      <c r="Y10" s="43">
        <f>IFERROR(__xludf.DUMMYFUNCTION("""COMPUTED_VALUE"""),2.0)</f>
        <v>2</v>
      </c>
      <c r="Z10"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0" s="43" t="str">
        <f>IFERROR(__xludf.DUMMYFUNCTION("""COMPUTED_VALUE"""),"success")</f>
        <v>success</v>
      </c>
    </row>
    <row r="11">
      <c r="A11" s="110" t="str">
        <f t="shared" si="1"/>
        <v>www.tsip.ai/claim/1c8f6062-9e4e-4485-9f8c-7107b036222c</v>
      </c>
      <c r="B11" s="43" t="str">
        <f>IFERROR(__xludf.DUMMYFUNCTION("""COMPUTED_VALUE"""),"1c8f6062-9e4e-4485-9f8c-7107b036222c")</f>
        <v>1c8f6062-9e4e-4485-9f8c-7107b036222c</v>
      </c>
      <c r="C11" s="43" t="str">
        <f>IFERROR(__xludf.DUMMYFUNCTION("""COMPUTED_VALUE"""),"sheets-training")</f>
        <v>sheets-training</v>
      </c>
      <c r="D11" s="43">
        <f>IFERROR(__xludf.DUMMYFUNCTION("""COMPUTED_VALUE"""),3.0)</f>
        <v>3</v>
      </c>
      <c r="E11" s="43" t="str">
        <f>IFERROR(__xludf.DUMMYFUNCTION("""COMPUTED_VALUE"""),"training_review")</f>
        <v>training_review</v>
      </c>
      <c r="F11" s="43" t="str">
        <f>IFERROR(__xludf.DUMMYFUNCTION("""COMPUTED_VALUE"""),"cb09ba27-c93f-488d-a521-1acfca174929")</f>
        <v>cb09ba27-c93f-488d-a521-1acfca174929</v>
      </c>
      <c r="G11" s="43" t="str">
        <f>IFERROR(__xludf.DUMMYFUNCTION("""COMPUTED_VALUE"""),"NULL")</f>
        <v>NULL</v>
      </c>
      <c r="H11" s="43" t="str">
        <f>IFERROR(__xludf.DUMMYFUNCTION("""COMPUTED_VALUE"""),"""2026-05-20T22:38:16.156Z""")</f>
        <v>"2026-05-20T22:38:16.156Z"</v>
      </c>
      <c r="I11" s="43" t="str">
        <f>IFERROR(__xludf.DUMMYFUNCTION("""COMPUTED_VALUE"""),"NULL")</f>
        <v>NULL</v>
      </c>
      <c r="J11" s="43" t="str">
        <f>IFERROR(__xludf.DUMMYFUNCTION("""COMPUTED_VALUE"""),"""2026-05-20T22:59:43.420Z""")</f>
        <v>"2026-05-20T22:59:43.420Z"</v>
      </c>
      <c r="K11" s="43" t="str">
        <f>IFERROR(__xludf.DUMMYFUNCTION("""COMPUTED_VALUE"""),"""2026-05-20T22:35:21.497Z""")</f>
        <v>"2026-05-20T22:35:21.497Z"</v>
      </c>
      <c r="L11" s="43" t="str">
        <f>IFERROR(__xludf.DUMMYFUNCTION("""COMPUTED_VALUE"""),"""2026-05-20T22:59:43.420Z""")</f>
        <v>"2026-05-20T22:59:43.420Z"</v>
      </c>
      <c r="M11" s="43" t="str">
        <f>IFERROR(__xludf.DUMMYFUNCTION("""COMPUTED_VALUE"""),"e7175f74-f5c9-41f7-9c77-dc3be8341fbf")</f>
        <v>e7175f74-f5c9-41f7-9c77-dc3be8341fbf</v>
      </c>
      <c r="N11" s="43" t="str">
        <f>IFERROR(__xludf.DUMMYFUNCTION("""COMPUTED_VALUE"""),"cacf4da3-cd8d-402b-a1e9-f3ad3e7f11bf")</f>
        <v>cacf4da3-cd8d-402b-a1e9-f3ad3e7f11bf</v>
      </c>
      <c r="O11" s="43" t="str">
        <f>IFERROR(__xludf.DUMMYFUNCTION("""COMPUTED_VALUE"""),"{}")</f>
        <v>{}</v>
      </c>
      <c r="P11" s="43" t="str">
        <f>IFERROR(__xludf.DUMMYFUNCTION("""COMPUTED_VALUE"""),"training_review")</f>
        <v>training_review</v>
      </c>
      <c r="Q11" s="43" t="str">
        <f>IFERROR(__xludf.DUMMYFUNCTION("""COMPUTED_VALUE"""),"sheets-training")</f>
        <v>sheets-training</v>
      </c>
      <c r="R1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1" s="43" t="str">
        <f>IFERROR(__xludf.DUMMYFUNCTION("""COMPUTED_VALUE"""),"train yourself!")</f>
        <v>train yourself!</v>
      </c>
      <c r="V11" s="110" t="str">
        <f>IFERROR(__xludf.DUMMYFUNCTION("""COMPUTED_VALUE"""),"https://tsipprd.blob.core.windows.net/tsip-files/imports/cb09ba27-c93f-488d-a521-1acfca174929/1779316481981_input.xlsx?sv=2026-02-06&amp;se=2026-05-23T01%3A30%3A02Z&amp;sr=b&amp;sp=r&amp;sig=ZMNHyhnufhT%2FiFs%2BV9YbKj1Mxy2wvx%2FdbtjFxkDot9o%3D")</f>
        <v>https://tsipprd.blob.core.windows.net/tsip-files/imports/cb09ba27-c93f-488d-a521-1acfca174929/1779316481981_input.xlsx?sv=2026-02-06&amp;se=2026-05-23T01%3A30%3A02Z&amp;sr=b&amp;sp=r&amp;sig=ZMNHyhnufhT%2FiFs%2BV9YbKj1Mxy2wvx%2FdbtjFxkDot9o%3D</v>
      </c>
      <c r="W11" s="110" t="str">
        <f>IFERROR(__xludf.DUMMYFUNCTION("""COMPUTED_VALUE"""),"https://tsipprd.blob.core.windows.net/tsip-files/imports/cb09ba27-c93f-488d-a521-1acfca174929/1779316482562_output.xlsx?sv=2026-02-06&amp;se=2026-05-23T01%3A30%3A02Z&amp;sr=b&amp;sp=r&amp;sig=Zn9EYy9xigqEJ2CWCQW0VyWvLH5AolzRi%2BdZCAy%2BpQU%3D")</f>
        <v>https://tsipprd.blob.core.windows.net/tsip-files/imports/cb09ba27-c93f-488d-a521-1acfca174929/1779316482562_output.xlsx?sv=2026-02-06&amp;se=2026-05-23T01%3A30%3A02Z&amp;sr=b&amp;sp=r&amp;sig=Zn9EYy9xigqEJ2CWCQW0VyWvLH5AolzRi%2BdZCAy%2BpQU%3D</v>
      </c>
      <c r="X11" s="43" t="str">
        <f>IFERROR(__xludf.DUMMYFUNCTION("""COMPUTED_VALUE"""),"success")</f>
        <v>success</v>
      </c>
      <c r="Y11" s="43">
        <f>IFERROR(__xludf.DUMMYFUNCTION("""COMPUTED_VALUE"""),2.0)</f>
        <v>2</v>
      </c>
      <c r="Z1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1" s="43" t="str">
        <f>IFERROR(__xludf.DUMMYFUNCTION("""COMPUTED_VALUE"""),"success")</f>
        <v>success</v>
      </c>
    </row>
    <row r="12">
      <c r="A12" s="110" t="str">
        <f t="shared" si="1"/>
        <v>www.tsip.ai/claim/1c8f6062-9e4e-4485-9f8c-7107b036222c</v>
      </c>
      <c r="B12" s="43" t="str">
        <f>IFERROR(__xludf.DUMMYFUNCTION("""COMPUTED_VALUE"""),"1c8f6062-9e4e-4485-9f8c-7107b036222c")</f>
        <v>1c8f6062-9e4e-4485-9f8c-7107b036222c</v>
      </c>
      <c r="C12" s="43" t="str">
        <f>IFERROR(__xludf.DUMMYFUNCTION("""COMPUTED_VALUE"""),"sheets-training")</f>
        <v>sheets-training</v>
      </c>
      <c r="D12" s="43">
        <f>IFERROR(__xludf.DUMMYFUNCTION("""COMPUTED_VALUE"""),3.0)</f>
        <v>3</v>
      </c>
      <c r="E12" s="43" t="str">
        <f>IFERROR(__xludf.DUMMYFUNCTION("""COMPUTED_VALUE"""),"training_review")</f>
        <v>training_review</v>
      </c>
      <c r="F12" s="43" t="str">
        <f>IFERROR(__xludf.DUMMYFUNCTION("""COMPUTED_VALUE"""),"cb09ba27-c93f-488d-a521-1acfca174929")</f>
        <v>cb09ba27-c93f-488d-a521-1acfca174929</v>
      </c>
      <c r="G12" s="43" t="str">
        <f>IFERROR(__xludf.DUMMYFUNCTION("""COMPUTED_VALUE"""),"NULL")</f>
        <v>NULL</v>
      </c>
      <c r="H12" s="43" t="str">
        <f>IFERROR(__xludf.DUMMYFUNCTION("""COMPUTED_VALUE"""),"""2026-05-20T22:38:16.156Z""")</f>
        <v>"2026-05-20T22:38:16.156Z"</v>
      </c>
      <c r="I12" s="43" t="str">
        <f>IFERROR(__xludf.DUMMYFUNCTION("""COMPUTED_VALUE"""),"NULL")</f>
        <v>NULL</v>
      </c>
      <c r="J12" s="43" t="str">
        <f>IFERROR(__xludf.DUMMYFUNCTION("""COMPUTED_VALUE"""),"""2026-05-20T22:59:43.420Z""")</f>
        <v>"2026-05-20T22:59:43.420Z"</v>
      </c>
      <c r="K12" s="43" t="str">
        <f>IFERROR(__xludf.DUMMYFUNCTION("""COMPUTED_VALUE"""),"""2026-05-20T22:35:21.497Z""")</f>
        <v>"2026-05-20T22:35:21.497Z"</v>
      </c>
      <c r="L12" s="43" t="str">
        <f>IFERROR(__xludf.DUMMYFUNCTION("""COMPUTED_VALUE"""),"""2026-05-20T22:59:43.420Z""")</f>
        <v>"2026-05-20T22:59:43.420Z"</v>
      </c>
      <c r="M12" s="43" t="str">
        <f>IFERROR(__xludf.DUMMYFUNCTION("""COMPUTED_VALUE"""),"e7175f74-f5c9-41f7-9c77-dc3be8341fbf")</f>
        <v>e7175f74-f5c9-41f7-9c77-dc3be8341fbf</v>
      </c>
      <c r="N12" s="43" t="str">
        <f>IFERROR(__xludf.DUMMYFUNCTION("""COMPUTED_VALUE"""),"cacf4da3-cd8d-402b-a1e9-f3ad3e7f11bf")</f>
        <v>cacf4da3-cd8d-402b-a1e9-f3ad3e7f11bf</v>
      </c>
      <c r="O12" s="43" t="str">
        <f>IFERROR(__xludf.DUMMYFUNCTION("""COMPUTED_VALUE"""),"{}")</f>
        <v>{}</v>
      </c>
      <c r="P12" s="43" t="str">
        <f>IFERROR(__xludf.DUMMYFUNCTION("""COMPUTED_VALUE"""),"training_review")</f>
        <v>training_review</v>
      </c>
      <c r="Q12" s="43" t="str">
        <f>IFERROR(__xludf.DUMMYFUNCTION("""COMPUTED_VALUE"""),"sheets-training")</f>
        <v>sheets-training</v>
      </c>
      <c r="R12"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2"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2"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2" s="43" t="str">
        <f>IFERROR(__xludf.DUMMYFUNCTION("""COMPUTED_VALUE"""),"train yourself!")</f>
        <v>train yourself!</v>
      </c>
      <c r="V12" s="110" t="str">
        <f>IFERROR(__xludf.DUMMYFUNCTION("""COMPUTED_VALUE"""),"https://tsipprd.blob.core.windows.net/tsip-files/imports/cb09ba27-c93f-488d-a521-1acfca174929/1779316481981_input.xlsx?sv=2026-02-06&amp;se=2026-05-23T01%3A45%3A01Z&amp;sr=b&amp;sp=r&amp;sig=7%2FegDfwe2%2FfYnHnGKs8BPG8vC0LfD3OvxDC3BLiHqA0%3D")</f>
        <v>https://tsipprd.blob.core.windows.net/tsip-files/imports/cb09ba27-c93f-488d-a521-1acfca174929/1779316481981_input.xlsx?sv=2026-02-06&amp;se=2026-05-23T01%3A45%3A01Z&amp;sr=b&amp;sp=r&amp;sig=7%2FegDfwe2%2FfYnHnGKs8BPG8vC0LfD3OvxDC3BLiHqA0%3D</v>
      </c>
      <c r="W12" s="110" t="str">
        <f>IFERROR(__xludf.DUMMYFUNCTION("""COMPUTED_VALUE"""),"https://tsipprd.blob.core.windows.net/tsip-files/imports/cb09ba27-c93f-488d-a521-1acfca174929/1779316482562_output.xlsx?sv=2026-02-06&amp;se=2026-05-23T01%3A45%3A01Z&amp;sr=b&amp;sp=r&amp;sig=lHkqO0NeKnQVWYuSaVYC0ThmGL38uxbN7%2B15evut6uc%3D")</f>
        <v>https://tsipprd.blob.core.windows.net/tsip-files/imports/cb09ba27-c93f-488d-a521-1acfca174929/1779316482562_output.xlsx?sv=2026-02-06&amp;se=2026-05-23T01%3A45%3A01Z&amp;sr=b&amp;sp=r&amp;sig=lHkqO0NeKnQVWYuSaVYC0ThmGL38uxbN7%2B15evut6uc%3D</v>
      </c>
      <c r="X12" s="43" t="str">
        <f>IFERROR(__xludf.DUMMYFUNCTION("""COMPUTED_VALUE"""),"success")</f>
        <v>success</v>
      </c>
      <c r="Y12" s="43">
        <f>IFERROR(__xludf.DUMMYFUNCTION("""COMPUTED_VALUE"""),2.0)</f>
        <v>2</v>
      </c>
      <c r="Z12"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2" s="43" t="str">
        <f>IFERROR(__xludf.DUMMYFUNCTION("""COMPUTED_VALUE"""),"success")</f>
        <v>success</v>
      </c>
    </row>
    <row r="13">
      <c r="A13" s="110" t="str">
        <f t="shared" si="1"/>
        <v>www.tsip.ai/claim/1c8f6062-9e4e-4485-9f8c-7107b036222c</v>
      </c>
      <c r="B13" s="43" t="str">
        <f>IFERROR(__xludf.DUMMYFUNCTION("""COMPUTED_VALUE"""),"1c8f6062-9e4e-4485-9f8c-7107b036222c")</f>
        <v>1c8f6062-9e4e-4485-9f8c-7107b036222c</v>
      </c>
      <c r="C13" s="43" t="str">
        <f>IFERROR(__xludf.DUMMYFUNCTION("""COMPUTED_VALUE"""),"sheets-training")</f>
        <v>sheets-training</v>
      </c>
      <c r="D13" s="43">
        <f>IFERROR(__xludf.DUMMYFUNCTION("""COMPUTED_VALUE"""),3.0)</f>
        <v>3</v>
      </c>
      <c r="E13" s="43" t="str">
        <f>IFERROR(__xludf.DUMMYFUNCTION("""COMPUTED_VALUE"""),"training_review")</f>
        <v>training_review</v>
      </c>
      <c r="F13" s="43" t="str">
        <f>IFERROR(__xludf.DUMMYFUNCTION("""COMPUTED_VALUE"""),"cb09ba27-c93f-488d-a521-1acfca174929")</f>
        <v>cb09ba27-c93f-488d-a521-1acfca174929</v>
      </c>
      <c r="G13" s="43" t="str">
        <f>IFERROR(__xludf.DUMMYFUNCTION("""COMPUTED_VALUE"""),"NULL")</f>
        <v>NULL</v>
      </c>
      <c r="H13" s="43" t="str">
        <f>IFERROR(__xludf.DUMMYFUNCTION("""COMPUTED_VALUE"""),"""2026-05-20T22:38:16.156Z""")</f>
        <v>"2026-05-20T22:38:16.156Z"</v>
      </c>
      <c r="I13" s="43" t="str">
        <f>IFERROR(__xludf.DUMMYFUNCTION("""COMPUTED_VALUE"""),"NULL")</f>
        <v>NULL</v>
      </c>
      <c r="J13" s="43" t="str">
        <f>IFERROR(__xludf.DUMMYFUNCTION("""COMPUTED_VALUE"""),"""2026-05-20T22:59:43.420Z""")</f>
        <v>"2026-05-20T22:59:43.420Z"</v>
      </c>
      <c r="K13" s="43" t="str">
        <f>IFERROR(__xludf.DUMMYFUNCTION("""COMPUTED_VALUE"""),"""2026-05-20T22:35:21.497Z""")</f>
        <v>"2026-05-20T22:35:21.497Z"</v>
      </c>
      <c r="L13" s="43" t="str">
        <f>IFERROR(__xludf.DUMMYFUNCTION("""COMPUTED_VALUE"""),"""2026-05-20T22:59:43.420Z""")</f>
        <v>"2026-05-20T22:59:43.420Z"</v>
      </c>
      <c r="M13" s="43" t="str">
        <f>IFERROR(__xludf.DUMMYFUNCTION("""COMPUTED_VALUE"""),"e7175f74-f5c9-41f7-9c77-dc3be8341fbf")</f>
        <v>e7175f74-f5c9-41f7-9c77-dc3be8341fbf</v>
      </c>
      <c r="N13" s="43" t="str">
        <f>IFERROR(__xludf.DUMMYFUNCTION("""COMPUTED_VALUE"""),"cacf4da3-cd8d-402b-a1e9-f3ad3e7f11bf")</f>
        <v>cacf4da3-cd8d-402b-a1e9-f3ad3e7f11bf</v>
      </c>
      <c r="O13" s="43" t="str">
        <f>IFERROR(__xludf.DUMMYFUNCTION("""COMPUTED_VALUE"""),"{}")</f>
        <v>{}</v>
      </c>
      <c r="P13" s="43" t="str">
        <f>IFERROR(__xludf.DUMMYFUNCTION("""COMPUTED_VALUE"""),"training_review")</f>
        <v>training_review</v>
      </c>
      <c r="Q13" s="43" t="str">
        <f>IFERROR(__xludf.DUMMYFUNCTION("""COMPUTED_VALUE"""),"sheets-training")</f>
        <v>sheets-training</v>
      </c>
      <c r="R1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3" s="43" t="str">
        <f>IFERROR(__xludf.DUMMYFUNCTION("""COMPUTED_VALUE"""),"train yourself!")</f>
        <v>train yourself!</v>
      </c>
      <c r="V13" s="110" t="str">
        <f>IFERROR(__xludf.DUMMYFUNCTION("""COMPUTED_VALUE"""),"https://tsipprd.blob.core.windows.net/tsip-files/imports/cb09ba27-c93f-488d-a521-1acfca174929/1779316481981_input.xlsx?sv=2026-02-06&amp;se=2026-05-23T02%3A00%3A02Z&amp;sr=b&amp;sp=r&amp;sig=YetJFkaFu2yaNPU6H0JVBKtK7H4baVlzxlcNagXJgfM%3D")</f>
        <v>https://tsipprd.blob.core.windows.net/tsip-files/imports/cb09ba27-c93f-488d-a521-1acfca174929/1779316481981_input.xlsx?sv=2026-02-06&amp;se=2026-05-23T02%3A00%3A02Z&amp;sr=b&amp;sp=r&amp;sig=YetJFkaFu2yaNPU6H0JVBKtK7H4baVlzxlcNagXJgfM%3D</v>
      </c>
      <c r="W13" s="110" t="str">
        <f>IFERROR(__xludf.DUMMYFUNCTION("""COMPUTED_VALUE"""),"https://tsipprd.blob.core.windows.net/tsip-files/imports/cb09ba27-c93f-488d-a521-1acfca174929/1779316482562_output.xlsx?sv=2026-02-06&amp;se=2026-05-23T02%3A00%3A02Z&amp;sr=b&amp;sp=r&amp;sig=42FuCiSrmIc9vIrdOMySBFwTKg9TqyzCFtEcIzqbJNw%3D")</f>
        <v>https://tsipprd.blob.core.windows.net/tsip-files/imports/cb09ba27-c93f-488d-a521-1acfca174929/1779316482562_output.xlsx?sv=2026-02-06&amp;se=2026-05-23T02%3A00%3A02Z&amp;sr=b&amp;sp=r&amp;sig=42FuCiSrmIc9vIrdOMySBFwTKg9TqyzCFtEcIzqbJNw%3D</v>
      </c>
      <c r="X13" s="43" t="str">
        <f>IFERROR(__xludf.DUMMYFUNCTION("""COMPUTED_VALUE"""),"success")</f>
        <v>success</v>
      </c>
      <c r="Y13" s="43">
        <f>IFERROR(__xludf.DUMMYFUNCTION("""COMPUTED_VALUE"""),2.0)</f>
        <v>2</v>
      </c>
      <c r="Z1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3" s="43" t="str">
        <f>IFERROR(__xludf.DUMMYFUNCTION("""COMPUTED_VALUE"""),"success")</f>
        <v>success</v>
      </c>
    </row>
    <row r="14">
      <c r="A14" s="110" t="str">
        <f t="shared" si="1"/>
        <v>www.tsip.ai/claim/1c8f6062-9e4e-4485-9f8c-7107b036222c</v>
      </c>
      <c r="B14" s="43" t="str">
        <f>IFERROR(__xludf.DUMMYFUNCTION("""COMPUTED_VALUE"""),"1c8f6062-9e4e-4485-9f8c-7107b036222c")</f>
        <v>1c8f6062-9e4e-4485-9f8c-7107b036222c</v>
      </c>
      <c r="C14" s="43" t="str">
        <f>IFERROR(__xludf.DUMMYFUNCTION("""COMPUTED_VALUE"""),"sheets-training")</f>
        <v>sheets-training</v>
      </c>
      <c r="D14" s="43">
        <f>IFERROR(__xludf.DUMMYFUNCTION("""COMPUTED_VALUE"""),3.0)</f>
        <v>3</v>
      </c>
      <c r="E14" s="43" t="str">
        <f>IFERROR(__xludf.DUMMYFUNCTION("""COMPUTED_VALUE"""),"training_review")</f>
        <v>training_review</v>
      </c>
      <c r="F14" s="43" t="str">
        <f>IFERROR(__xludf.DUMMYFUNCTION("""COMPUTED_VALUE"""),"cb09ba27-c93f-488d-a521-1acfca174929")</f>
        <v>cb09ba27-c93f-488d-a521-1acfca174929</v>
      </c>
      <c r="G14" s="43" t="str">
        <f>IFERROR(__xludf.DUMMYFUNCTION("""COMPUTED_VALUE"""),"NULL")</f>
        <v>NULL</v>
      </c>
      <c r="H14" s="43" t="str">
        <f>IFERROR(__xludf.DUMMYFUNCTION("""COMPUTED_VALUE"""),"""2026-05-20T22:38:16.156Z""")</f>
        <v>"2026-05-20T22:38:16.156Z"</v>
      </c>
      <c r="I14" s="43" t="str">
        <f>IFERROR(__xludf.DUMMYFUNCTION("""COMPUTED_VALUE"""),"NULL")</f>
        <v>NULL</v>
      </c>
      <c r="J14" s="43" t="str">
        <f>IFERROR(__xludf.DUMMYFUNCTION("""COMPUTED_VALUE"""),"""2026-05-20T22:59:43.420Z""")</f>
        <v>"2026-05-20T22:59:43.420Z"</v>
      </c>
      <c r="K14" s="43" t="str">
        <f>IFERROR(__xludf.DUMMYFUNCTION("""COMPUTED_VALUE"""),"""2026-05-20T22:35:21.497Z""")</f>
        <v>"2026-05-20T22:35:21.497Z"</v>
      </c>
      <c r="L14" s="43" t="str">
        <f>IFERROR(__xludf.DUMMYFUNCTION("""COMPUTED_VALUE"""),"""2026-05-20T22:59:43.420Z""")</f>
        <v>"2026-05-20T22:59:43.420Z"</v>
      </c>
      <c r="M14" s="43" t="str">
        <f>IFERROR(__xludf.DUMMYFUNCTION("""COMPUTED_VALUE"""),"e7175f74-f5c9-41f7-9c77-dc3be8341fbf")</f>
        <v>e7175f74-f5c9-41f7-9c77-dc3be8341fbf</v>
      </c>
      <c r="N14" s="43" t="str">
        <f>IFERROR(__xludf.DUMMYFUNCTION("""COMPUTED_VALUE"""),"cacf4da3-cd8d-402b-a1e9-f3ad3e7f11bf")</f>
        <v>cacf4da3-cd8d-402b-a1e9-f3ad3e7f11bf</v>
      </c>
      <c r="O14" s="43" t="str">
        <f>IFERROR(__xludf.DUMMYFUNCTION("""COMPUTED_VALUE"""),"{}")</f>
        <v>{}</v>
      </c>
      <c r="P14" s="43" t="str">
        <f>IFERROR(__xludf.DUMMYFUNCTION("""COMPUTED_VALUE"""),"training_review")</f>
        <v>training_review</v>
      </c>
      <c r="Q14" s="43" t="str">
        <f>IFERROR(__xludf.DUMMYFUNCTION("""COMPUTED_VALUE"""),"sheets-training")</f>
        <v>sheets-training</v>
      </c>
      <c r="R14"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4"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4"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4" s="43" t="str">
        <f>IFERROR(__xludf.DUMMYFUNCTION("""COMPUTED_VALUE"""),"train yourself!")</f>
        <v>train yourself!</v>
      </c>
      <c r="V14" s="110" t="str">
        <f>IFERROR(__xludf.DUMMYFUNCTION("""COMPUTED_VALUE"""),"https://tsipprd.blob.core.windows.net/tsip-files/imports/cb09ba27-c93f-488d-a521-1acfca174929/1779316481981_input.xlsx?sv=2026-02-06&amp;se=2026-05-23T02%3A15%3A01Z&amp;sr=b&amp;sp=r&amp;sig=rmX1mCsR%2FtUsVHxORTxIw8PTuyZixZ3hYuP5jtfweqQ%3D")</f>
        <v>https://tsipprd.blob.core.windows.net/tsip-files/imports/cb09ba27-c93f-488d-a521-1acfca174929/1779316481981_input.xlsx?sv=2026-02-06&amp;se=2026-05-23T02%3A15%3A01Z&amp;sr=b&amp;sp=r&amp;sig=rmX1mCsR%2FtUsVHxORTxIw8PTuyZixZ3hYuP5jtfweqQ%3D</v>
      </c>
      <c r="W14" s="110" t="str">
        <f>IFERROR(__xludf.DUMMYFUNCTION("""COMPUTED_VALUE"""),"https://tsipprd.blob.core.windows.net/tsip-files/imports/cb09ba27-c93f-488d-a521-1acfca174929/1779316482562_output.xlsx?sv=2026-02-06&amp;se=2026-05-23T02%3A15%3A01Z&amp;sr=b&amp;sp=r&amp;sig=yB9JQls3ej63vIV%2BOHX1ZUqSXBYF3zb0nBlY8osZ8C0%3D")</f>
        <v>https://tsipprd.blob.core.windows.net/tsip-files/imports/cb09ba27-c93f-488d-a521-1acfca174929/1779316482562_output.xlsx?sv=2026-02-06&amp;se=2026-05-23T02%3A15%3A01Z&amp;sr=b&amp;sp=r&amp;sig=yB9JQls3ej63vIV%2BOHX1ZUqSXBYF3zb0nBlY8osZ8C0%3D</v>
      </c>
      <c r="X14" s="43" t="str">
        <f>IFERROR(__xludf.DUMMYFUNCTION("""COMPUTED_VALUE"""),"success")</f>
        <v>success</v>
      </c>
      <c r="Y14" s="43">
        <f>IFERROR(__xludf.DUMMYFUNCTION("""COMPUTED_VALUE"""),2.0)</f>
        <v>2</v>
      </c>
      <c r="Z14"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4" s="43" t="str">
        <f>IFERROR(__xludf.DUMMYFUNCTION("""COMPUTED_VALUE"""),"success")</f>
        <v>success</v>
      </c>
    </row>
    <row r="15">
      <c r="A15" s="110" t="str">
        <f t="shared" si="1"/>
        <v>www.tsip.ai/claim/1c8f6062-9e4e-4485-9f8c-7107b036222c</v>
      </c>
      <c r="B15" s="43" t="str">
        <f>IFERROR(__xludf.DUMMYFUNCTION("""COMPUTED_VALUE"""),"1c8f6062-9e4e-4485-9f8c-7107b036222c")</f>
        <v>1c8f6062-9e4e-4485-9f8c-7107b036222c</v>
      </c>
      <c r="C15" s="43" t="str">
        <f>IFERROR(__xludf.DUMMYFUNCTION("""COMPUTED_VALUE"""),"sheets-training")</f>
        <v>sheets-training</v>
      </c>
      <c r="D15" s="43">
        <f>IFERROR(__xludf.DUMMYFUNCTION("""COMPUTED_VALUE"""),3.0)</f>
        <v>3</v>
      </c>
      <c r="E15" s="43" t="str">
        <f>IFERROR(__xludf.DUMMYFUNCTION("""COMPUTED_VALUE"""),"training_review")</f>
        <v>training_review</v>
      </c>
      <c r="F15" s="43" t="str">
        <f>IFERROR(__xludf.DUMMYFUNCTION("""COMPUTED_VALUE"""),"cb09ba27-c93f-488d-a521-1acfca174929")</f>
        <v>cb09ba27-c93f-488d-a521-1acfca174929</v>
      </c>
      <c r="G15" s="43" t="str">
        <f>IFERROR(__xludf.DUMMYFUNCTION("""COMPUTED_VALUE"""),"NULL")</f>
        <v>NULL</v>
      </c>
      <c r="H15" s="43" t="str">
        <f>IFERROR(__xludf.DUMMYFUNCTION("""COMPUTED_VALUE"""),"""2026-05-20T22:38:16.156Z""")</f>
        <v>"2026-05-20T22:38:16.156Z"</v>
      </c>
      <c r="I15" s="43" t="str">
        <f>IFERROR(__xludf.DUMMYFUNCTION("""COMPUTED_VALUE"""),"NULL")</f>
        <v>NULL</v>
      </c>
      <c r="J15" s="43" t="str">
        <f>IFERROR(__xludf.DUMMYFUNCTION("""COMPUTED_VALUE"""),"""2026-05-20T22:59:43.420Z""")</f>
        <v>"2026-05-20T22:59:43.420Z"</v>
      </c>
      <c r="K15" s="43" t="str">
        <f>IFERROR(__xludf.DUMMYFUNCTION("""COMPUTED_VALUE"""),"""2026-05-20T22:35:21.497Z""")</f>
        <v>"2026-05-20T22:35:21.497Z"</v>
      </c>
      <c r="L15" s="43" t="str">
        <f>IFERROR(__xludf.DUMMYFUNCTION("""COMPUTED_VALUE"""),"""2026-05-20T22:59:43.420Z""")</f>
        <v>"2026-05-20T22:59:43.420Z"</v>
      </c>
      <c r="M15" s="43" t="str">
        <f>IFERROR(__xludf.DUMMYFUNCTION("""COMPUTED_VALUE"""),"e7175f74-f5c9-41f7-9c77-dc3be8341fbf")</f>
        <v>e7175f74-f5c9-41f7-9c77-dc3be8341fbf</v>
      </c>
      <c r="N15" s="43" t="str">
        <f>IFERROR(__xludf.DUMMYFUNCTION("""COMPUTED_VALUE"""),"cacf4da3-cd8d-402b-a1e9-f3ad3e7f11bf")</f>
        <v>cacf4da3-cd8d-402b-a1e9-f3ad3e7f11bf</v>
      </c>
      <c r="O15" s="43" t="str">
        <f>IFERROR(__xludf.DUMMYFUNCTION("""COMPUTED_VALUE"""),"{}")</f>
        <v>{}</v>
      </c>
      <c r="P15" s="43" t="str">
        <f>IFERROR(__xludf.DUMMYFUNCTION("""COMPUTED_VALUE"""),"training_review")</f>
        <v>training_review</v>
      </c>
      <c r="Q15" s="43" t="str">
        <f>IFERROR(__xludf.DUMMYFUNCTION("""COMPUTED_VALUE"""),"sheets-training")</f>
        <v>sheets-training</v>
      </c>
      <c r="R1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5" s="43" t="str">
        <f>IFERROR(__xludf.DUMMYFUNCTION("""COMPUTED_VALUE"""),"train yourself!")</f>
        <v>train yourself!</v>
      </c>
      <c r="V15" s="110" t="str">
        <f>IFERROR(__xludf.DUMMYFUNCTION("""COMPUTED_VALUE"""),"https://tsipprd.blob.core.windows.net/tsip-files/imports/cb09ba27-c93f-488d-a521-1acfca174929/1779316481981_input.xlsx?sv=2026-02-06&amp;se=2026-05-23T02%3A30%3A01Z&amp;sr=b&amp;sp=r&amp;sig=OxF29zWZhLd%2B1yJQIprt5sIL61sXm2o%2B2VzUvXI7B58%3D")</f>
        <v>https://tsipprd.blob.core.windows.net/tsip-files/imports/cb09ba27-c93f-488d-a521-1acfca174929/1779316481981_input.xlsx?sv=2026-02-06&amp;se=2026-05-23T02%3A30%3A01Z&amp;sr=b&amp;sp=r&amp;sig=OxF29zWZhLd%2B1yJQIprt5sIL61sXm2o%2B2VzUvXI7B58%3D</v>
      </c>
      <c r="W15" s="110" t="str">
        <f>IFERROR(__xludf.DUMMYFUNCTION("""COMPUTED_VALUE"""),"https://tsipprd.blob.core.windows.net/tsip-files/imports/cb09ba27-c93f-488d-a521-1acfca174929/1779316482562_output.xlsx?sv=2026-02-06&amp;se=2026-05-23T02%3A30%3A01Z&amp;sr=b&amp;sp=r&amp;sig=Yu9QkKoFjttvvrG9szbScYewhTOEDEwwn5um2gpQWa0%3D")</f>
        <v>https://tsipprd.blob.core.windows.net/tsip-files/imports/cb09ba27-c93f-488d-a521-1acfca174929/1779316482562_output.xlsx?sv=2026-02-06&amp;se=2026-05-23T02%3A30%3A01Z&amp;sr=b&amp;sp=r&amp;sig=Yu9QkKoFjttvvrG9szbScYewhTOEDEwwn5um2gpQWa0%3D</v>
      </c>
      <c r="X15" s="43" t="str">
        <f>IFERROR(__xludf.DUMMYFUNCTION("""COMPUTED_VALUE"""),"success")</f>
        <v>success</v>
      </c>
      <c r="Y15" s="43">
        <f>IFERROR(__xludf.DUMMYFUNCTION("""COMPUTED_VALUE"""),2.0)</f>
        <v>2</v>
      </c>
      <c r="Z1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5" s="43" t="str">
        <f>IFERROR(__xludf.DUMMYFUNCTION("""COMPUTED_VALUE"""),"success")</f>
        <v>success</v>
      </c>
    </row>
    <row r="16">
      <c r="A16" s="110" t="str">
        <f t="shared" si="1"/>
        <v>www.tsip.ai/claim/1c8f6062-9e4e-4485-9f8c-7107b036222c</v>
      </c>
      <c r="B16" s="43" t="str">
        <f>IFERROR(__xludf.DUMMYFUNCTION("""COMPUTED_VALUE"""),"1c8f6062-9e4e-4485-9f8c-7107b036222c")</f>
        <v>1c8f6062-9e4e-4485-9f8c-7107b036222c</v>
      </c>
      <c r="C16" s="43" t="str">
        <f>IFERROR(__xludf.DUMMYFUNCTION("""COMPUTED_VALUE"""),"sheets-training")</f>
        <v>sheets-training</v>
      </c>
      <c r="D16" s="43">
        <f>IFERROR(__xludf.DUMMYFUNCTION("""COMPUTED_VALUE"""),3.0)</f>
        <v>3</v>
      </c>
      <c r="E16" s="43" t="str">
        <f>IFERROR(__xludf.DUMMYFUNCTION("""COMPUTED_VALUE"""),"training_review")</f>
        <v>training_review</v>
      </c>
      <c r="F16" s="43" t="str">
        <f>IFERROR(__xludf.DUMMYFUNCTION("""COMPUTED_VALUE"""),"cb09ba27-c93f-488d-a521-1acfca174929")</f>
        <v>cb09ba27-c93f-488d-a521-1acfca174929</v>
      </c>
      <c r="G16" s="43" t="str">
        <f>IFERROR(__xludf.DUMMYFUNCTION("""COMPUTED_VALUE"""),"NULL")</f>
        <v>NULL</v>
      </c>
      <c r="H16" s="43" t="str">
        <f>IFERROR(__xludf.DUMMYFUNCTION("""COMPUTED_VALUE"""),"""2026-05-20T22:38:16.156Z""")</f>
        <v>"2026-05-20T22:38:16.156Z"</v>
      </c>
      <c r="I16" s="43" t="str">
        <f>IFERROR(__xludf.DUMMYFUNCTION("""COMPUTED_VALUE"""),"NULL")</f>
        <v>NULL</v>
      </c>
      <c r="J16" s="43" t="str">
        <f>IFERROR(__xludf.DUMMYFUNCTION("""COMPUTED_VALUE"""),"""2026-05-20T22:59:43.420Z""")</f>
        <v>"2026-05-20T22:59:43.420Z"</v>
      </c>
      <c r="K16" s="43" t="str">
        <f>IFERROR(__xludf.DUMMYFUNCTION("""COMPUTED_VALUE"""),"""2026-05-20T22:35:21.497Z""")</f>
        <v>"2026-05-20T22:35:21.497Z"</v>
      </c>
      <c r="L16" s="43" t="str">
        <f>IFERROR(__xludf.DUMMYFUNCTION("""COMPUTED_VALUE"""),"""2026-05-20T22:59:43.420Z""")</f>
        <v>"2026-05-20T22:59:43.420Z"</v>
      </c>
      <c r="M16" s="43" t="str">
        <f>IFERROR(__xludf.DUMMYFUNCTION("""COMPUTED_VALUE"""),"e7175f74-f5c9-41f7-9c77-dc3be8341fbf")</f>
        <v>e7175f74-f5c9-41f7-9c77-dc3be8341fbf</v>
      </c>
      <c r="N16" s="43" t="str">
        <f>IFERROR(__xludf.DUMMYFUNCTION("""COMPUTED_VALUE"""),"cacf4da3-cd8d-402b-a1e9-f3ad3e7f11bf")</f>
        <v>cacf4da3-cd8d-402b-a1e9-f3ad3e7f11bf</v>
      </c>
      <c r="O16" s="43" t="str">
        <f>IFERROR(__xludf.DUMMYFUNCTION("""COMPUTED_VALUE"""),"{}")</f>
        <v>{}</v>
      </c>
      <c r="P16" s="43" t="str">
        <f>IFERROR(__xludf.DUMMYFUNCTION("""COMPUTED_VALUE"""),"training_review")</f>
        <v>training_review</v>
      </c>
      <c r="Q16" s="43" t="str">
        <f>IFERROR(__xludf.DUMMYFUNCTION("""COMPUTED_VALUE"""),"sheets-training")</f>
        <v>sheets-training</v>
      </c>
      <c r="R1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6"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6"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6" s="43" t="str">
        <f>IFERROR(__xludf.DUMMYFUNCTION("""COMPUTED_VALUE"""),"train yourself!")</f>
        <v>train yourself!</v>
      </c>
      <c r="V16" s="110" t="str">
        <f>IFERROR(__xludf.DUMMYFUNCTION("""COMPUTED_VALUE"""),"https://tsipprd.blob.core.windows.net/tsip-files/imports/cb09ba27-c93f-488d-a521-1acfca174929/1779316481981_input.xlsx?sv=2026-02-06&amp;se=2026-05-23T02%3A45%3A01Z&amp;sr=b&amp;sp=r&amp;sig=gF6rWtUUd0IDFBLmLdQD67t8P2GXJF9R0wymfwCqn54%3D")</f>
        <v>https://tsipprd.blob.core.windows.net/tsip-files/imports/cb09ba27-c93f-488d-a521-1acfca174929/1779316481981_input.xlsx?sv=2026-02-06&amp;se=2026-05-23T02%3A45%3A01Z&amp;sr=b&amp;sp=r&amp;sig=gF6rWtUUd0IDFBLmLdQD67t8P2GXJF9R0wymfwCqn54%3D</v>
      </c>
      <c r="W16" s="110" t="str">
        <f>IFERROR(__xludf.DUMMYFUNCTION("""COMPUTED_VALUE"""),"https://tsipprd.blob.core.windows.net/tsip-files/imports/cb09ba27-c93f-488d-a521-1acfca174929/1779316482562_output.xlsx?sv=2026-02-06&amp;se=2026-05-23T02%3A45%3A01Z&amp;sr=b&amp;sp=r&amp;sig=OKKMxe8OHgTfuwQEXr1c07juzyxo0Ls3xG5GfhuDzGU%3D")</f>
        <v>https://tsipprd.blob.core.windows.net/tsip-files/imports/cb09ba27-c93f-488d-a521-1acfca174929/1779316482562_output.xlsx?sv=2026-02-06&amp;se=2026-05-23T02%3A45%3A01Z&amp;sr=b&amp;sp=r&amp;sig=OKKMxe8OHgTfuwQEXr1c07juzyxo0Ls3xG5GfhuDzGU%3D</v>
      </c>
      <c r="X16" s="43" t="str">
        <f>IFERROR(__xludf.DUMMYFUNCTION("""COMPUTED_VALUE"""),"success")</f>
        <v>success</v>
      </c>
      <c r="Y16" s="43">
        <f>IFERROR(__xludf.DUMMYFUNCTION("""COMPUTED_VALUE"""),2.0)</f>
        <v>2</v>
      </c>
      <c r="Z16"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6" s="43" t="str">
        <f>IFERROR(__xludf.DUMMYFUNCTION("""COMPUTED_VALUE"""),"success")</f>
        <v>success</v>
      </c>
    </row>
    <row r="17">
      <c r="A17" s="110" t="str">
        <f t="shared" si="1"/>
        <v>www.tsip.ai/claim/1c8f6062-9e4e-4485-9f8c-7107b036222c</v>
      </c>
      <c r="B17" s="43" t="str">
        <f>IFERROR(__xludf.DUMMYFUNCTION("""COMPUTED_VALUE"""),"1c8f6062-9e4e-4485-9f8c-7107b036222c")</f>
        <v>1c8f6062-9e4e-4485-9f8c-7107b036222c</v>
      </c>
      <c r="C17" s="43" t="str">
        <f>IFERROR(__xludf.DUMMYFUNCTION("""COMPUTED_VALUE"""),"sheets-training")</f>
        <v>sheets-training</v>
      </c>
      <c r="D17" s="43">
        <f>IFERROR(__xludf.DUMMYFUNCTION("""COMPUTED_VALUE"""),3.0)</f>
        <v>3</v>
      </c>
      <c r="E17" s="43" t="str">
        <f>IFERROR(__xludf.DUMMYFUNCTION("""COMPUTED_VALUE"""),"training_review")</f>
        <v>training_review</v>
      </c>
      <c r="F17" s="43" t="str">
        <f>IFERROR(__xludf.DUMMYFUNCTION("""COMPUTED_VALUE"""),"cb09ba27-c93f-488d-a521-1acfca174929")</f>
        <v>cb09ba27-c93f-488d-a521-1acfca174929</v>
      </c>
      <c r="G17" s="43" t="str">
        <f>IFERROR(__xludf.DUMMYFUNCTION("""COMPUTED_VALUE"""),"NULL")</f>
        <v>NULL</v>
      </c>
      <c r="H17" s="43" t="str">
        <f>IFERROR(__xludf.DUMMYFUNCTION("""COMPUTED_VALUE"""),"""2026-05-20T22:38:16.156Z""")</f>
        <v>"2026-05-20T22:38:16.156Z"</v>
      </c>
      <c r="I17" s="43" t="str">
        <f>IFERROR(__xludf.DUMMYFUNCTION("""COMPUTED_VALUE"""),"NULL")</f>
        <v>NULL</v>
      </c>
      <c r="J17" s="43" t="str">
        <f>IFERROR(__xludf.DUMMYFUNCTION("""COMPUTED_VALUE"""),"""2026-05-20T22:59:43.420Z""")</f>
        <v>"2026-05-20T22:59:43.420Z"</v>
      </c>
      <c r="K17" s="43" t="str">
        <f>IFERROR(__xludf.DUMMYFUNCTION("""COMPUTED_VALUE"""),"""2026-05-20T22:35:21.497Z""")</f>
        <v>"2026-05-20T22:35:21.497Z"</v>
      </c>
      <c r="L17" s="43" t="str">
        <f>IFERROR(__xludf.DUMMYFUNCTION("""COMPUTED_VALUE"""),"""2026-05-20T22:59:43.420Z""")</f>
        <v>"2026-05-20T22:59:43.420Z"</v>
      </c>
      <c r="M17" s="43" t="str">
        <f>IFERROR(__xludf.DUMMYFUNCTION("""COMPUTED_VALUE"""),"e7175f74-f5c9-41f7-9c77-dc3be8341fbf")</f>
        <v>e7175f74-f5c9-41f7-9c77-dc3be8341fbf</v>
      </c>
      <c r="N17" s="43" t="str">
        <f>IFERROR(__xludf.DUMMYFUNCTION("""COMPUTED_VALUE"""),"cacf4da3-cd8d-402b-a1e9-f3ad3e7f11bf")</f>
        <v>cacf4da3-cd8d-402b-a1e9-f3ad3e7f11bf</v>
      </c>
      <c r="O17" s="43" t="str">
        <f>IFERROR(__xludf.DUMMYFUNCTION("""COMPUTED_VALUE"""),"{}")</f>
        <v>{}</v>
      </c>
      <c r="P17" s="43" t="str">
        <f>IFERROR(__xludf.DUMMYFUNCTION("""COMPUTED_VALUE"""),"training_review")</f>
        <v>training_review</v>
      </c>
      <c r="Q17" s="43" t="str">
        <f>IFERROR(__xludf.DUMMYFUNCTION("""COMPUTED_VALUE"""),"sheets-training")</f>
        <v>sheets-training</v>
      </c>
      <c r="R1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7" s="43" t="str">
        <f>IFERROR(__xludf.DUMMYFUNCTION("""COMPUTED_VALUE"""),"train yourself!")</f>
        <v>train yourself!</v>
      </c>
      <c r="V17" s="110" t="str">
        <f>IFERROR(__xludf.DUMMYFUNCTION("""COMPUTED_VALUE"""),"https://tsipprd.blob.core.windows.net/tsip-files/imports/cb09ba27-c93f-488d-a521-1acfca174929/1779316481981_input.xlsx?sv=2026-02-06&amp;se=2026-05-23T03%3A00%3A02Z&amp;sr=b&amp;sp=r&amp;sig=BJRdo1i6DYznIOR0BaOE5s1YdIHs8CcLMRP6vZ66Mf8%3D")</f>
        <v>https://tsipprd.blob.core.windows.net/tsip-files/imports/cb09ba27-c93f-488d-a521-1acfca174929/1779316481981_input.xlsx?sv=2026-02-06&amp;se=2026-05-23T03%3A00%3A02Z&amp;sr=b&amp;sp=r&amp;sig=BJRdo1i6DYznIOR0BaOE5s1YdIHs8CcLMRP6vZ66Mf8%3D</v>
      </c>
      <c r="W17" s="110" t="str">
        <f>IFERROR(__xludf.DUMMYFUNCTION("""COMPUTED_VALUE"""),"https://tsipprd.blob.core.windows.net/tsip-files/imports/cb09ba27-c93f-488d-a521-1acfca174929/1779316482562_output.xlsx?sv=2026-02-06&amp;se=2026-05-23T03%3A00%3A02Z&amp;sr=b&amp;sp=r&amp;sig=u7FhpI6T6Uhi8uCv%2Fkwe2OeOYZu5w%2FX%2BLlcaT3XpLqM%3D")</f>
        <v>https://tsipprd.blob.core.windows.net/tsip-files/imports/cb09ba27-c93f-488d-a521-1acfca174929/1779316482562_output.xlsx?sv=2026-02-06&amp;se=2026-05-23T03%3A00%3A02Z&amp;sr=b&amp;sp=r&amp;sig=u7FhpI6T6Uhi8uCv%2Fkwe2OeOYZu5w%2FX%2BLlcaT3XpLqM%3D</v>
      </c>
      <c r="X17" s="43" t="str">
        <f>IFERROR(__xludf.DUMMYFUNCTION("""COMPUTED_VALUE"""),"success")</f>
        <v>success</v>
      </c>
      <c r="Y17" s="43">
        <f>IFERROR(__xludf.DUMMYFUNCTION("""COMPUTED_VALUE"""),2.0)</f>
        <v>2</v>
      </c>
      <c r="Z1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7" s="43" t="str">
        <f>IFERROR(__xludf.DUMMYFUNCTION("""COMPUTED_VALUE"""),"success")</f>
        <v>success</v>
      </c>
    </row>
    <row r="18">
      <c r="A18" s="110" t="str">
        <f t="shared" si="1"/>
        <v>www.tsip.ai/claim/1c8f6062-9e4e-4485-9f8c-7107b036222c</v>
      </c>
      <c r="B18" s="43" t="str">
        <f>IFERROR(__xludf.DUMMYFUNCTION("""COMPUTED_VALUE"""),"1c8f6062-9e4e-4485-9f8c-7107b036222c")</f>
        <v>1c8f6062-9e4e-4485-9f8c-7107b036222c</v>
      </c>
      <c r="C18" s="43" t="str">
        <f>IFERROR(__xludf.DUMMYFUNCTION("""COMPUTED_VALUE"""),"sheets-training")</f>
        <v>sheets-training</v>
      </c>
      <c r="D18" s="43">
        <f>IFERROR(__xludf.DUMMYFUNCTION("""COMPUTED_VALUE"""),3.0)</f>
        <v>3</v>
      </c>
      <c r="E18" s="43" t="str">
        <f>IFERROR(__xludf.DUMMYFUNCTION("""COMPUTED_VALUE"""),"training_review")</f>
        <v>training_review</v>
      </c>
      <c r="F18" s="43" t="str">
        <f>IFERROR(__xludf.DUMMYFUNCTION("""COMPUTED_VALUE"""),"cb09ba27-c93f-488d-a521-1acfca174929")</f>
        <v>cb09ba27-c93f-488d-a521-1acfca174929</v>
      </c>
      <c r="G18" s="43" t="str">
        <f>IFERROR(__xludf.DUMMYFUNCTION("""COMPUTED_VALUE"""),"NULL")</f>
        <v>NULL</v>
      </c>
      <c r="H18" s="43" t="str">
        <f>IFERROR(__xludf.DUMMYFUNCTION("""COMPUTED_VALUE"""),"""2026-05-20T22:38:16.156Z""")</f>
        <v>"2026-05-20T22:38:16.156Z"</v>
      </c>
      <c r="I18" s="43" t="str">
        <f>IFERROR(__xludf.DUMMYFUNCTION("""COMPUTED_VALUE"""),"NULL")</f>
        <v>NULL</v>
      </c>
      <c r="J18" s="43" t="str">
        <f>IFERROR(__xludf.DUMMYFUNCTION("""COMPUTED_VALUE"""),"""2026-05-20T22:59:43.420Z""")</f>
        <v>"2026-05-20T22:59:43.420Z"</v>
      </c>
      <c r="K18" s="43" t="str">
        <f>IFERROR(__xludf.DUMMYFUNCTION("""COMPUTED_VALUE"""),"""2026-05-20T22:35:21.497Z""")</f>
        <v>"2026-05-20T22:35:21.497Z"</v>
      </c>
      <c r="L18" s="43" t="str">
        <f>IFERROR(__xludf.DUMMYFUNCTION("""COMPUTED_VALUE"""),"""2026-05-20T22:59:43.420Z""")</f>
        <v>"2026-05-20T22:59:43.420Z"</v>
      </c>
      <c r="M18" s="43" t="str">
        <f>IFERROR(__xludf.DUMMYFUNCTION("""COMPUTED_VALUE"""),"e7175f74-f5c9-41f7-9c77-dc3be8341fbf")</f>
        <v>e7175f74-f5c9-41f7-9c77-dc3be8341fbf</v>
      </c>
      <c r="N18" s="43" t="str">
        <f>IFERROR(__xludf.DUMMYFUNCTION("""COMPUTED_VALUE"""),"cacf4da3-cd8d-402b-a1e9-f3ad3e7f11bf")</f>
        <v>cacf4da3-cd8d-402b-a1e9-f3ad3e7f11bf</v>
      </c>
      <c r="O18" s="43" t="str">
        <f>IFERROR(__xludf.DUMMYFUNCTION("""COMPUTED_VALUE"""),"{}")</f>
        <v>{}</v>
      </c>
      <c r="P18" s="43" t="str">
        <f>IFERROR(__xludf.DUMMYFUNCTION("""COMPUTED_VALUE"""),"training_review")</f>
        <v>training_review</v>
      </c>
      <c r="Q18" s="43" t="str">
        <f>IFERROR(__xludf.DUMMYFUNCTION("""COMPUTED_VALUE"""),"sheets-training")</f>
        <v>sheets-training</v>
      </c>
      <c r="R18"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8"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8"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8" s="43" t="str">
        <f>IFERROR(__xludf.DUMMYFUNCTION("""COMPUTED_VALUE"""),"train yourself!")</f>
        <v>train yourself!</v>
      </c>
      <c r="V18" s="110" t="str">
        <f>IFERROR(__xludf.DUMMYFUNCTION("""COMPUTED_VALUE"""),"https://tsipprd.blob.core.windows.net/tsip-files/imports/cb09ba27-c93f-488d-a521-1acfca174929/1779316481981_input.xlsx?sv=2026-02-06&amp;se=2026-05-23T03%3A15%3A02Z&amp;sr=b&amp;sp=r&amp;sig=s97OiGj%2BeSLZ4WfyW7f7OBG7qYvZUXAReqGCU7pROZQ%3D")</f>
        <v>https://tsipprd.blob.core.windows.net/tsip-files/imports/cb09ba27-c93f-488d-a521-1acfca174929/1779316481981_input.xlsx?sv=2026-02-06&amp;se=2026-05-23T03%3A15%3A02Z&amp;sr=b&amp;sp=r&amp;sig=s97OiGj%2BeSLZ4WfyW7f7OBG7qYvZUXAReqGCU7pROZQ%3D</v>
      </c>
      <c r="W18" s="110" t="str">
        <f>IFERROR(__xludf.DUMMYFUNCTION("""COMPUTED_VALUE"""),"https://tsipprd.blob.core.windows.net/tsip-files/imports/cb09ba27-c93f-488d-a521-1acfca174929/1779316482562_output.xlsx?sv=2026-02-06&amp;se=2026-05-23T03%3A15%3A02Z&amp;sr=b&amp;sp=r&amp;sig=IJ%2BH4%2FBP7mR7GdpxzN0kdH%2BmwDoOtxMyrOMk9W6fdgE%3D")</f>
        <v>https://tsipprd.blob.core.windows.net/tsip-files/imports/cb09ba27-c93f-488d-a521-1acfca174929/1779316482562_output.xlsx?sv=2026-02-06&amp;se=2026-05-23T03%3A15%3A02Z&amp;sr=b&amp;sp=r&amp;sig=IJ%2BH4%2FBP7mR7GdpxzN0kdH%2BmwDoOtxMyrOMk9W6fdgE%3D</v>
      </c>
      <c r="X18" s="43" t="str">
        <f>IFERROR(__xludf.DUMMYFUNCTION("""COMPUTED_VALUE"""),"success")</f>
        <v>success</v>
      </c>
      <c r="Y18" s="43">
        <f>IFERROR(__xludf.DUMMYFUNCTION("""COMPUTED_VALUE"""),2.0)</f>
        <v>2</v>
      </c>
      <c r="Z18"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8" s="43" t="str">
        <f>IFERROR(__xludf.DUMMYFUNCTION("""COMPUTED_VALUE"""),"success")</f>
        <v>success</v>
      </c>
    </row>
    <row r="19">
      <c r="A19" s="110" t="str">
        <f t="shared" si="1"/>
        <v>www.tsip.ai/claim/1c8f6062-9e4e-4485-9f8c-7107b036222c</v>
      </c>
      <c r="B19" s="43" t="str">
        <f>IFERROR(__xludf.DUMMYFUNCTION("""COMPUTED_VALUE"""),"1c8f6062-9e4e-4485-9f8c-7107b036222c")</f>
        <v>1c8f6062-9e4e-4485-9f8c-7107b036222c</v>
      </c>
      <c r="C19" s="43" t="str">
        <f>IFERROR(__xludf.DUMMYFUNCTION("""COMPUTED_VALUE"""),"sheets-training")</f>
        <v>sheets-training</v>
      </c>
      <c r="D19" s="43">
        <f>IFERROR(__xludf.DUMMYFUNCTION("""COMPUTED_VALUE"""),3.0)</f>
        <v>3</v>
      </c>
      <c r="E19" s="43" t="str">
        <f>IFERROR(__xludf.DUMMYFUNCTION("""COMPUTED_VALUE"""),"training_review")</f>
        <v>training_review</v>
      </c>
      <c r="F19" s="43" t="str">
        <f>IFERROR(__xludf.DUMMYFUNCTION("""COMPUTED_VALUE"""),"cb09ba27-c93f-488d-a521-1acfca174929")</f>
        <v>cb09ba27-c93f-488d-a521-1acfca174929</v>
      </c>
      <c r="G19" s="43" t="str">
        <f>IFERROR(__xludf.DUMMYFUNCTION("""COMPUTED_VALUE"""),"NULL")</f>
        <v>NULL</v>
      </c>
      <c r="H19" s="43" t="str">
        <f>IFERROR(__xludf.DUMMYFUNCTION("""COMPUTED_VALUE"""),"""2026-05-20T22:38:16.156Z""")</f>
        <v>"2026-05-20T22:38:16.156Z"</v>
      </c>
      <c r="I19" s="43" t="str">
        <f>IFERROR(__xludf.DUMMYFUNCTION("""COMPUTED_VALUE"""),"NULL")</f>
        <v>NULL</v>
      </c>
      <c r="J19" s="43" t="str">
        <f>IFERROR(__xludf.DUMMYFUNCTION("""COMPUTED_VALUE"""),"""2026-05-20T22:59:43.420Z""")</f>
        <v>"2026-05-20T22:59:43.420Z"</v>
      </c>
      <c r="K19" s="43" t="str">
        <f>IFERROR(__xludf.DUMMYFUNCTION("""COMPUTED_VALUE"""),"""2026-05-20T22:35:21.497Z""")</f>
        <v>"2026-05-20T22:35:21.497Z"</v>
      </c>
      <c r="L19" s="43" t="str">
        <f>IFERROR(__xludf.DUMMYFUNCTION("""COMPUTED_VALUE"""),"""2026-05-20T22:59:43.420Z""")</f>
        <v>"2026-05-20T22:59:43.420Z"</v>
      </c>
      <c r="M19" s="43" t="str">
        <f>IFERROR(__xludf.DUMMYFUNCTION("""COMPUTED_VALUE"""),"e7175f74-f5c9-41f7-9c77-dc3be8341fbf")</f>
        <v>e7175f74-f5c9-41f7-9c77-dc3be8341fbf</v>
      </c>
      <c r="N19" s="43" t="str">
        <f>IFERROR(__xludf.DUMMYFUNCTION("""COMPUTED_VALUE"""),"cacf4da3-cd8d-402b-a1e9-f3ad3e7f11bf")</f>
        <v>cacf4da3-cd8d-402b-a1e9-f3ad3e7f11bf</v>
      </c>
      <c r="O19" s="43" t="str">
        <f>IFERROR(__xludf.DUMMYFUNCTION("""COMPUTED_VALUE"""),"{}")</f>
        <v>{}</v>
      </c>
      <c r="P19" s="43" t="str">
        <f>IFERROR(__xludf.DUMMYFUNCTION("""COMPUTED_VALUE"""),"training_review")</f>
        <v>training_review</v>
      </c>
      <c r="Q19" s="43" t="str">
        <f>IFERROR(__xludf.DUMMYFUNCTION("""COMPUTED_VALUE"""),"sheets-training")</f>
        <v>sheets-training</v>
      </c>
      <c r="R1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9" s="43" t="str">
        <f>IFERROR(__xludf.DUMMYFUNCTION("""COMPUTED_VALUE"""),"train yourself!")</f>
        <v>train yourself!</v>
      </c>
      <c r="V19" s="110" t="str">
        <f>IFERROR(__xludf.DUMMYFUNCTION("""COMPUTED_VALUE"""),"https://tsipprd.blob.core.windows.net/tsip-files/imports/cb09ba27-c93f-488d-a521-1acfca174929/1779316481981_input.xlsx?sv=2026-02-06&amp;se=2026-05-23T03%3A30%3A01Z&amp;sr=b&amp;sp=r&amp;sig=lIbVHtsWksumxmo07UKk6LRIIJcuiD4g%2BBGJjAivIeE%3D")</f>
        <v>https://tsipprd.blob.core.windows.net/tsip-files/imports/cb09ba27-c93f-488d-a521-1acfca174929/1779316481981_input.xlsx?sv=2026-02-06&amp;se=2026-05-23T03%3A30%3A01Z&amp;sr=b&amp;sp=r&amp;sig=lIbVHtsWksumxmo07UKk6LRIIJcuiD4g%2BBGJjAivIeE%3D</v>
      </c>
      <c r="W19" s="110" t="str">
        <f>IFERROR(__xludf.DUMMYFUNCTION("""COMPUTED_VALUE"""),"https://tsipprd.blob.core.windows.net/tsip-files/imports/cb09ba27-c93f-488d-a521-1acfca174929/1779316482562_output.xlsx?sv=2026-02-06&amp;se=2026-05-23T03%3A30%3A01Z&amp;sr=b&amp;sp=r&amp;sig=7h8PaF1Xo32Jwy2LPHyQfLehm7rVPoOGthqiBRv03ZI%3D")</f>
        <v>https://tsipprd.blob.core.windows.net/tsip-files/imports/cb09ba27-c93f-488d-a521-1acfca174929/1779316482562_output.xlsx?sv=2026-02-06&amp;se=2026-05-23T03%3A30%3A01Z&amp;sr=b&amp;sp=r&amp;sig=7h8PaF1Xo32Jwy2LPHyQfLehm7rVPoOGthqiBRv03ZI%3D</v>
      </c>
      <c r="X19" s="43" t="str">
        <f>IFERROR(__xludf.DUMMYFUNCTION("""COMPUTED_VALUE"""),"success")</f>
        <v>success</v>
      </c>
      <c r="Y19" s="43">
        <f>IFERROR(__xludf.DUMMYFUNCTION("""COMPUTED_VALUE"""),2.0)</f>
        <v>2</v>
      </c>
      <c r="Z1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9" s="43" t="str">
        <f>IFERROR(__xludf.DUMMYFUNCTION("""COMPUTED_VALUE"""),"success")</f>
        <v>success</v>
      </c>
    </row>
    <row r="20">
      <c r="A20" s="110" t="str">
        <f t="shared" si="1"/>
        <v>www.tsip.ai/claim/1c8f6062-9e4e-4485-9f8c-7107b036222c</v>
      </c>
      <c r="B20" s="43" t="str">
        <f>IFERROR(__xludf.DUMMYFUNCTION("""COMPUTED_VALUE"""),"1c8f6062-9e4e-4485-9f8c-7107b036222c")</f>
        <v>1c8f6062-9e4e-4485-9f8c-7107b036222c</v>
      </c>
      <c r="C20" s="43" t="str">
        <f>IFERROR(__xludf.DUMMYFUNCTION("""COMPUTED_VALUE"""),"sheets-training")</f>
        <v>sheets-training</v>
      </c>
      <c r="D20" s="43">
        <f>IFERROR(__xludf.DUMMYFUNCTION("""COMPUTED_VALUE"""),3.0)</f>
        <v>3</v>
      </c>
      <c r="E20" s="43" t="str">
        <f>IFERROR(__xludf.DUMMYFUNCTION("""COMPUTED_VALUE"""),"training_review")</f>
        <v>training_review</v>
      </c>
      <c r="F20" s="43" t="str">
        <f>IFERROR(__xludf.DUMMYFUNCTION("""COMPUTED_VALUE"""),"cb09ba27-c93f-488d-a521-1acfca174929")</f>
        <v>cb09ba27-c93f-488d-a521-1acfca174929</v>
      </c>
      <c r="G20" s="43" t="str">
        <f>IFERROR(__xludf.DUMMYFUNCTION("""COMPUTED_VALUE"""),"NULL")</f>
        <v>NULL</v>
      </c>
      <c r="H20" s="43" t="str">
        <f>IFERROR(__xludf.DUMMYFUNCTION("""COMPUTED_VALUE"""),"""2026-05-20T22:38:16.156Z""")</f>
        <v>"2026-05-20T22:38:16.156Z"</v>
      </c>
      <c r="I20" s="43" t="str">
        <f>IFERROR(__xludf.DUMMYFUNCTION("""COMPUTED_VALUE"""),"NULL")</f>
        <v>NULL</v>
      </c>
      <c r="J20" s="43" t="str">
        <f>IFERROR(__xludf.DUMMYFUNCTION("""COMPUTED_VALUE"""),"""2026-05-20T22:59:43.420Z""")</f>
        <v>"2026-05-20T22:59:43.420Z"</v>
      </c>
      <c r="K20" s="43" t="str">
        <f>IFERROR(__xludf.DUMMYFUNCTION("""COMPUTED_VALUE"""),"""2026-05-20T22:35:21.497Z""")</f>
        <v>"2026-05-20T22:35:21.497Z"</v>
      </c>
      <c r="L20" s="43" t="str">
        <f>IFERROR(__xludf.DUMMYFUNCTION("""COMPUTED_VALUE"""),"""2026-05-20T22:59:43.420Z""")</f>
        <v>"2026-05-20T22:59:43.420Z"</v>
      </c>
      <c r="M20" s="43" t="str">
        <f>IFERROR(__xludf.DUMMYFUNCTION("""COMPUTED_VALUE"""),"e7175f74-f5c9-41f7-9c77-dc3be8341fbf")</f>
        <v>e7175f74-f5c9-41f7-9c77-dc3be8341fbf</v>
      </c>
      <c r="N20" s="43" t="str">
        <f>IFERROR(__xludf.DUMMYFUNCTION("""COMPUTED_VALUE"""),"cacf4da3-cd8d-402b-a1e9-f3ad3e7f11bf")</f>
        <v>cacf4da3-cd8d-402b-a1e9-f3ad3e7f11bf</v>
      </c>
      <c r="O20" s="43" t="str">
        <f>IFERROR(__xludf.DUMMYFUNCTION("""COMPUTED_VALUE"""),"{}")</f>
        <v>{}</v>
      </c>
      <c r="P20" s="43" t="str">
        <f>IFERROR(__xludf.DUMMYFUNCTION("""COMPUTED_VALUE"""),"training_review")</f>
        <v>training_review</v>
      </c>
      <c r="Q20" s="43" t="str">
        <f>IFERROR(__xludf.DUMMYFUNCTION("""COMPUTED_VALUE"""),"sheets-training")</f>
        <v>sheets-training</v>
      </c>
      <c r="R20"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0"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0"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0" s="43" t="str">
        <f>IFERROR(__xludf.DUMMYFUNCTION("""COMPUTED_VALUE"""),"train yourself!")</f>
        <v>train yourself!</v>
      </c>
      <c r="V20" s="110" t="str">
        <f>IFERROR(__xludf.DUMMYFUNCTION("""COMPUTED_VALUE"""),"https://tsipprd.blob.core.windows.net/tsip-files/imports/cb09ba27-c93f-488d-a521-1acfca174929/1779316481981_input.xlsx?sv=2026-02-06&amp;se=2026-05-23T03%3A45%3A01Z&amp;sr=b&amp;sp=r&amp;sig=pyIc8PkNQG5jtUTQ7vUC79HrT7ZurP5f6MdvC3kRyC8%3D")</f>
        <v>https://tsipprd.blob.core.windows.net/tsip-files/imports/cb09ba27-c93f-488d-a521-1acfca174929/1779316481981_input.xlsx?sv=2026-02-06&amp;se=2026-05-23T03%3A45%3A01Z&amp;sr=b&amp;sp=r&amp;sig=pyIc8PkNQG5jtUTQ7vUC79HrT7ZurP5f6MdvC3kRyC8%3D</v>
      </c>
      <c r="W20" s="110" t="str">
        <f>IFERROR(__xludf.DUMMYFUNCTION("""COMPUTED_VALUE"""),"https://tsipprd.blob.core.windows.net/tsip-files/imports/cb09ba27-c93f-488d-a521-1acfca174929/1779316482562_output.xlsx?sv=2026-02-06&amp;se=2026-05-23T03%3A45%3A01Z&amp;sr=b&amp;sp=r&amp;sig=AeOhxsH6xlEkyG3MJBHJnbKr2gFmLBBuWDfqeSbTHl0%3D")</f>
        <v>https://tsipprd.blob.core.windows.net/tsip-files/imports/cb09ba27-c93f-488d-a521-1acfca174929/1779316482562_output.xlsx?sv=2026-02-06&amp;se=2026-05-23T03%3A45%3A01Z&amp;sr=b&amp;sp=r&amp;sig=AeOhxsH6xlEkyG3MJBHJnbKr2gFmLBBuWDfqeSbTHl0%3D</v>
      </c>
      <c r="X20" s="43" t="str">
        <f>IFERROR(__xludf.DUMMYFUNCTION("""COMPUTED_VALUE"""),"success")</f>
        <v>success</v>
      </c>
      <c r="Y20" s="43">
        <f>IFERROR(__xludf.DUMMYFUNCTION("""COMPUTED_VALUE"""),2.0)</f>
        <v>2</v>
      </c>
      <c r="Z20"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0" s="43" t="str">
        <f>IFERROR(__xludf.DUMMYFUNCTION("""COMPUTED_VALUE"""),"success")</f>
        <v>success</v>
      </c>
    </row>
    <row r="21">
      <c r="A21" s="110" t="str">
        <f t="shared" si="1"/>
        <v>www.tsip.ai/claim/1c8f6062-9e4e-4485-9f8c-7107b036222c</v>
      </c>
      <c r="B21" s="43" t="str">
        <f>IFERROR(__xludf.DUMMYFUNCTION("""COMPUTED_VALUE"""),"1c8f6062-9e4e-4485-9f8c-7107b036222c")</f>
        <v>1c8f6062-9e4e-4485-9f8c-7107b036222c</v>
      </c>
      <c r="C21" s="43" t="str">
        <f>IFERROR(__xludf.DUMMYFUNCTION("""COMPUTED_VALUE"""),"sheets-training")</f>
        <v>sheets-training</v>
      </c>
      <c r="D21" s="43">
        <f>IFERROR(__xludf.DUMMYFUNCTION("""COMPUTED_VALUE"""),3.0)</f>
        <v>3</v>
      </c>
      <c r="E21" s="43" t="str">
        <f>IFERROR(__xludf.DUMMYFUNCTION("""COMPUTED_VALUE"""),"training_review")</f>
        <v>training_review</v>
      </c>
      <c r="F21" s="43" t="str">
        <f>IFERROR(__xludf.DUMMYFUNCTION("""COMPUTED_VALUE"""),"cb09ba27-c93f-488d-a521-1acfca174929")</f>
        <v>cb09ba27-c93f-488d-a521-1acfca174929</v>
      </c>
      <c r="G21" s="43" t="str">
        <f>IFERROR(__xludf.DUMMYFUNCTION("""COMPUTED_VALUE"""),"NULL")</f>
        <v>NULL</v>
      </c>
      <c r="H21" s="43" t="str">
        <f>IFERROR(__xludf.DUMMYFUNCTION("""COMPUTED_VALUE"""),"""2026-05-20T22:38:16.156Z""")</f>
        <v>"2026-05-20T22:38:16.156Z"</v>
      </c>
      <c r="I21" s="43" t="str">
        <f>IFERROR(__xludf.DUMMYFUNCTION("""COMPUTED_VALUE"""),"NULL")</f>
        <v>NULL</v>
      </c>
      <c r="J21" s="43" t="str">
        <f>IFERROR(__xludf.DUMMYFUNCTION("""COMPUTED_VALUE"""),"""2026-05-20T22:59:43.420Z""")</f>
        <v>"2026-05-20T22:59:43.420Z"</v>
      </c>
      <c r="K21" s="43" t="str">
        <f>IFERROR(__xludf.DUMMYFUNCTION("""COMPUTED_VALUE"""),"""2026-05-20T22:35:21.497Z""")</f>
        <v>"2026-05-20T22:35:21.497Z"</v>
      </c>
      <c r="L21" s="43" t="str">
        <f>IFERROR(__xludf.DUMMYFUNCTION("""COMPUTED_VALUE"""),"""2026-05-20T22:59:43.420Z""")</f>
        <v>"2026-05-20T22:59:43.420Z"</v>
      </c>
      <c r="M21" s="43" t="str">
        <f>IFERROR(__xludf.DUMMYFUNCTION("""COMPUTED_VALUE"""),"e7175f74-f5c9-41f7-9c77-dc3be8341fbf")</f>
        <v>e7175f74-f5c9-41f7-9c77-dc3be8341fbf</v>
      </c>
      <c r="N21" s="43" t="str">
        <f>IFERROR(__xludf.DUMMYFUNCTION("""COMPUTED_VALUE"""),"cacf4da3-cd8d-402b-a1e9-f3ad3e7f11bf")</f>
        <v>cacf4da3-cd8d-402b-a1e9-f3ad3e7f11bf</v>
      </c>
      <c r="O21" s="43" t="str">
        <f>IFERROR(__xludf.DUMMYFUNCTION("""COMPUTED_VALUE"""),"{}")</f>
        <v>{}</v>
      </c>
      <c r="P21" s="43" t="str">
        <f>IFERROR(__xludf.DUMMYFUNCTION("""COMPUTED_VALUE"""),"training_review")</f>
        <v>training_review</v>
      </c>
      <c r="Q21" s="43" t="str">
        <f>IFERROR(__xludf.DUMMYFUNCTION("""COMPUTED_VALUE"""),"sheets-training")</f>
        <v>sheets-training</v>
      </c>
      <c r="R2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1" s="43" t="str">
        <f>IFERROR(__xludf.DUMMYFUNCTION("""COMPUTED_VALUE"""),"train yourself!")</f>
        <v>train yourself!</v>
      </c>
      <c r="V21" s="110" t="str">
        <f>IFERROR(__xludf.DUMMYFUNCTION("""COMPUTED_VALUE"""),"https://tsipprd.blob.core.windows.net/tsip-files/imports/cb09ba27-c93f-488d-a521-1acfca174929/1779316481981_input.xlsx?sv=2026-02-06&amp;se=2026-05-23T04%3A00%3A01Z&amp;sr=b&amp;sp=r&amp;sig=k2O8sBBs6Kd7Y2fgL4Cp%2Bvl2a92Zdn%2FPc2ZP0tdITiE%3D")</f>
        <v>https://tsipprd.blob.core.windows.net/tsip-files/imports/cb09ba27-c93f-488d-a521-1acfca174929/1779316481981_input.xlsx?sv=2026-02-06&amp;se=2026-05-23T04%3A00%3A01Z&amp;sr=b&amp;sp=r&amp;sig=k2O8sBBs6Kd7Y2fgL4Cp%2Bvl2a92Zdn%2FPc2ZP0tdITiE%3D</v>
      </c>
      <c r="W21" s="110" t="str">
        <f>IFERROR(__xludf.DUMMYFUNCTION("""COMPUTED_VALUE"""),"https://tsipprd.blob.core.windows.net/tsip-files/imports/cb09ba27-c93f-488d-a521-1acfca174929/1779316482562_output.xlsx?sv=2026-02-06&amp;se=2026-05-23T04%3A00%3A01Z&amp;sr=b&amp;sp=r&amp;sig=71o6h7MdxzR40ChObt5%2FWOVNAc1B1G5%2FE5O3dJ549qA%3D")</f>
        <v>https://tsipprd.blob.core.windows.net/tsip-files/imports/cb09ba27-c93f-488d-a521-1acfca174929/1779316482562_output.xlsx?sv=2026-02-06&amp;se=2026-05-23T04%3A00%3A01Z&amp;sr=b&amp;sp=r&amp;sig=71o6h7MdxzR40ChObt5%2FWOVNAc1B1G5%2FE5O3dJ549qA%3D</v>
      </c>
      <c r="X21" s="43" t="str">
        <f>IFERROR(__xludf.DUMMYFUNCTION("""COMPUTED_VALUE"""),"success")</f>
        <v>success</v>
      </c>
      <c r="Y21" s="43">
        <f>IFERROR(__xludf.DUMMYFUNCTION("""COMPUTED_VALUE"""),2.0)</f>
        <v>2</v>
      </c>
      <c r="Z2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1" s="43" t="str">
        <f>IFERROR(__xludf.DUMMYFUNCTION("""COMPUTED_VALUE"""),"success")</f>
        <v>success</v>
      </c>
    </row>
    <row r="22">
      <c r="A22" s="110" t="str">
        <f t="shared" si="1"/>
        <v>www.tsip.ai/claim/1c8f6062-9e4e-4485-9f8c-7107b036222c</v>
      </c>
      <c r="B22" s="43" t="str">
        <f>IFERROR(__xludf.DUMMYFUNCTION("""COMPUTED_VALUE"""),"1c8f6062-9e4e-4485-9f8c-7107b036222c")</f>
        <v>1c8f6062-9e4e-4485-9f8c-7107b036222c</v>
      </c>
      <c r="C22" s="43" t="str">
        <f>IFERROR(__xludf.DUMMYFUNCTION("""COMPUTED_VALUE"""),"sheets-training")</f>
        <v>sheets-training</v>
      </c>
      <c r="D22" s="43">
        <f>IFERROR(__xludf.DUMMYFUNCTION("""COMPUTED_VALUE"""),3.0)</f>
        <v>3</v>
      </c>
      <c r="E22" s="43" t="str">
        <f>IFERROR(__xludf.DUMMYFUNCTION("""COMPUTED_VALUE"""),"training_review")</f>
        <v>training_review</v>
      </c>
      <c r="F22" s="43" t="str">
        <f>IFERROR(__xludf.DUMMYFUNCTION("""COMPUTED_VALUE"""),"cb09ba27-c93f-488d-a521-1acfca174929")</f>
        <v>cb09ba27-c93f-488d-a521-1acfca174929</v>
      </c>
      <c r="G22" s="43" t="str">
        <f>IFERROR(__xludf.DUMMYFUNCTION("""COMPUTED_VALUE"""),"NULL")</f>
        <v>NULL</v>
      </c>
      <c r="H22" s="43" t="str">
        <f>IFERROR(__xludf.DUMMYFUNCTION("""COMPUTED_VALUE"""),"""2026-05-20T22:38:16.156Z""")</f>
        <v>"2026-05-20T22:38:16.156Z"</v>
      </c>
      <c r="I22" s="43" t="str">
        <f>IFERROR(__xludf.DUMMYFUNCTION("""COMPUTED_VALUE"""),"NULL")</f>
        <v>NULL</v>
      </c>
      <c r="J22" s="43" t="str">
        <f>IFERROR(__xludf.DUMMYFUNCTION("""COMPUTED_VALUE"""),"""2026-05-20T22:59:43.420Z""")</f>
        <v>"2026-05-20T22:59:43.420Z"</v>
      </c>
      <c r="K22" s="43" t="str">
        <f>IFERROR(__xludf.DUMMYFUNCTION("""COMPUTED_VALUE"""),"""2026-05-20T22:35:21.497Z""")</f>
        <v>"2026-05-20T22:35:21.497Z"</v>
      </c>
      <c r="L22" s="43" t="str">
        <f>IFERROR(__xludf.DUMMYFUNCTION("""COMPUTED_VALUE"""),"""2026-05-20T22:59:43.420Z""")</f>
        <v>"2026-05-20T22:59:43.420Z"</v>
      </c>
      <c r="M22" s="43" t="str">
        <f>IFERROR(__xludf.DUMMYFUNCTION("""COMPUTED_VALUE"""),"e7175f74-f5c9-41f7-9c77-dc3be8341fbf")</f>
        <v>e7175f74-f5c9-41f7-9c77-dc3be8341fbf</v>
      </c>
      <c r="N22" s="43" t="str">
        <f>IFERROR(__xludf.DUMMYFUNCTION("""COMPUTED_VALUE"""),"cacf4da3-cd8d-402b-a1e9-f3ad3e7f11bf")</f>
        <v>cacf4da3-cd8d-402b-a1e9-f3ad3e7f11bf</v>
      </c>
      <c r="O22" s="43" t="str">
        <f>IFERROR(__xludf.DUMMYFUNCTION("""COMPUTED_VALUE"""),"{}")</f>
        <v>{}</v>
      </c>
      <c r="P22" s="43" t="str">
        <f>IFERROR(__xludf.DUMMYFUNCTION("""COMPUTED_VALUE"""),"training_review")</f>
        <v>training_review</v>
      </c>
      <c r="Q22" s="43" t="str">
        <f>IFERROR(__xludf.DUMMYFUNCTION("""COMPUTED_VALUE"""),"sheets-training")</f>
        <v>sheets-training</v>
      </c>
      <c r="R22"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2"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2"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2" s="43" t="str">
        <f>IFERROR(__xludf.DUMMYFUNCTION("""COMPUTED_VALUE"""),"train yourself!")</f>
        <v>train yourself!</v>
      </c>
      <c r="V22" s="110" t="str">
        <f>IFERROR(__xludf.DUMMYFUNCTION("""COMPUTED_VALUE"""),"https://tsipprd.blob.core.windows.net/tsip-files/imports/cb09ba27-c93f-488d-a521-1acfca174929/1779316481981_input.xlsx?sv=2026-02-06&amp;se=2026-05-23T04%3A15%3A01Z&amp;sr=b&amp;sp=r&amp;sig=Ju4MuZYl7398F5qQfp9a7GS8R4BKmlt5Aq%2BVeXXw16k%3D")</f>
        <v>https://tsipprd.blob.core.windows.net/tsip-files/imports/cb09ba27-c93f-488d-a521-1acfca174929/1779316481981_input.xlsx?sv=2026-02-06&amp;se=2026-05-23T04%3A15%3A01Z&amp;sr=b&amp;sp=r&amp;sig=Ju4MuZYl7398F5qQfp9a7GS8R4BKmlt5Aq%2BVeXXw16k%3D</v>
      </c>
      <c r="W22" s="110" t="str">
        <f>IFERROR(__xludf.DUMMYFUNCTION("""COMPUTED_VALUE"""),"https://tsipprd.blob.core.windows.net/tsip-files/imports/cb09ba27-c93f-488d-a521-1acfca174929/1779316482562_output.xlsx?sv=2026-02-06&amp;se=2026-05-23T04%3A15%3A01Z&amp;sr=b&amp;sp=r&amp;sig=qCx8AwGgp%2FTI8VKKLR9C5vPNviKK7GffHxuY7ALL2kw%3D")</f>
        <v>https://tsipprd.blob.core.windows.net/tsip-files/imports/cb09ba27-c93f-488d-a521-1acfca174929/1779316482562_output.xlsx?sv=2026-02-06&amp;se=2026-05-23T04%3A15%3A01Z&amp;sr=b&amp;sp=r&amp;sig=qCx8AwGgp%2FTI8VKKLR9C5vPNviKK7GffHxuY7ALL2kw%3D</v>
      </c>
      <c r="X22" s="43" t="str">
        <f>IFERROR(__xludf.DUMMYFUNCTION("""COMPUTED_VALUE"""),"success")</f>
        <v>success</v>
      </c>
      <c r="Y22" s="43">
        <f>IFERROR(__xludf.DUMMYFUNCTION("""COMPUTED_VALUE"""),2.0)</f>
        <v>2</v>
      </c>
      <c r="Z22"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2" s="43" t="str">
        <f>IFERROR(__xludf.DUMMYFUNCTION("""COMPUTED_VALUE"""),"success")</f>
        <v>success</v>
      </c>
    </row>
    <row r="23">
      <c r="A23" s="110" t="str">
        <f t="shared" si="1"/>
        <v>www.tsip.ai/claim/1c8f6062-9e4e-4485-9f8c-7107b036222c</v>
      </c>
      <c r="B23" s="43" t="str">
        <f>IFERROR(__xludf.DUMMYFUNCTION("""COMPUTED_VALUE"""),"1c8f6062-9e4e-4485-9f8c-7107b036222c")</f>
        <v>1c8f6062-9e4e-4485-9f8c-7107b036222c</v>
      </c>
      <c r="C23" s="43" t="str">
        <f>IFERROR(__xludf.DUMMYFUNCTION("""COMPUTED_VALUE"""),"sheets-training")</f>
        <v>sheets-training</v>
      </c>
      <c r="D23" s="43">
        <f>IFERROR(__xludf.DUMMYFUNCTION("""COMPUTED_VALUE"""),3.0)</f>
        <v>3</v>
      </c>
      <c r="E23" s="43" t="str">
        <f>IFERROR(__xludf.DUMMYFUNCTION("""COMPUTED_VALUE"""),"training_review")</f>
        <v>training_review</v>
      </c>
      <c r="F23" s="43" t="str">
        <f>IFERROR(__xludf.DUMMYFUNCTION("""COMPUTED_VALUE"""),"cb09ba27-c93f-488d-a521-1acfca174929")</f>
        <v>cb09ba27-c93f-488d-a521-1acfca174929</v>
      </c>
      <c r="G23" s="43" t="str">
        <f>IFERROR(__xludf.DUMMYFUNCTION("""COMPUTED_VALUE"""),"NULL")</f>
        <v>NULL</v>
      </c>
      <c r="H23" s="43" t="str">
        <f>IFERROR(__xludf.DUMMYFUNCTION("""COMPUTED_VALUE"""),"""2026-05-20T22:38:16.156Z""")</f>
        <v>"2026-05-20T22:38:16.156Z"</v>
      </c>
      <c r="I23" s="43" t="str">
        <f>IFERROR(__xludf.DUMMYFUNCTION("""COMPUTED_VALUE"""),"NULL")</f>
        <v>NULL</v>
      </c>
      <c r="J23" s="43" t="str">
        <f>IFERROR(__xludf.DUMMYFUNCTION("""COMPUTED_VALUE"""),"""2026-05-20T22:59:43.420Z""")</f>
        <v>"2026-05-20T22:59:43.420Z"</v>
      </c>
      <c r="K23" s="43" t="str">
        <f>IFERROR(__xludf.DUMMYFUNCTION("""COMPUTED_VALUE"""),"""2026-05-20T22:35:21.497Z""")</f>
        <v>"2026-05-20T22:35:21.497Z"</v>
      </c>
      <c r="L23" s="43" t="str">
        <f>IFERROR(__xludf.DUMMYFUNCTION("""COMPUTED_VALUE"""),"""2026-05-20T22:59:43.420Z""")</f>
        <v>"2026-05-20T22:59:43.420Z"</v>
      </c>
      <c r="M23" s="43" t="str">
        <f>IFERROR(__xludf.DUMMYFUNCTION("""COMPUTED_VALUE"""),"e7175f74-f5c9-41f7-9c77-dc3be8341fbf")</f>
        <v>e7175f74-f5c9-41f7-9c77-dc3be8341fbf</v>
      </c>
      <c r="N23" s="43" t="str">
        <f>IFERROR(__xludf.DUMMYFUNCTION("""COMPUTED_VALUE"""),"cacf4da3-cd8d-402b-a1e9-f3ad3e7f11bf")</f>
        <v>cacf4da3-cd8d-402b-a1e9-f3ad3e7f11bf</v>
      </c>
      <c r="O23" s="43" t="str">
        <f>IFERROR(__xludf.DUMMYFUNCTION("""COMPUTED_VALUE"""),"{}")</f>
        <v>{}</v>
      </c>
      <c r="P23" s="43" t="str">
        <f>IFERROR(__xludf.DUMMYFUNCTION("""COMPUTED_VALUE"""),"training_review")</f>
        <v>training_review</v>
      </c>
      <c r="Q23" s="43" t="str">
        <f>IFERROR(__xludf.DUMMYFUNCTION("""COMPUTED_VALUE"""),"sheets-training")</f>
        <v>sheets-training</v>
      </c>
      <c r="R2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3" s="43" t="str">
        <f>IFERROR(__xludf.DUMMYFUNCTION("""COMPUTED_VALUE"""),"train yourself!")</f>
        <v>train yourself!</v>
      </c>
      <c r="V23" s="110" t="str">
        <f>IFERROR(__xludf.DUMMYFUNCTION("""COMPUTED_VALUE"""),"https://tsipprd.blob.core.windows.net/tsip-files/imports/cb09ba27-c93f-488d-a521-1acfca174929/1779316481981_input.xlsx?sv=2026-02-06&amp;se=2026-05-23T04%3A30%3A01Z&amp;sr=b&amp;sp=r&amp;sig=DdoHCRNBomdexEkr1xQu6xH4tNpoKzZdHDrbWypaS64%3D")</f>
        <v>https://tsipprd.blob.core.windows.net/tsip-files/imports/cb09ba27-c93f-488d-a521-1acfca174929/1779316481981_input.xlsx?sv=2026-02-06&amp;se=2026-05-23T04%3A30%3A01Z&amp;sr=b&amp;sp=r&amp;sig=DdoHCRNBomdexEkr1xQu6xH4tNpoKzZdHDrbWypaS64%3D</v>
      </c>
      <c r="W23" s="110" t="str">
        <f>IFERROR(__xludf.DUMMYFUNCTION("""COMPUTED_VALUE"""),"https://tsipprd.blob.core.windows.net/tsip-files/imports/cb09ba27-c93f-488d-a521-1acfca174929/1779316482562_output.xlsx?sv=2026-02-06&amp;se=2026-05-23T04%3A30%3A01Z&amp;sr=b&amp;sp=r&amp;sig=JnyMXL03R%2Fe1KR8XG1hnZQ6VvV1NYNtFZebfxmz%2F9L4%3D")</f>
        <v>https://tsipprd.blob.core.windows.net/tsip-files/imports/cb09ba27-c93f-488d-a521-1acfca174929/1779316482562_output.xlsx?sv=2026-02-06&amp;se=2026-05-23T04%3A30%3A01Z&amp;sr=b&amp;sp=r&amp;sig=JnyMXL03R%2Fe1KR8XG1hnZQ6VvV1NYNtFZebfxmz%2F9L4%3D</v>
      </c>
      <c r="X23" s="43" t="str">
        <f>IFERROR(__xludf.DUMMYFUNCTION("""COMPUTED_VALUE"""),"success")</f>
        <v>success</v>
      </c>
      <c r="Y23" s="43">
        <f>IFERROR(__xludf.DUMMYFUNCTION("""COMPUTED_VALUE"""),2.0)</f>
        <v>2</v>
      </c>
      <c r="Z2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3" s="43" t="str">
        <f>IFERROR(__xludf.DUMMYFUNCTION("""COMPUTED_VALUE"""),"success")</f>
        <v>success</v>
      </c>
    </row>
    <row r="24">
      <c r="A24" s="110" t="str">
        <f t="shared" si="1"/>
        <v>www.tsip.ai/claim/1c8f6062-9e4e-4485-9f8c-7107b036222c</v>
      </c>
      <c r="B24" s="43" t="str">
        <f>IFERROR(__xludf.DUMMYFUNCTION("""COMPUTED_VALUE"""),"1c8f6062-9e4e-4485-9f8c-7107b036222c")</f>
        <v>1c8f6062-9e4e-4485-9f8c-7107b036222c</v>
      </c>
      <c r="C24" s="43" t="str">
        <f>IFERROR(__xludf.DUMMYFUNCTION("""COMPUTED_VALUE"""),"sheets-training")</f>
        <v>sheets-training</v>
      </c>
      <c r="D24" s="43">
        <f>IFERROR(__xludf.DUMMYFUNCTION("""COMPUTED_VALUE"""),3.0)</f>
        <v>3</v>
      </c>
      <c r="E24" s="43" t="str">
        <f>IFERROR(__xludf.DUMMYFUNCTION("""COMPUTED_VALUE"""),"training_review")</f>
        <v>training_review</v>
      </c>
      <c r="F24" s="43" t="str">
        <f>IFERROR(__xludf.DUMMYFUNCTION("""COMPUTED_VALUE"""),"cb09ba27-c93f-488d-a521-1acfca174929")</f>
        <v>cb09ba27-c93f-488d-a521-1acfca174929</v>
      </c>
      <c r="G24" s="43" t="str">
        <f>IFERROR(__xludf.DUMMYFUNCTION("""COMPUTED_VALUE"""),"NULL")</f>
        <v>NULL</v>
      </c>
      <c r="H24" s="43" t="str">
        <f>IFERROR(__xludf.DUMMYFUNCTION("""COMPUTED_VALUE"""),"""2026-05-20T22:38:16.156Z""")</f>
        <v>"2026-05-20T22:38:16.156Z"</v>
      </c>
      <c r="I24" s="43" t="str">
        <f>IFERROR(__xludf.DUMMYFUNCTION("""COMPUTED_VALUE"""),"NULL")</f>
        <v>NULL</v>
      </c>
      <c r="J24" s="43" t="str">
        <f>IFERROR(__xludf.DUMMYFUNCTION("""COMPUTED_VALUE"""),"""2026-05-20T22:59:43.420Z""")</f>
        <v>"2026-05-20T22:59:43.420Z"</v>
      </c>
      <c r="K24" s="43" t="str">
        <f>IFERROR(__xludf.DUMMYFUNCTION("""COMPUTED_VALUE"""),"""2026-05-20T22:35:21.497Z""")</f>
        <v>"2026-05-20T22:35:21.497Z"</v>
      </c>
      <c r="L24" s="43" t="str">
        <f>IFERROR(__xludf.DUMMYFUNCTION("""COMPUTED_VALUE"""),"""2026-05-20T22:59:43.420Z""")</f>
        <v>"2026-05-20T22:59:43.420Z"</v>
      </c>
      <c r="M24" s="43" t="str">
        <f>IFERROR(__xludf.DUMMYFUNCTION("""COMPUTED_VALUE"""),"e7175f74-f5c9-41f7-9c77-dc3be8341fbf")</f>
        <v>e7175f74-f5c9-41f7-9c77-dc3be8341fbf</v>
      </c>
      <c r="N24" s="43" t="str">
        <f>IFERROR(__xludf.DUMMYFUNCTION("""COMPUTED_VALUE"""),"cacf4da3-cd8d-402b-a1e9-f3ad3e7f11bf")</f>
        <v>cacf4da3-cd8d-402b-a1e9-f3ad3e7f11bf</v>
      </c>
      <c r="O24" s="43" t="str">
        <f>IFERROR(__xludf.DUMMYFUNCTION("""COMPUTED_VALUE"""),"{}")</f>
        <v>{}</v>
      </c>
      <c r="P24" s="43" t="str">
        <f>IFERROR(__xludf.DUMMYFUNCTION("""COMPUTED_VALUE"""),"training_review")</f>
        <v>training_review</v>
      </c>
      <c r="Q24" s="43" t="str">
        <f>IFERROR(__xludf.DUMMYFUNCTION("""COMPUTED_VALUE"""),"sheets-training")</f>
        <v>sheets-training</v>
      </c>
      <c r="R24"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4"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4"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4" s="43" t="str">
        <f>IFERROR(__xludf.DUMMYFUNCTION("""COMPUTED_VALUE"""),"train yourself!")</f>
        <v>train yourself!</v>
      </c>
      <c r="V24" s="110" t="str">
        <f>IFERROR(__xludf.DUMMYFUNCTION("""COMPUTED_VALUE"""),"https://tsipprd.blob.core.windows.net/tsip-files/imports/cb09ba27-c93f-488d-a521-1acfca174929/1779316481981_input.xlsx?sv=2026-02-06&amp;se=2026-05-23T04%3A45%3A01Z&amp;sr=b&amp;sp=r&amp;sig=mWd0moiaxPHaFLv8VctRFHBJEHXm%2B6ehL3PfvJFHsv8%3D")</f>
        <v>https://tsipprd.blob.core.windows.net/tsip-files/imports/cb09ba27-c93f-488d-a521-1acfca174929/1779316481981_input.xlsx?sv=2026-02-06&amp;se=2026-05-23T04%3A45%3A01Z&amp;sr=b&amp;sp=r&amp;sig=mWd0moiaxPHaFLv8VctRFHBJEHXm%2B6ehL3PfvJFHsv8%3D</v>
      </c>
      <c r="W24" s="110" t="str">
        <f>IFERROR(__xludf.DUMMYFUNCTION("""COMPUTED_VALUE"""),"https://tsipprd.blob.core.windows.net/tsip-files/imports/cb09ba27-c93f-488d-a521-1acfca174929/1779316482562_output.xlsx?sv=2026-02-06&amp;se=2026-05-23T04%3A45%3A01Z&amp;sr=b&amp;sp=r&amp;sig=K0iIMsH4bmW1cZz2d4Z72R67n9gf7wIbtlMbwCU8sb0%3D")</f>
        <v>https://tsipprd.blob.core.windows.net/tsip-files/imports/cb09ba27-c93f-488d-a521-1acfca174929/1779316482562_output.xlsx?sv=2026-02-06&amp;se=2026-05-23T04%3A45%3A01Z&amp;sr=b&amp;sp=r&amp;sig=K0iIMsH4bmW1cZz2d4Z72R67n9gf7wIbtlMbwCU8sb0%3D</v>
      </c>
      <c r="X24" s="43" t="str">
        <f>IFERROR(__xludf.DUMMYFUNCTION("""COMPUTED_VALUE"""),"success")</f>
        <v>success</v>
      </c>
      <c r="Y24" s="43">
        <f>IFERROR(__xludf.DUMMYFUNCTION("""COMPUTED_VALUE"""),2.0)</f>
        <v>2</v>
      </c>
      <c r="Z24"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4" s="43" t="str">
        <f>IFERROR(__xludf.DUMMYFUNCTION("""COMPUTED_VALUE"""),"success")</f>
        <v>success</v>
      </c>
    </row>
    <row r="25">
      <c r="A25" s="110" t="str">
        <f t="shared" si="1"/>
        <v>www.tsip.ai/claim/1c8f6062-9e4e-4485-9f8c-7107b036222c</v>
      </c>
      <c r="B25" s="43" t="str">
        <f>IFERROR(__xludf.DUMMYFUNCTION("""COMPUTED_VALUE"""),"1c8f6062-9e4e-4485-9f8c-7107b036222c")</f>
        <v>1c8f6062-9e4e-4485-9f8c-7107b036222c</v>
      </c>
      <c r="C25" s="43" t="str">
        <f>IFERROR(__xludf.DUMMYFUNCTION("""COMPUTED_VALUE"""),"sheets-training")</f>
        <v>sheets-training</v>
      </c>
      <c r="D25" s="43">
        <f>IFERROR(__xludf.DUMMYFUNCTION("""COMPUTED_VALUE"""),3.0)</f>
        <v>3</v>
      </c>
      <c r="E25" s="43" t="str">
        <f>IFERROR(__xludf.DUMMYFUNCTION("""COMPUTED_VALUE"""),"training_review")</f>
        <v>training_review</v>
      </c>
      <c r="F25" s="43" t="str">
        <f>IFERROR(__xludf.DUMMYFUNCTION("""COMPUTED_VALUE"""),"cb09ba27-c93f-488d-a521-1acfca174929")</f>
        <v>cb09ba27-c93f-488d-a521-1acfca174929</v>
      </c>
      <c r="G25" s="43" t="str">
        <f>IFERROR(__xludf.DUMMYFUNCTION("""COMPUTED_VALUE"""),"NULL")</f>
        <v>NULL</v>
      </c>
      <c r="H25" s="43" t="str">
        <f>IFERROR(__xludf.DUMMYFUNCTION("""COMPUTED_VALUE"""),"""2026-05-20T22:38:16.156Z""")</f>
        <v>"2026-05-20T22:38:16.156Z"</v>
      </c>
      <c r="I25" s="43" t="str">
        <f>IFERROR(__xludf.DUMMYFUNCTION("""COMPUTED_VALUE"""),"NULL")</f>
        <v>NULL</v>
      </c>
      <c r="J25" s="43" t="str">
        <f>IFERROR(__xludf.DUMMYFUNCTION("""COMPUTED_VALUE"""),"""2026-05-20T22:59:43.420Z""")</f>
        <v>"2026-05-20T22:59:43.420Z"</v>
      </c>
      <c r="K25" s="43" t="str">
        <f>IFERROR(__xludf.DUMMYFUNCTION("""COMPUTED_VALUE"""),"""2026-05-20T22:35:21.497Z""")</f>
        <v>"2026-05-20T22:35:21.497Z"</v>
      </c>
      <c r="L25" s="43" t="str">
        <f>IFERROR(__xludf.DUMMYFUNCTION("""COMPUTED_VALUE"""),"""2026-05-20T22:59:43.420Z""")</f>
        <v>"2026-05-20T22:59:43.420Z"</v>
      </c>
      <c r="M25" s="43" t="str">
        <f>IFERROR(__xludf.DUMMYFUNCTION("""COMPUTED_VALUE"""),"e7175f74-f5c9-41f7-9c77-dc3be8341fbf")</f>
        <v>e7175f74-f5c9-41f7-9c77-dc3be8341fbf</v>
      </c>
      <c r="N25" s="43" t="str">
        <f>IFERROR(__xludf.DUMMYFUNCTION("""COMPUTED_VALUE"""),"cacf4da3-cd8d-402b-a1e9-f3ad3e7f11bf")</f>
        <v>cacf4da3-cd8d-402b-a1e9-f3ad3e7f11bf</v>
      </c>
      <c r="O25" s="43" t="str">
        <f>IFERROR(__xludf.DUMMYFUNCTION("""COMPUTED_VALUE"""),"{}")</f>
        <v>{}</v>
      </c>
      <c r="P25" s="43" t="str">
        <f>IFERROR(__xludf.DUMMYFUNCTION("""COMPUTED_VALUE"""),"training_review")</f>
        <v>training_review</v>
      </c>
      <c r="Q25" s="43" t="str">
        <f>IFERROR(__xludf.DUMMYFUNCTION("""COMPUTED_VALUE"""),"sheets-training")</f>
        <v>sheets-training</v>
      </c>
      <c r="R2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5" s="43" t="str">
        <f>IFERROR(__xludf.DUMMYFUNCTION("""COMPUTED_VALUE"""),"train yourself!")</f>
        <v>train yourself!</v>
      </c>
      <c r="V25" s="110" t="str">
        <f>IFERROR(__xludf.DUMMYFUNCTION("""COMPUTED_VALUE"""),"https://tsipprd.blob.core.windows.net/tsip-files/imports/cb09ba27-c93f-488d-a521-1acfca174929/1779316481981_input.xlsx?sv=2026-02-06&amp;se=2026-05-23T05%3A00%3A01Z&amp;sr=b&amp;sp=r&amp;sig=%2B5gtHXG%2FseGISk5Q4%2BfF6FsitKpmJ5efz1eIq9Ak7uU%3D")</f>
        <v>https://tsipprd.blob.core.windows.net/tsip-files/imports/cb09ba27-c93f-488d-a521-1acfca174929/1779316481981_input.xlsx?sv=2026-02-06&amp;se=2026-05-23T05%3A00%3A01Z&amp;sr=b&amp;sp=r&amp;sig=%2B5gtHXG%2FseGISk5Q4%2BfF6FsitKpmJ5efz1eIq9Ak7uU%3D</v>
      </c>
      <c r="W25" s="110" t="str">
        <f>IFERROR(__xludf.DUMMYFUNCTION("""COMPUTED_VALUE"""),"https://tsipprd.blob.core.windows.net/tsip-files/imports/cb09ba27-c93f-488d-a521-1acfca174929/1779316482562_output.xlsx?sv=2026-02-06&amp;se=2026-05-23T05%3A00%3A01Z&amp;sr=b&amp;sp=r&amp;sig=Xjp9UMm%2BLdM7t4ATK9N3%2F%2FLWMQdTd4umNz4Uea6QYE0%3D")</f>
        <v>https://tsipprd.blob.core.windows.net/tsip-files/imports/cb09ba27-c93f-488d-a521-1acfca174929/1779316482562_output.xlsx?sv=2026-02-06&amp;se=2026-05-23T05%3A00%3A01Z&amp;sr=b&amp;sp=r&amp;sig=Xjp9UMm%2BLdM7t4ATK9N3%2F%2FLWMQdTd4umNz4Uea6QYE0%3D</v>
      </c>
      <c r="X25" s="43" t="str">
        <f>IFERROR(__xludf.DUMMYFUNCTION("""COMPUTED_VALUE"""),"success")</f>
        <v>success</v>
      </c>
      <c r="Y25" s="43">
        <f>IFERROR(__xludf.DUMMYFUNCTION("""COMPUTED_VALUE"""),2.0)</f>
        <v>2</v>
      </c>
      <c r="Z2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5" s="43" t="str">
        <f>IFERROR(__xludf.DUMMYFUNCTION("""COMPUTED_VALUE"""),"success")</f>
        <v>success</v>
      </c>
    </row>
    <row r="26">
      <c r="A26" s="110" t="str">
        <f t="shared" si="1"/>
        <v>www.tsip.ai/claim/1c8f6062-9e4e-4485-9f8c-7107b036222c</v>
      </c>
      <c r="B26" s="43" t="str">
        <f>IFERROR(__xludf.DUMMYFUNCTION("""COMPUTED_VALUE"""),"1c8f6062-9e4e-4485-9f8c-7107b036222c")</f>
        <v>1c8f6062-9e4e-4485-9f8c-7107b036222c</v>
      </c>
      <c r="C26" s="43" t="str">
        <f>IFERROR(__xludf.DUMMYFUNCTION("""COMPUTED_VALUE"""),"sheets-training")</f>
        <v>sheets-training</v>
      </c>
      <c r="D26" s="43">
        <f>IFERROR(__xludf.DUMMYFUNCTION("""COMPUTED_VALUE"""),3.0)</f>
        <v>3</v>
      </c>
      <c r="E26" s="43" t="str">
        <f>IFERROR(__xludf.DUMMYFUNCTION("""COMPUTED_VALUE"""),"training_review")</f>
        <v>training_review</v>
      </c>
      <c r="F26" s="43" t="str">
        <f>IFERROR(__xludf.DUMMYFUNCTION("""COMPUTED_VALUE"""),"cb09ba27-c93f-488d-a521-1acfca174929")</f>
        <v>cb09ba27-c93f-488d-a521-1acfca174929</v>
      </c>
      <c r="G26" s="43" t="str">
        <f>IFERROR(__xludf.DUMMYFUNCTION("""COMPUTED_VALUE"""),"NULL")</f>
        <v>NULL</v>
      </c>
      <c r="H26" s="43" t="str">
        <f>IFERROR(__xludf.DUMMYFUNCTION("""COMPUTED_VALUE"""),"""2026-05-20T22:38:16.156Z""")</f>
        <v>"2026-05-20T22:38:16.156Z"</v>
      </c>
      <c r="I26" s="43" t="str">
        <f>IFERROR(__xludf.DUMMYFUNCTION("""COMPUTED_VALUE"""),"NULL")</f>
        <v>NULL</v>
      </c>
      <c r="J26" s="43" t="str">
        <f>IFERROR(__xludf.DUMMYFUNCTION("""COMPUTED_VALUE"""),"""2026-05-20T22:59:43.420Z""")</f>
        <v>"2026-05-20T22:59:43.420Z"</v>
      </c>
      <c r="K26" s="43" t="str">
        <f>IFERROR(__xludf.DUMMYFUNCTION("""COMPUTED_VALUE"""),"""2026-05-20T22:35:21.497Z""")</f>
        <v>"2026-05-20T22:35:21.497Z"</v>
      </c>
      <c r="L26" s="43" t="str">
        <f>IFERROR(__xludf.DUMMYFUNCTION("""COMPUTED_VALUE"""),"""2026-05-20T22:59:43.420Z""")</f>
        <v>"2026-05-20T22:59:43.420Z"</v>
      </c>
      <c r="M26" s="43" t="str">
        <f>IFERROR(__xludf.DUMMYFUNCTION("""COMPUTED_VALUE"""),"e7175f74-f5c9-41f7-9c77-dc3be8341fbf")</f>
        <v>e7175f74-f5c9-41f7-9c77-dc3be8341fbf</v>
      </c>
      <c r="N26" s="43" t="str">
        <f>IFERROR(__xludf.DUMMYFUNCTION("""COMPUTED_VALUE"""),"cacf4da3-cd8d-402b-a1e9-f3ad3e7f11bf")</f>
        <v>cacf4da3-cd8d-402b-a1e9-f3ad3e7f11bf</v>
      </c>
      <c r="O26" s="43" t="str">
        <f>IFERROR(__xludf.DUMMYFUNCTION("""COMPUTED_VALUE"""),"{}")</f>
        <v>{}</v>
      </c>
      <c r="P26" s="43" t="str">
        <f>IFERROR(__xludf.DUMMYFUNCTION("""COMPUTED_VALUE"""),"training_review")</f>
        <v>training_review</v>
      </c>
      <c r="Q26" s="43" t="str">
        <f>IFERROR(__xludf.DUMMYFUNCTION("""COMPUTED_VALUE"""),"sheets-training")</f>
        <v>sheets-training</v>
      </c>
      <c r="R2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6"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6"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6" s="43" t="str">
        <f>IFERROR(__xludf.DUMMYFUNCTION("""COMPUTED_VALUE"""),"train yourself!")</f>
        <v>train yourself!</v>
      </c>
      <c r="V26" s="110" t="str">
        <f>IFERROR(__xludf.DUMMYFUNCTION("""COMPUTED_VALUE"""),"https://tsipprd.blob.core.windows.net/tsip-files/imports/cb09ba27-c93f-488d-a521-1acfca174929/1779316481981_input.xlsx?sv=2026-02-06&amp;se=2026-05-23T05%3A15%3A01Z&amp;sr=b&amp;sp=r&amp;sig=aaJXOK%2Fb2pvt0gi6AxZ3QMwkcS1XTKhTfsxZu%2B2lM%2BA%3D")</f>
        <v>https://tsipprd.blob.core.windows.net/tsip-files/imports/cb09ba27-c93f-488d-a521-1acfca174929/1779316481981_input.xlsx?sv=2026-02-06&amp;se=2026-05-23T05%3A15%3A01Z&amp;sr=b&amp;sp=r&amp;sig=aaJXOK%2Fb2pvt0gi6AxZ3QMwkcS1XTKhTfsxZu%2B2lM%2BA%3D</v>
      </c>
      <c r="W26" s="110" t="str">
        <f>IFERROR(__xludf.DUMMYFUNCTION("""COMPUTED_VALUE"""),"https://tsipprd.blob.core.windows.net/tsip-files/imports/cb09ba27-c93f-488d-a521-1acfca174929/1779316482562_output.xlsx?sv=2026-02-06&amp;se=2026-05-23T05%3A15%3A01Z&amp;sr=b&amp;sp=r&amp;sig=8BDsFPAs1Otzr9B9TPn%2BdScCAwyxoqjmSnCHHPOXF5U%3D")</f>
        <v>https://tsipprd.blob.core.windows.net/tsip-files/imports/cb09ba27-c93f-488d-a521-1acfca174929/1779316482562_output.xlsx?sv=2026-02-06&amp;se=2026-05-23T05%3A15%3A01Z&amp;sr=b&amp;sp=r&amp;sig=8BDsFPAs1Otzr9B9TPn%2BdScCAwyxoqjmSnCHHPOXF5U%3D</v>
      </c>
      <c r="X26" s="43" t="str">
        <f>IFERROR(__xludf.DUMMYFUNCTION("""COMPUTED_VALUE"""),"success")</f>
        <v>success</v>
      </c>
      <c r="Y26" s="43">
        <f>IFERROR(__xludf.DUMMYFUNCTION("""COMPUTED_VALUE"""),2.0)</f>
        <v>2</v>
      </c>
      <c r="Z26"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6" s="43" t="str">
        <f>IFERROR(__xludf.DUMMYFUNCTION("""COMPUTED_VALUE"""),"success")</f>
        <v>success</v>
      </c>
    </row>
    <row r="27">
      <c r="A27" s="110" t="str">
        <f t="shared" si="1"/>
        <v>www.tsip.ai/claim/1c8f6062-9e4e-4485-9f8c-7107b036222c</v>
      </c>
      <c r="B27" s="43" t="str">
        <f>IFERROR(__xludf.DUMMYFUNCTION("""COMPUTED_VALUE"""),"1c8f6062-9e4e-4485-9f8c-7107b036222c")</f>
        <v>1c8f6062-9e4e-4485-9f8c-7107b036222c</v>
      </c>
      <c r="C27" s="43" t="str">
        <f>IFERROR(__xludf.DUMMYFUNCTION("""COMPUTED_VALUE"""),"sheets-training")</f>
        <v>sheets-training</v>
      </c>
      <c r="D27" s="43">
        <f>IFERROR(__xludf.DUMMYFUNCTION("""COMPUTED_VALUE"""),3.0)</f>
        <v>3</v>
      </c>
      <c r="E27" s="43" t="str">
        <f>IFERROR(__xludf.DUMMYFUNCTION("""COMPUTED_VALUE"""),"training_review")</f>
        <v>training_review</v>
      </c>
      <c r="F27" s="43" t="str">
        <f>IFERROR(__xludf.DUMMYFUNCTION("""COMPUTED_VALUE"""),"cb09ba27-c93f-488d-a521-1acfca174929")</f>
        <v>cb09ba27-c93f-488d-a521-1acfca174929</v>
      </c>
      <c r="G27" s="43" t="str">
        <f>IFERROR(__xludf.DUMMYFUNCTION("""COMPUTED_VALUE"""),"NULL")</f>
        <v>NULL</v>
      </c>
      <c r="H27" s="43" t="str">
        <f>IFERROR(__xludf.DUMMYFUNCTION("""COMPUTED_VALUE"""),"""2026-05-20T22:38:16.156Z""")</f>
        <v>"2026-05-20T22:38:16.156Z"</v>
      </c>
      <c r="I27" s="43" t="str">
        <f>IFERROR(__xludf.DUMMYFUNCTION("""COMPUTED_VALUE"""),"NULL")</f>
        <v>NULL</v>
      </c>
      <c r="J27" s="43" t="str">
        <f>IFERROR(__xludf.DUMMYFUNCTION("""COMPUTED_VALUE"""),"""2026-05-20T22:59:43.420Z""")</f>
        <v>"2026-05-20T22:59:43.420Z"</v>
      </c>
      <c r="K27" s="43" t="str">
        <f>IFERROR(__xludf.DUMMYFUNCTION("""COMPUTED_VALUE"""),"""2026-05-20T22:35:21.497Z""")</f>
        <v>"2026-05-20T22:35:21.497Z"</v>
      </c>
      <c r="L27" s="43" t="str">
        <f>IFERROR(__xludf.DUMMYFUNCTION("""COMPUTED_VALUE"""),"""2026-05-20T22:59:43.420Z""")</f>
        <v>"2026-05-20T22:59:43.420Z"</v>
      </c>
      <c r="M27" s="43" t="str">
        <f>IFERROR(__xludf.DUMMYFUNCTION("""COMPUTED_VALUE"""),"e7175f74-f5c9-41f7-9c77-dc3be8341fbf")</f>
        <v>e7175f74-f5c9-41f7-9c77-dc3be8341fbf</v>
      </c>
      <c r="N27" s="43" t="str">
        <f>IFERROR(__xludf.DUMMYFUNCTION("""COMPUTED_VALUE"""),"cacf4da3-cd8d-402b-a1e9-f3ad3e7f11bf")</f>
        <v>cacf4da3-cd8d-402b-a1e9-f3ad3e7f11bf</v>
      </c>
      <c r="O27" s="43" t="str">
        <f>IFERROR(__xludf.DUMMYFUNCTION("""COMPUTED_VALUE"""),"{}")</f>
        <v>{}</v>
      </c>
      <c r="P27" s="43" t="str">
        <f>IFERROR(__xludf.DUMMYFUNCTION("""COMPUTED_VALUE"""),"training_review")</f>
        <v>training_review</v>
      </c>
      <c r="Q27" s="43" t="str">
        <f>IFERROR(__xludf.DUMMYFUNCTION("""COMPUTED_VALUE"""),"sheets-training")</f>
        <v>sheets-training</v>
      </c>
      <c r="R2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7" s="43" t="str">
        <f>IFERROR(__xludf.DUMMYFUNCTION("""COMPUTED_VALUE"""),"train yourself!")</f>
        <v>train yourself!</v>
      </c>
      <c r="V27" s="110" t="str">
        <f>IFERROR(__xludf.DUMMYFUNCTION("""COMPUTED_VALUE"""),"https://tsipprd.blob.core.windows.net/tsip-files/imports/cb09ba27-c93f-488d-a521-1acfca174929/1779316481981_input.xlsx?sv=2026-02-06&amp;se=2026-05-23T05%3A30%3A01Z&amp;sr=b&amp;sp=r&amp;sig=sw68Psmk88T7%2FYL%2Fp9BB34z2c6IKcf24PfbYvGtRWAg%3D")</f>
        <v>https://tsipprd.blob.core.windows.net/tsip-files/imports/cb09ba27-c93f-488d-a521-1acfca174929/1779316481981_input.xlsx?sv=2026-02-06&amp;se=2026-05-23T05%3A30%3A01Z&amp;sr=b&amp;sp=r&amp;sig=sw68Psmk88T7%2FYL%2Fp9BB34z2c6IKcf24PfbYvGtRWAg%3D</v>
      </c>
      <c r="W27" s="110" t="str">
        <f>IFERROR(__xludf.DUMMYFUNCTION("""COMPUTED_VALUE"""),"https://tsipprd.blob.core.windows.net/tsip-files/imports/cb09ba27-c93f-488d-a521-1acfca174929/1779316482562_output.xlsx?sv=2026-02-06&amp;se=2026-05-23T05%3A30%3A01Z&amp;sr=b&amp;sp=r&amp;sig=txm8PzVAsBXC2Mrr6s7KGqrR4FZItytE3%2BeXlA76ncc%3D")</f>
        <v>https://tsipprd.blob.core.windows.net/tsip-files/imports/cb09ba27-c93f-488d-a521-1acfca174929/1779316482562_output.xlsx?sv=2026-02-06&amp;se=2026-05-23T05%3A30%3A01Z&amp;sr=b&amp;sp=r&amp;sig=txm8PzVAsBXC2Mrr6s7KGqrR4FZItytE3%2BeXlA76ncc%3D</v>
      </c>
      <c r="X27" s="43" t="str">
        <f>IFERROR(__xludf.DUMMYFUNCTION("""COMPUTED_VALUE"""),"success")</f>
        <v>success</v>
      </c>
      <c r="Y27" s="43">
        <f>IFERROR(__xludf.DUMMYFUNCTION("""COMPUTED_VALUE"""),2.0)</f>
        <v>2</v>
      </c>
      <c r="Z2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7" s="43" t="str">
        <f>IFERROR(__xludf.DUMMYFUNCTION("""COMPUTED_VALUE"""),"success")</f>
        <v>success</v>
      </c>
    </row>
    <row r="28">
      <c r="A28" s="110" t="str">
        <f t="shared" si="1"/>
        <v>www.tsip.ai/claim/1c8f6062-9e4e-4485-9f8c-7107b036222c</v>
      </c>
      <c r="B28" s="43" t="str">
        <f>IFERROR(__xludf.DUMMYFUNCTION("""COMPUTED_VALUE"""),"1c8f6062-9e4e-4485-9f8c-7107b036222c")</f>
        <v>1c8f6062-9e4e-4485-9f8c-7107b036222c</v>
      </c>
      <c r="C28" s="43" t="str">
        <f>IFERROR(__xludf.DUMMYFUNCTION("""COMPUTED_VALUE"""),"sheets-training")</f>
        <v>sheets-training</v>
      </c>
      <c r="D28" s="43">
        <f>IFERROR(__xludf.DUMMYFUNCTION("""COMPUTED_VALUE"""),3.0)</f>
        <v>3</v>
      </c>
      <c r="E28" s="43" t="str">
        <f>IFERROR(__xludf.DUMMYFUNCTION("""COMPUTED_VALUE"""),"training_review")</f>
        <v>training_review</v>
      </c>
      <c r="F28" s="43" t="str">
        <f>IFERROR(__xludf.DUMMYFUNCTION("""COMPUTED_VALUE"""),"cb09ba27-c93f-488d-a521-1acfca174929")</f>
        <v>cb09ba27-c93f-488d-a521-1acfca174929</v>
      </c>
      <c r="G28" s="43" t="str">
        <f>IFERROR(__xludf.DUMMYFUNCTION("""COMPUTED_VALUE"""),"NULL")</f>
        <v>NULL</v>
      </c>
      <c r="H28" s="43" t="str">
        <f>IFERROR(__xludf.DUMMYFUNCTION("""COMPUTED_VALUE"""),"""2026-05-20T22:38:16.156Z""")</f>
        <v>"2026-05-20T22:38:16.156Z"</v>
      </c>
      <c r="I28" s="43" t="str">
        <f>IFERROR(__xludf.DUMMYFUNCTION("""COMPUTED_VALUE"""),"NULL")</f>
        <v>NULL</v>
      </c>
      <c r="J28" s="43" t="str">
        <f>IFERROR(__xludf.DUMMYFUNCTION("""COMPUTED_VALUE"""),"""2026-05-20T22:59:43.420Z""")</f>
        <v>"2026-05-20T22:59:43.420Z"</v>
      </c>
      <c r="K28" s="43" t="str">
        <f>IFERROR(__xludf.DUMMYFUNCTION("""COMPUTED_VALUE"""),"""2026-05-20T22:35:21.497Z""")</f>
        <v>"2026-05-20T22:35:21.497Z"</v>
      </c>
      <c r="L28" s="43" t="str">
        <f>IFERROR(__xludf.DUMMYFUNCTION("""COMPUTED_VALUE"""),"""2026-05-20T22:59:43.420Z""")</f>
        <v>"2026-05-20T22:59:43.420Z"</v>
      </c>
      <c r="M28" s="43" t="str">
        <f>IFERROR(__xludf.DUMMYFUNCTION("""COMPUTED_VALUE"""),"e7175f74-f5c9-41f7-9c77-dc3be8341fbf")</f>
        <v>e7175f74-f5c9-41f7-9c77-dc3be8341fbf</v>
      </c>
      <c r="N28" s="43" t="str">
        <f>IFERROR(__xludf.DUMMYFUNCTION("""COMPUTED_VALUE"""),"cacf4da3-cd8d-402b-a1e9-f3ad3e7f11bf")</f>
        <v>cacf4da3-cd8d-402b-a1e9-f3ad3e7f11bf</v>
      </c>
      <c r="O28" s="43" t="str">
        <f>IFERROR(__xludf.DUMMYFUNCTION("""COMPUTED_VALUE"""),"{}")</f>
        <v>{}</v>
      </c>
      <c r="P28" s="43" t="str">
        <f>IFERROR(__xludf.DUMMYFUNCTION("""COMPUTED_VALUE"""),"training_review")</f>
        <v>training_review</v>
      </c>
      <c r="Q28" s="43" t="str">
        <f>IFERROR(__xludf.DUMMYFUNCTION("""COMPUTED_VALUE"""),"sheets-training")</f>
        <v>sheets-training</v>
      </c>
      <c r="R28"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8"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8"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8" s="43" t="str">
        <f>IFERROR(__xludf.DUMMYFUNCTION("""COMPUTED_VALUE"""),"train yourself!")</f>
        <v>train yourself!</v>
      </c>
      <c r="V28" s="110" t="str">
        <f>IFERROR(__xludf.DUMMYFUNCTION("""COMPUTED_VALUE"""),"https://tsipprd.blob.core.windows.net/tsip-files/imports/cb09ba27-c93f-488d-a521-1acfca174929/1779316481981_input.xlsx?sv=2026-02-06&amp;se=2026-05-23T05%3A45%3A01Z&amp;sr=b&amp;sp=r&amp;sig=VStM1bGWIQYctX%2FJBR6hZVCQxyY7cTLKx99P0T3BMuc%3D")</f>
        <v>https://tsipprd.blob.core.windows.net/tsip-files/imports/cb09ba27-c93f-488d-a521-1acfca174929/1779316481981_input.xlsx?sv=2026-02-06&amp;se=2026-05-23T05%3A45%3A01Z&amp;sr=b&amp;sp=r&amp;sig=VStM1bGWIQYctX%2FJBR6hZVCQxyY7cTLKx99P0T3BMuc%3D</v>
      </c>
      <c r="W28" s="110" t="str">
        <f>IFERROR(__xludf.DUMMYFUNCTION("""COMPUTED_VALUE"""),"https://tsipprd.blob.core.windows.net/tsip-files/imports/cb09ba27-c93f-488d-a521-1acfca174929/1779316482562_output.xlsx?sv=2026-02-06&amp;se=2026-05-23T05%3A45%3A01Z&amp;sr=b&amp;sp=r&amp;sig=M0BKXQVrs%2FBr2QddREdzj2T9OD47Vt1MUMdi6UTpF6k%3D")</f>
        <v>https://tsipprd.blob.core.windows.net/tsip-files/imports/cb09ba27-c93f-488d-a521-1acfca174929/1779316482562_output.xlsx?sv=2026-02-06&amp;se=2026-05-23T05%3A45%3A01Z&amp;sr=b&amp;sp=r&amp;sig=M0BKXQVrs%2FBr2QddREdzj2T9OD47Vt1MUMdi6UTpF6k%3D</v>
      </c>
      <c r="X28" s="43" t="str">
        <f>IFERROR(__xludf.DUMMYFUNCTION("""COMPUTED_VALUE"""),"success")</f>
        <v>success</v>
      </c>
      <c r="Y28" s="43">
        <f>IFERROR(__xludf.DUMMYFUNCTION("""COMPUTED_VALUE"""),2.0)</f>
        <v>2</v>
      </c>
      <c r="Z28"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8" s="43" t="str">
        <f>IFERROR(__xludf.DUMMYFUNCTION("""COMPUTED_VALUE"""),"success")</f>
        <v>success</v>
      </c>
    </row>
    <row r="29">
      <c r="A29" s="110" t="str">
        <f t="shared" si="1"/>
        <v>www.tsip.ai/claim/1c8f6062-9e4e-4485-9f8c-7107b036222c</v>
      </c>
      <c r="B29" s="43" t="str">
        <f>IFERROR(__xludf.DUMMYFUNCTION("""COMPUTED_VALUE"""),"1c8f6062-9e4e-4485-9f8c-7107b036222c")</f>
        <v>1c8f6062-9e4e-4485-9f8c-7107b036222c</v>
      </c>
      <c r="C29" s="43" t="str">
        <f>IFERROR(__xludf.DUMMYFUNCTION("""COMPUTED_VALUE"""),"sheets-training")</f>
        <v>sheets-training</v>
      </c>
      <c r="D29" s="43">
        <f>IFERROR(__xludf.DUMMYFUNCTION("""COMPUTED_VALUE"""),3.0)</f>
        <v>3</v>
      </c>
      <c r="E29" s="43" t="str">
        <f>IFERROR(__xludf.DUMMYFUNCTION("""COMPUTED_VALUE"""),"training_review")</f>
        <v>training_review</v>
      </c>
      <c r="F29" s="43" t="str">
        <f>IFERROR(__xludf.DUMMYFUNCTION("""COMPUTED_VALUE"""),"cb09ba27-c93f-488d-a521-1acfca174929")</f>
        <v>cb09ba27-c93f-488d-a521-1acfca174929</v>
      </c>
      <c r="G29" s="43" t="str">
        <f>IFERROR(__xludf.DUMMYFUNCTION("""COMPUTED_VALUE"""),"NULL")</f>
        <v>NULL</v>
      </c>
      <c r="H29" s="43" t="str">
        <f>IFERROR(__xludf.DUMMYFUNCTION("""COMPUTED_VALUE"""),"""2026-05-20T22:38:16.156Z""")</f>
        <v>"2026-05-20T22:38:16.156Z"</v>
      </c>
      <c r="I29" s="43" t="str">
        <f>IFERROR(__xludf.DUMMYFUNCTION("""COMPUTED_VALUE"""),"NULL")</f>
        <v>NULL</v>
      </c>
      <c r="J29" s="43" t="str">
        <f>IFERROR(__xludf.DUMMYFUNCTION("""COMPUTED_VALUE"""),"""2026-05-20T22:59:43.420Z""")</f>
        <v>"2026-05-20T22:59:43.420Z"</v>
      </c>
      <c r="K29" s="43" t="str">
        <f>IFERROR(__xludf.DUMMYFUNCTION("""COMPUTED_VALUE"""),"""2026-05-20T22:35:21.497Z""")</f>
        <v>"2026-05-20T22:35:21.497Z"</v>
      </c>
      <c r="L29" s="43" t="str">
        <f>IFERROR(__xludf.DUMMYFUNCTION("""COMPUTED_VALUE"""),"""2026-05-20T22:59:43.420Z""")</f>
        <v>"2026-05-20T22:59:43.420Z"</v>
      </c>
      <c r="M29" s="43" t="str">
        <f>IFERROR(__xludf.DUMMYFUNCTION("""COMPUTED_VALUE"""),"e7175f74-f5c9-41f7-9c77-dc3be8341fbf")</f>
        <v>e7175f74-f5c9-41f7-9c77-dc3be8341fbf</v>
      </c>
      <c r="N29" s="43" t="str">
        <f>IFERROR(__xludf.DUMMYFUNCTION("""COMPUTED_VALUE"""),"cacf4da3-cd8d-402b-a1e9-f3ad3e7f11bf")</f>
        <v>cacf4da3-cd8d-402b-a1e9-f3ad3e7f11bf</v>
      </c>
      <c r="O29" s="43" t="str">
        <f>IFERROR(__xludf.DUMMYFUNCTION("""COMPUTED_VALUE"""),"{}")</f>
        <v>{}</v>
      </c>
      <c r="P29" s="43" t="str">
        <f>IFERROR(__xludf.DUMMYFUNCTION("""COMPUTED_VALUE"""),"training_review")</f>
        <v>training_review</v>
      </c>
      <c r="Q29" s="43" t="str">
        <f>IFERROR(__xludf.DUMMYFUNCTION("""COMPUTED_VALUE"""),"sheets-training")</f>
        <v>sheets-training</v>
      </c>
      <c r="R2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2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2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29" s="43" t="str">
        <f>IFERROR(__xludf.DUMMYFUNCTION("""COMPUTED_VALUE"""),"train yourself!")</f>
        <v>train yourself!</v>
      </c>
      <c r="V29" s="110" t="str">
        <f>IFERROR(__xludf.DUMMYFUNCTION("""COMPUTED_VALUE"""),"https://tsipprd.blob.core.windows.net/tsip-files/imports/cb09ba27-c93f-488d-a521-1acfca174929/1779316481981_input.xlsx?sv=2026-02-06&amp;se=2026-05-23T06%3A00%3A02Z&amp;sr=b&amp;sp=r&amp;sig=ci0hbyPNCiQR2IeoDxuZV6uo4jkXWc%2BTJD10IrUT7H4%3D")</f>
        <v>https://tsipprd.blob.core.windows.net/tsip-files/imports/cb09ba27-c93f-488d-a521-1acfca174929/1779316481981_input.xlsx?sv=2026-02-06&amp;se=2026-05-23T06%3A00%3A02Z&amp;sr=b&amp;sp=r&amp;sig=ci0hbyPNCiQR2IeoDxuZV6uo4jkXWc%2BTJD10IrUT7H4%3D</v>
      </c>
      <c r="W29" s="110" t="str">
        <f>IFERROR(__xludf.DUMMYFUNCTION("""COMPUTED_VALUE"""),"https://tsipprd.blob.core.windows.net/tsip-files/imports/cb09ba27-c93f-488d-a521-1acfca174929/1779316482562_output.xlsx?sv=2026-02-06&amp;se=2026-05-23T06%3A00%3A02Z&amp;sr=b&amp;sp=r&amp;sig=sNG6eRryMTKVGypz94IBfPY6%2F%2BU13HQd1zrXQr%2F%2BHUU%3D")</f>
        <v>https://tsipprd.blob.core.windows.net/tsip-files/imports/cb09ba27-c93f-488d-a521-1acfca174929/1779316482562_output.xlsx?sv=2026-02-06&amp;se=2026-05-23T06%3A00%3A02Z&amp;sr=b&amp;sp=r&amp;sig=sNG6eRryMTKVGypz94IBfPY6%2F%2BU13HQd1zrXQr%2F%2BHUU%3D</v>
      </c>
      <c r="X29" s="43" t="str">
        <f>IFERROR(__xludf.DUMMYFUNCTION("""COMPUTED_VALUE"""),"success")</f>
        <v>success</v>
      </c>
      <c r="Y29" s="43">
        <f>IFERROR(__xludf.DUMMYFUNCTION("""COMPUTED_VALUE"""),2.0)</f>
        <v>2</v>
      </c>
      <c r="Z2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29" s="43" t="str">
        <f>IFERROR(__xludf.DUMMYFUNCTION("""COMPUTED_VALUE"""),"success")</f>
        <v>success</v>
      </c>
    </row>
    <row r="30">
      <c r="A30" s="110" t="str">
        <f t="shared" si="1"/>
        <v>www.tsip.ai/claim/1c8f6062-9e4e-4485-9f8c-7107b036222c</v>
      </c>
      <c r="B30" s="43" t="str">
        <f>IFERROR(__xludf.DUMMYFUNCTION("""COMPUTED_VALUE"""),"1c8f6062-9e4e-4485-9f8c-7107b036222c")</f>
        <v>1c8f6062-9e4e-4485-9f8c-7107b036222c</v>
      </c>
      <c r="C30" s="43" t="str">
        <f>IFERROR(__xludf.DUMMYFUNCTION("""COMPUTED_VALUE"""),"sheets-training")</f>
        <v>sheets-training</v>
      </c>
      <c r="D30" s="43">
        <f>IFERROR(__xludf.DUMMYFUNCTION("""COMPUTED_VALUE"""),3.0)</f>
        <v>3</v>
      </c>
      <c r="E30" s="43" t="str">
        <f>IFERROR(__xludf.DUMMYFUNCTION("""COMPUTED_VALUE"""),"training_review")</f>
        <v>training_review</v>
      </c>
      <c r="F30" s="43" t="str">
        <f>IFERROR(__xludf.DUMMYFUNCTION("""COMPUTED_VALUE"""),"cb09ba27-c93f-488d-a521-1acfca174929")</f>
        <v>cb09ba27-c93f-488d-a521-1acfca174929</v>
      </c>
      <c r="G30" s="43" t="str">
        <f>IFERROR(__xludf.DUMMYFUNCTION("""COMPUTED_VALUE"""),"NULL")</f>
        <v>NULL</v>
      </c>
      <c r="H30" s="43" t="str">
        <f>IFERROR(__xludf.DUMMYFUNCTION("""COMPUTED_VALUE"""),"""2026-05-20T22:38:16.156Z""")</f>
        <v>"2026-05-20T22:38:16.156Z"</v>
      </c>
      <c r="I30" s="43" t="str">
        <f>IFERROR(__xludf.DUMMYFUNCTION("""COMPUTED_VALUE"""),"NULL")</f>
        <v>NULL</v>
      </c>
      <c r="J30" s="43" t="str">
        <f>IFERROR(__xludf.DUMMYFUNCTION("""COMPUTED_VALUE"""),"""2026-05-20T22:59:43.420Z""")</f>
        <v>"2026-05-20T22:59:43.420Z"</v>
      </c>
      <c r="K30" s="43" t="str">
        <f>IFERROR(__xludf.DUMMYFUNCTION("""COMPUTED_VALUE"""),"""2026-05-20T22:35:21.497Z""")</f>
        <v>"2026-05-20T22:35:21.497Z"</v>
      </c>
      <c r="L30" s="43" t="str">
        <f>IFERROR(__xludf.DUMMYFUNCTION("""COMPUTED_VALUE"""),"""2026-05-20T22:59:43.420Z""")</f>
        <v>"2026-05-20T22:59:43.420Z"</v>
      </c>
      <c r="M30" s="43" t="str">
        <f>IFERROR(__xludf.DUMMYFUNCTION("""COMPUTED_VALUE"""),"e7175f74-f5c9-41f7-9c77-dc3be8341fbf")</f>
        <v>e7175f74-f5c9-41f7-9c77-dc3be8341fbf</v>
      </c>
      <c r="N30" s="43" t="str">
        <f>IFERROR(__xludf.DUMMYFUNCTION("""COMPUTED_VALUE"""),"cacf4da3-cd8d-402b-a1e9-f3ad3e7f11bf")</f>
        <v>cacf4da3-cd8d-402b-a1e9-f3ad3e7f11bf</v>
      </c>
      <c r="O30" s="43" t="str">
        <f>IFERROR(__xludf.DUMMYFUNCTION("""COMPUTED_VALUE"""),"{}")</f>
        <v>{}</v>
      </c>
      <c r="P30" s="43" t="str">
        <f>IFERROR(__xludf.DUMMYFUNCTION("""COMPUTED_VALUE"""),"training_review")</f>
        <v>training_review</v>
      </c>
      <c r="Q30" s="43" t="str">
        <f>IFERROR(__xludf.DUMMYFUNCTION("""COMPUTED_VALUE"""),"sheets-training")</f>
        <v>sheets-training</v>
      </c>
      <c r="R30"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0"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0"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0" s="43" t="str">
        <f>IFERROR(__xludf.DUMMYFUNCTION("""COMPUTED_VALUE"""),"train yourself!")</f>
        <v>train yourself!</v>
      </c>
      <c r="V30" s="110" t="str">
        <f>IFERROR(__xludf.DUMMYFUNCTION("""COMPUTED_VALUE"""),"https://tsipprd.blob.core.windows.net/tsip-files/imports/cb09ba27-c93f-488d-a521-1acfca174929/1779316481981_input.xlsx?sv=2026-02-06&amp;se=2026-05-23T06%3A15%3A01Z&amp;sr=b&amp;sp=r&amp;sig=DoCc%2FJVdcpCmLR5%2Ffnnu56Tb7aAxwKmBzgo4deqhS8k%3D")</f>
        <v>https://tsipprd.blob.core.windows.net/tsip-files/imports/cb09ba27-c93f-488d-a521-1acfca174929/1779316481981_input.xlsx?sv=2026-02-06&amp;se=2026-05-23T06%3A15%3A01Z&amp;sr=b&amp;sp=r&amp;sig=DoCc%2FJVdcpCmLR5%2Ffnnu56Tb7aAxwKmBzgo4deqhS8k%3D</v>
      </c>
      <c r="W30" s="110" t="str">
        <f>IFERROR(__xludf.DUMMYFUNCTION("""COMPUTED_VALUE"""),"https://tsipprd.blob.core.windows.net/tsip-files/imports/cb09ba27-c93f-488d-a521-1acfca174929/1779316482562_output.xlsx?sv=2026-02-06&amp;se=2026-05-23T06%3A15%3A01Z&amp;sr=b&amp;sp=r&amp;sig=3g3f1uHhrTXdN2sqUvcUo0VCTuF3jwK7Adne7Id8%2Fjw%3D")</f>
        <v>https://tsipprd.blob.core.windows.net/tsip-files/imports/cb09ba27-c93f-488d-a521-1acfca174929/1779316482562_output.xlsx?sv=2026-02-06&amp;se=2026-05-23T06%3A15%3A01Z&amp;sr=b&amp;sp=r&amp;sig=3g3f1uHhrTXdN2sqUvcUo0VCTuF3jwK7Adne7Id8%2Fjw%3D</v>
      </c>
      <c r="X30" s="43" t="str">
        <f>IFERROR(__xludf.DUMMYFUNCTION("""COMPUTED_VALUE"""),"success")</f>
        <v>success</v>
      </c>
      <c r="Y30" s="43">
        <f>IFERROR(__xludf.DUMMYFUNCTION("""COMPUTED_VALUE"""),2.0)</f>
        <v>2</v>
      </c>
      <c r="Z30"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0" s="43" t="str">
        <f>IFERROR(__xludf.DUMMYFUNCTION("""COMPUTED_VALUE"""),"success")</f>
        <v>success</v>
      </c>
    </row>
    <row r="31">
      <c r="A31" s="110" t="str">
        <f t="shared" si="1"/>
        <v>www.tsip.ai/claim/1c8f6062-9e4e-4485-9f8c-7107b036222c</v>
      </c>
      <c r="B31" s="43" t="str">
        <f>IFERROR(__xludf.DUMMYFUNCTION("""COMPUTED_VALUE"""),"1c8f6062-9e4e-4485-9f8c-7107b036222c")</f>
        <v>1c8f6062-9e4e-4485-9f8c-7107b036222c</v>
      </c>
      <c r="C31" s="43" t="str">
        <f>IFERROR(__xludf.DUMMYFUNCTION("""COMPUTED_VALUE"""),"sheets-training")</f>
        <v>sheets-training</v>
      </c>
      <c r="D31" s="43">
        <f>IFERROR(__xludf.DUMMYFUNCTION("""COMPUTED_VALUE"""),3.0)</f>
        <v>3</v>
      </c>
      <c r="E31" s="43" t="str">
        <f>IFERROR(__xludf.DUMMYFUNCTION("""COMPUTED_VALUE"""),"training_review")</f>
        <v>training_review</v>
      </c>
      <c r="F31" s="43" t="str">
        <f>IFERROR(__xludf.DUMMYFUNCTION("""COMPUTED_VALUE"""),"cb09ba27-c93f-488d-a521-1acfca174929")</f>
        <v>cb09ba27-c93f-488d-a521-1acfca174929</v>
      </c>
      <c r="G31" s="43" t="str">
        <f>IFERROR(__xludf.DUMMYFUNCTION("""COMPUTED_VALUE"""),"NULL")</f>
        <v>NULL</v>
      </c>
      <c r="H31" s="43" t="str">
        <f>IFERROR(__xludf.DUMMYFUNCTION("""COMPUTED_VALUE"""),"""2026-05-20T22:38:16.156Z""")</f>
        <v>"2026-05-20T22:38:16.156Z"</v>
      </c>
      <c r="I31" s="43" t="str">
        <f>IFERROR(__xludf.DUMMYFUNCTION("""COMPUTED_VALUE"""),"NULL")</f>
        <v>NULL</v>
      </c>
      <c r="J31" s="43" t="str">
        <f>IFERROR(__xludf.DUMMYFUNCTION("""COMPUTED_VALUE"""),"""2026-05-20T22:59:43.420Z""")</f>
        <v>"2026-05-20T22:59:43.420Z"</v>
      </c>
      <c r="K31" s="43" t="str">
        <f>IFERROR(__xludf.DUMMYFUNCTION("""COMPUTED_VALUE"""),"""2026-05-20T22:35:21.497Z""")</f>
        <v>"2026-05-20T22:35:21.497Z"</v>
      </c>
      <c r="L31" s="43" t="str">
        <f>IFERROR(__xludf.DUMMYFUNCTION("""COMPUTED_VALUE"""),"""2026-05-20T22:59:43.420Z""")</f>
        <v>"2026-05-20T22:59:43.420Z"</v>
      </c>
      <c r="M31" s="43" t="str">
        <f>IFERROR(__xludf.DUMMYFUNCTION("""COMPUTED_VALUE"""),"e7175f74-f5c9-41f7-9c77-dc3be8341fbf")</f>
        <v>e7175f74-f5c9-41f7-9c77-dc3be8341fbf</v>
      </c>
      <c r="N31" s="43" t="str">
        <f>IFERROR(__xludf.DUMMYFUNCTION("""COMPUTED_VALUE"""),"cacf4da3-cd8d-402b-a1e9-f3ad3e7f11bf")</f>
        <v>cacf4da3-cd8d-402b-a1e9-f3ad3e7f11bf</v>
      </c>
      <c r="O31" s="43" t="str">
        <f>IFERROR(__xludf.DUMMYFUNCTION("""COMPUTED_VALUE"""),"{}")</f>
        <v>{}</v>
      </c>
      <c r="P31" s="43" t="str">
        <f>IFERROR(__xludf.DUMMYFUNCTION("""COMPUTED_VALUE"""),"training_review")</f>
        <v>training_review</v>
      </c>
      <c r="Q31" s="43" t="str">
        <f>IFERROR(__xludf.DUMMYFUNCTION("""COMPUTED_VALUE"""),"sheets-training")</f>
        <v>sheets-training</v>
      </c>
      <c r="R3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1" s="43" t="str">
        <f>IFERROR(__xludf.DUMMYFUNCTION("""COMPUTED_VALUE"""),"train yourself!")</f>
        <v>train yourself!</v>
      </c>
      <c r="V31" s="110" t="str">
        <f>IFERROR(__xludf.DUMMYFUNCTION("""COMPUTED_VALUE"""),"https://tsipprd.blob.core.windows.net/tsip-files/imports/cb09ba27-c93f-488d-a521-1acfca174929/1779316481981_input.xlsx?sv=2026-02-06&amp;se=2026-05-23T06%3A30%3A01Z&amp;sr=b&amp;sp=r&amp;sig=s0Xe6%2Fhih90fnKOVpcMtRtgnX5mfflgJw78jbBqx2B0%3D")</f>
        <v>https://tsipprd.blob.core.windows.net/tsip-files/imports/cb09ba27-c93f-488d-a521-1acfca174929/1779316481981_input.xlsx?sv=2026-02-06&amp;se=2026-05-23T06%3A30%3A01Z&amp;sr=b&amp;sp=r&amp;sig=s0Xe6%2Fhih90fnKOVpcMtRtgnX5mfflgJw78jbBqx2B0%3D</v>
      </c>
      <c r="W31" s="110" t="str">
        <f>IFERROR(__xludf.DUMMYFUNCTION("""COMPUTED_VALUE"""),"https://tsipprd.blob.core.windows.net/tsip-files/imports/cb09ba27-c93f-488d-a521-1acfca174929/1779316482562_output.xlsx?sv=2026-02-06&amp;se=2026-05-23T06%3A30%3A01Z&amp;sr=b&amp;sp=r&amp;sig=4Na5uIW93NNwekFEkJBXj8Tbxk0oikLrMCvpptnDV4s%3D")</f>
        <v>https://tsipprd.blob.core.windows.net/tsip-files/imports/cb09ba27-c93f-488d-a521-1acfca174929/1779316482562_output.xlsx?sv=2026-02-06&amp;se=2026-05-23T06%3A30%3A01Z&amp;sr=b&amp;sp=r&amp;sig=4Na5uIW93NNwekFEkJBXj8Tbxk0oikLrMCvpptnDV4s%3D</v>
      </c>
      <c r="X31" s="43" t="str">
        <f>IFERROR(__xludf.DUMMYFUNCTION("""COMPUTED_VALUE"""),"success")</f>
        <v>success</v>
      </c>
      <c r="Y31" s="43">
        <f>IFERROR(__xludf.DUMMYFUNCTION("""COMPUTED_VALUE"""),2.0)</f>
        <v>2</v>
      </c>
      <c r="Z3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1" s="43" t="str">
        <f>IFERROR(__xludf.DUMMYFUNCTION("""COMPUTED_VALUE"""),"success")</f>
        <v>success</v>
      </c>
    </row>
    <row r="32">
      <c r="A32" s="110" t="str">
        <f t="shared" si="1"/>
        <v>www.tsip.ai/claim/1c8f6062-9e4e-4485-9f8c-7107b036222c</v>
      </c>
      <c r="B32" s="43" t="str">
        <f>IFERROR(__xludf.DUMMYFUNCTION("""COMPUTED_VALUE"""),"1c8f6062-9e4e-4485-9f8c-7107b036222c")</f>
        <v>1c8f6062-9e4e-4485-9f8c-7107b036222c</v>
      </c>
      <c r="C32" s="43" t="str">
        <f>IFERROR(__xludf.DUMMYFUNCTION("""COMPUTED_VALUE"""),"sheets-training")</f>
        <v>sheets-training</v>
      </c>
      <c r="D32" s="43">
        <f>IFERROR(__xludf.DUMMYFUNCTION("""COMPUTED_VALUE"""),3.0)</f>
        <v>3</v>
      </c>
      <c r="E32" s="43" t="str">
        <f>IFERROR(__xludf.DUMMYFUNCTION("""COMPUTED_VALUE"""),"training_review")</f>
        <v>training_review</v>
      </c>
      <c r="F32" s="43" t="str">
        <f>IFERROR(__xludf.DUMMYFUNCTION("""COMPUTED_VALUE"""),"cb09ba27-c93f-488d-a521-1acfca174929")</f>
        <v>cb09ba27-c93f-488d-a521-1acfca174929</v>
      </c>
      <c r="G32" s="43" t="str">
        <f>IFERROR(__xludf.DUMMYFUNCTION("""COMPUTED_VALUE"""),"NULL")</f>
        <v>NULL</v>
      </c>
      <c r="H32" s="43" t="str">
        <f>IFERROR(__xludf.DUMMYFUNCTION("""COMPUTED_VALUE"""),"""2026-05-20T22:38:16.156Z""")</f>
        <v>"2026-05-20T22:38:16.156Z"</v>
      </c>
      <c r="I32" s="43" t="str">
        <f>IFERROR(__xludf.DUMMYFUNCTION("""COMPUTED_VALUE"""),"NULL")</f>
        <v>NULL</v>
      </c>
      <c r="J32" s="43" t="str">
        <f>IFERROR(__xludf.DUMMYFUNCTION("""COMPUTED_VALUE"""),"""2026-05-20T22:59:43.420Z""")</f>
        <v>"2026-05-20T22:59:43.420Z"</v>
      </c>
      <c r="K32" s="43" t="str">
        <f>IFERROR(__xludf.DUMMYFUNCTION("""COMPUTED_VALUE"""),"""2026-05-20T22:35:21.497Z""")</f>
        <v>"2026-05-20T22:35:21.497Z"</v>
      </c>
      <c r="L32" s="43" t="str">
        <f>IFERROR(__xludf.DUMMYFUNCTION("""COMPUTED_VALUE"""),"""2026-05-20T22:59:43.420Z""")</f>
        <v>"2026-05-20T22:59:43.420Z"</v>
      </c>
      <c r="M32" s="43" t="str">
        <f>IFERROR(__xludf.DUMMYFUNCTION("""COMPUTED_VALUE"""),"e7175f74-f5c9-41f7-9c77-dc3be8341fbf")</f>
        <v>e7175f74-f5c9-41f7-9c77-dc3be8341fbf</v>
      </c>
      <c r="N32" s="43" t="str">
        <f>IFERROR(__xludf.DUMMYFUNCTION("""COMPUTED_VALUE"""),"cacf4da3-cd8d-402b-a1e9-f3ad3e7f11bf")</f>
        <v>cacf4da3-cd8d-402b-a1e9-f3ad3e7f11bf</v>
      </c>
      <c r="O32" s="43" t="str">
        <f>IFERROR(__xludf.DUMMYFUNCTION("""COMPUTED_VALUE"""),"{}")</f>
        <v>{}</v>
      </c>
      <c r="P32" s="43" t="str">
        <f>IFERROR(__xludf.DUMMYFUNCTION("""COMPUTED_VALUE"""),"training_review")</f>
        <v>training_review</v>
      </c>
      <c r="Q32" s="43" t="str">
        <f>IFERROR(__xludf.DUMMYFUNCTION("""COMPUTED_VALUE"""),"sheets-training")</f>
        <v>sheets-training</v>
      </c>
      <c r="R32"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2"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2"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2" s="43" t="str">
        <f>IFERROR(__xludf.DUMMYFUNCTION("""COMPUTED_VALUE"""),"train yourself!")</f>
        <v>train yourself!</v>
      </c>
      <c r="V32" s="110" t="str">
        <f>IFERROR(__xludf.DUMMYFUNCTION("""COMPUTED_VALUE"""),"https://tsipprd.blob.core.windows.net/tsip-files/imports/cb09ba27-c93f-488d-a521-1acfca174929/1779316481981_input.xlsx?sv=2026-02-06&amp;se=2026-05-23T06%3A45%3A01Z&amp;sr=b&amp;sp=r&amp;sig=1vazyvfxjQHI2qDx9Yx3EmmgcXubt3zXdY81JdDc0KA%3D")</f>
        <v>https://tsipprd.blob.core.windows.net/tsip-files/imports/cb09ba27-c93f-488d-a521-1acfca174929/1779316481981_input.xlsx?sv=2026-02-06&amp;se=2026-05-23T06%3A45%3A01Z&amp;sr=b&amp;sp=r&amp;sig=1vazyvfxjQHI2qDx9Yx3EmmgcXubt3zXdY81JdDc0KA%3D</v>
      </c>
      <c r="W32" s="110" t="str">
        <f>IFERROR(__xludf.DUMMYFUNCTION("""COMPUTED_VALUE"""),"https://tsipprd.blob.core.windows.net/tsip-files/imports/cb09ba27-c93f-488d-a521-1acfca174929/1779316482562_output.xlsx?sv=2026-02-06&amp;se=2026-05-23T06%3A45%3A01Z&amp;sr=b&amp;sp=r&amp;sig=6K7ZvFI4xsSHTcjjuFrhAvmCJd92hedht3zskEGMk%2Fc%3D")</f>
        <v>https://tsipprd.blob.core.windows.net/tsip-files/imports/cb09ba27-c93f-488d-a521-1acfca174929/1779316482562_output.xlsx?sv=2026-02-06&amp;se=2026-05-23T06%3A45%3A01Z&amp;sr=b&amp;sp=r&amp;sig=6K7ZvFI4xsSHTcjjuFrhAvmCJd92hedht3zskEGMk%2Fc%3D</v>
      </c>
      <c r="X32" s="43" t="str">
        <f>IFERROR(__xludf.DUMMYFUNCTION("""COMPUTED_VALUE"""),"success")</f>
        <v>success</v>
      </c>
      <c r="Y32" s="43">
        <f>IFERROR(__xludf.DUMMYFUNCTION("""COMPUTED_VALUE"""),2.0)</f>
        <v>2</v>
      </c>
      <c r="Z32"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2" s="43" t="str">
        <f>IFERROR(__xludf.DUMMYFUNCTION("""COMPUTED_VALUE"""),"success")</f>
        <v>success</v>
      </c>
    </row>
    <row r="33">
      <c r="A33" s="110" t="str">
        <f t="shared" si="1"/>
        <v>www.tsip.ai/claim/1c8f6062-9e4e-4485-9f8c-7107b036222c</v>
      </c>
      <c r="B33" s="43" t="str">
        <f>IFERROR(__xludf.DUMMYFUNCTION("""COMPUTED_VALUE"""),"1c8f6062-9e4e-4485-9f8c-7107b036222c")</f>
        <v>1c8f6062-9e4e-4485-9f8c-7107b036222c</v>
      </c>
      <c r="C33" s="43" t="str">
        <f>IFERROR(__xludf.DUMMYFUNCTION("""COMPUTED_VALUE"""),"sheets-training")</f>
        <v>sheets-training</v>
      </c>
      <c r="D33" s="43">
        <f>IFERROR(__xludf.DUMMYFUNCTION("""COMPUTED_VALUE"""),3.0)</f>
        <v>3</v>
      </c>
      <c r="E33" s="43" t="str">
        <f>IFERROR(__xludf.DUMMYFUNCTION("""COMPUTED_VALUE"""),"training_review")</f>
        <v>training_review</v>
      </c>
      <c r="F33" s="43" t="str">
        <f>IFERROR(__xludf.DUMMYFUNCTION("""COMPUTED_VALUE"""),"cb09ba27-c93f-488d-a521-1acfca174929")</f>
        <v>cb09ba27-c93f-488d-a521-1acfca174929</v>
      </c>
      <c r="G33" s="43" t="str">
        <f>IFERROR(__xludf.DUMMYFUNCTION("""COMPUTED_VALUE"""),"NULL")</f>
        <v>NULL</v>
      </c>
      <c r="H33" s="43" t="str">
        <f>IFERROR(__xludf.DUMMYFUNCTION("""COMPUTED_VALUE"""),"""2026-05-20T22:38:16.156Z""")</f>
        <v>"2026-05-20T22:38:16.156Z"</v>
      </c>
      <c r="I33" s="43" t="str">
        <f>IFERROR(__xludf.DUMMYFUNCTION("""COMPUTED_VALUE"""),"NULL")</f>
        <v>NULL</v>
      </c>
      <c r="J33" s="43" t="str">
        <f>IFERROR(__xludf.DUMMYFUNCTION("""COMPUTED_VALUE"""),"""2026-05-20T22:59:43.420Z""")</f>
        <v>"2026-05-20T22:59:43.420Z"</v>
      </c>
      <c r="K33" s="43" t="str">
        <f>IFERROR(__xludf.DUMMYFUNCTION("""COMPUTED_VALUE"""),"""2026-05-20T22:35:21.497Z""")</f>
        <v>"2026-05-20T22:35:21.497Z"</v>
      </c>
      <c r="L33" s="43" t="str">
        <f>IFERROR(__xludf.DUMMYFUNCTION("""COMPUTED_VALUE"""),"""2026-05-20T22:59:43.420Z""")</f>
        <v>"2026-05-20T22:59:43.420Z"</v>
      </c>
      <c r="M33" s="43" t="str">
        <f>IFERROR(__xludf.DUMMYFUNCTION("""COMPUTED_VALUE"""),"e7175f74-f5c9-41f7-9c77-dc3be8341fbf")</f>
        <v>e7175f74-f5c9-41f7-9c77-dc3be8341fbf</v>
      </c>
      <c r="N33" s="43" t="str">
        <f>IFERROR(__xludf.DUMMYFUNCTION("""COMPUTED_VALUE"""),"cacf4da3-cd8d-402b-a1e9-f3ad3e7f11bf")</f>
        <v>cacf4da3-cd8d-402b-a1e9-f3ad3e7f11bf</v>
      </c>
      <c r="O33" s="43" t="str">
        <f>IFERROR(__xludf.DUMMYFUNCTION("""COMPUTED_VALUE"""),"{}")</f>
        <v>{}</v>
      </c>
      <c r="P33" s="43" t="str">
        <f>IFERROR(__xludf.DUMMYFUNCTION("""COMPUTED_VALUE"""),"training_review")</f>
        <v>training_review</v>
      </c>
      <c r="Q33" s="43" t="str">
        <f>IFERROR(__xludf.DUMMYFUNCTION("""COMPUTED_VALUE"""),"sheets-training")</f>
        <v>sheets-training</v>
      </c>
      <c r="R3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3" s="43" t="str">
        <f>IFERROR(__xludf.DUMMYFUNCTION("""COMPUTED_VALUE"""),"train yourself!")</f>
        <v>train yourself!</v>
      </c>
      <c r="V33" s="110" t="str">
        <f>IFERROR(__xludf.DUMMYFUNCTION("""COMPUTED_VALUE"""),"https://tsipprd.blob.core.windows.net/tsip-files/imports/cb09ba27-c93f-488d-a521-1acfca174929/1779316481981_input.xlsx?sv=2026-02-06&amp;se=2026-05-23T07%3A00%3A01Z&amp;sr=b&amp;sp=r&amp;sig=nivoYysqzBZOIgrGzGRhidKGeiJcszc78ooKoOIhUe8%3D")</f>
        <v>https://tsipprd.blob.core.windows.net/tsip-files/imports/cb09ba27-c93f-488d-a521-1acfca174929/1779316481981_input.xlsx?sv=2026-02-06&amp;se=2026-05-23T07%3A00%3A01Z&amp;sr=b&amp;sp=r&amp;sig=nivoYysqzBZOIgrGzGRhidKGeiJcszc78ooKoOIhUe8%3D</v>
      </c>
      <c r="W33" s="110" t="str">
        <f>IFERROR(__xludf.DUMMYFUNCTION("""COMPUTED_VALUE"""),"https://tsipprd.blob.core.windows.net/tsip-files/imports/cb09ba27-c93f-488d-a521-1acfca174929/1779316482562_output.xlsx?sv=2026-02-06&amp;se=2026-05-23T07%3A00%3A01Z&amp;sr=b&amp;sp=r&amp;sig=Da1J%2BK3lwFBBJOqokvxl61kuMKdSRvKdTxjWdU5g7P4%3D")</f>
        <v>https://tsipprd.blob.core.windows.net/tsip-files/imports/cb09ba27-c93f-488d-a521-1acfca174929/1779316482562_output.xlsx?sv=2026-02-06&amp;se=2026-05-23T07%3A00%3A01Z&amp;sr=b&amp;sp=r&amp;sig=Da1J%2BK3lwFBBJOqokvxl61kuMKdSRvKdTxjWdU5g7P4%3D</v>
      </c>
      <c r="X33" s="43" t="str">
        <f>IFERROR(__xludf.DUMMYFUNCTION("""COMPUTED_VALUE"""),"success")</f>
        <v>success</v>
      </c>
      <c r="Y33" s="43">
        <f>IFERROR(__xludf.DUMMYFUNCTION("""COMPUTED_VALUE"""),2.0)</f>
        <v>2</v>
      </c>
      <c r="Z3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3" s="43" t="str">
        <f>IFERROR(__xludf.DUMMYFUNCTION("""COMPUTED_VALUE"""),"success")</f>
        <v>success</v>
      </c>
    </row>
    <row r="34">
      <c r="A34" s="110" t="str">
        <f t="shared" si="1"/>
        <v>www.tsip.ai/claim/1c8f6062-9e4e-4485-9f8c-7107b036222c</v>
      </c>
      <c r="B34" s="43" t="str">
        <f>IFERROR(__xludf.DUMMYFUNCTION("""COMPUTED_VALUE"""),"1c8f6062-9e4e-4485-9f8c-7107b036222c")</f>
        <v>1c8f6062-9e4e-4485-9f8c-7107b036222c</v>
      </c>
      <c r="C34" s="43" t="str">
        <f>IFERROR(__xludf.DUMMYFUNCTION("""COMPUTED_VALUE"""),"sheets-training")</f>
        <v>sheets-training</v>
      </c>
      <c r="D34" s="43">
        <f>IFERROR(__xludf.DUMMYFUNCTION("""COMPUTED_VALUE"""),3.0)</f>
        <v>3</v>
      </c>
      <c r="E34" s="43" t="str">
        <f>IFERROR(__xludf.DUMMYFUNCTION("""COMPUTED_VALUE"""),"training_review")</f>
        <v>training_review</v>
      </c>
      <c r="F34" s="43" t="str">
        <f>IFERROR(__xludf.DUMMYFUNCTION("""COMPUTED_VALUE"""),"cb09ba27-c93f-488d-a521-1acfca174929")</f>
        <v>cb09ba27-c93f-488d-a521-1acfca174929</v>
      </c>
      <c r="G34" s="43" t="str">
        <f>IFERROR(__xludf.DUMMYFUNCTION("""COMPUTED_VALUE"""),"NULL")</f>
        <v>NULL</v>
      </c>
      <c r="H34" s="43" t="str">
        <f>IFERROR(__xludf.DUMMYFUNCTION("""COMPUTED_VALUE"""),"""2026-05-20T22:38:16.156Z""")</f>
        <v>"2026-05-20T22:38:16.156Z"</v>
      </c>
      <c r="I34" s="43" t="str">
        <f>IFERROR(__xludf.DUMMYFUNCTION("""COMPUTED_VALUE"""),"NULL")</f>
        <v>NULL</v>
      </c>
      <c r="J34" s="43" t="str">
        <f>IFERROR(__xludf.DUMMYFUNCTION("""COMPUTED_VALUE"""),"""2026-05-20T22:59:43.420Z""")</f>
        <v>"2026-05-20T22:59:43.420Z"</v>
      </c>
      <c r="K34" s="43" t="str">
        <f>IFERROR(__xludf.DUMMYFUNCTION("""COMPUTED_VALUE"""),"""2026-05-20T22:35:21.497Z""")</f>
        <v>"2026-05-20T22:35:21.497Z"</v>
      </c>
      <c r="L34" s="43" t="str">
        <f>IFERROR(__xludf.DUMMYFUNCTION("""COMPUTED_VALUE"""),"""2026-05-20T22:59:43.420Z""")</f>
        <v>"2026-05-20T22:59:43.420Z"</v>
      </c>
      <c r="M34" s="43" t="str">
        <f>IFERROR(__xludf.DUMMYFUNCTION("""COMPUTED_VALUE"""),"e7175f74-f5c9-41f7-9c77-dc3be8341fbf")</f>
        <v>e7175f74-f5c9-41f7-9c77-dc3be8341fbf</v>
      </c>
      <c r="N34" s="43" t="str">
        <f>IFERROR(__xludf.DUMMYFUNCTION("""COMPUTED_VALUE"""),"cacf4da3-cd8d-402b-a1e9-f3ad3e7f11bf")</f>
        <v>cacf4da3-cd8d-402b-a1e9-f3ad3e7f11bf</v>
      </c>
      <c r="O34" s="43" t="str">
        <f>IFERROR(__xludf.DUMMYFUNCTION("""COMPUTED_VALUE"""),"{}")</f>
        <v>{}</v>
      </c>
      <c r="P34" s="43" t="str">
        <f>IFERROR(__xludf.DUMMYFUNCTION("""COMPUTED_VALUE"""),"training_review")</f>
        <v>training_review</v>
      </c>
      <c r="Q34" s="43" t="str">
        <f>IFERROR(__xludf.DUMMYFUNCTION("""COMPUTED_VALUE"""),"sheets-training")</f>
        <v>sheets-training</v>
      </c>
      <c r="R34"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4"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4"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4" s="43" t="str">
        <f>IFERROR(__xludf.DUMMYFUNCTION("""COMPUTED_VALUE"""),"train yourself!")</f>
        <v>train yourself!</v>
      </c>
      <c r="V34" s="110" t="str">
        <f>IFERROR(__xludf.DUMMYFUNCTION("""COMPUTED_VALUE"""),"https://tsipprd.blob.core.windows.net/tsip-files/imports/cb09ba27-c93f-488d-a521-1acfca174929/1779316481981_input.xlsx?sv=2026-02-06&amp;se=2026-05-23T07%3A15%3A01Z&amp;sr=b&amp;sp=r&amp;sig=FcRMk%2F8Miw65OXKxF5DV%2Fw3KP7uYynnDr1Kzz4B73Lo%3D")</f>
        <v>https://tsipprd.blob.core.windows.net/tsip-files/imports/cb09ba27-c93f-488d-a521-1acfca174929/1779316481981_input.xlsx?sv=2026-02-06&amp;se=2026-05-23T07%3A15%3A01Z&amp;sr=b&amp;sp=r&amp;sig=FcRMk%2F8Miw65OXKxF5DV%2Fw3KP7uYynnDr1Kzz4B73Lo%3D</v>
      </c>
      <c r="W34" s="110" t="str">
        <f>IFERROR(__xludf.DUMMYFUNCTION("""COMPUTED_VALUE"""),"https://tsipprd.blob.core.windows.net/tsip-files/imports/cb09ba27-c93f-488d-a521-1acfca174929/1779316482562_output.xlsx?sv=2026-02-06&amp;se=2026-05-23T07%3A15%3A01Z&amp;sr=b&amp;sp=r&amp;sig=mitBceHVTUoqcgeV8bymUkwK3APAIof%2FHo0c41%2BYlpM%3D")</f>
        <v>https://tsipprd.blob.core.windows.net/tsip-files/imports/cb09ba27-c93f-488d-a521-1acfca174929/1779316482562_output.xlsx?sv=2026-02-06&amp;se=2026-05-23T07%3A15%3A01Z&amp;sr=b&amp;sp=r&amp;sig=mitBceHVTUoqcgeV8bymUkwK3APAIof%2FHo0c41%2BYlpM%3D</v>
      </c>
      <c r="X34" s="43" t="str">
        <f>IFERROR(__xludf.DUMMYFUNCTION("""COMPUTED_VALUE"""),"success")</f>
        <v>success</v>
      </c>
      <c r="Y34" s="43">
        <f>IFERROR(__xludf.DUMMYFUNCTION("""COMPUTED_VALUE"""),2.0)</f>
        <v>2</v>
      </c>
      <c r="Z34"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4" s="43" t="str">
        <f>IFERROR(__xludf.DUMMYFUNCTION("""COMPUTED_VALUE"""),"success")</f>
        <v>success</v>
      </c>
    </row>
    <row r="35">
      <c r="A35" s="110" t="str">
        <f t="shared" si="1"/>
        <v>www.tsip.ai/claim/1c8f6062-9e4e-4485-9f8c-7107b036222c</v>
      </c>
      <c r="B35" s="43" t="str">
        <f>IFERROR(__xludf.DUMMYFUNCTION("""COMPUTED_VALUE"""),"1c8f6062-9e4e-4485-9f8c-7107b036222c")</f>
        <v>1c8f6062-9e4e-4485-9f8c-7107b036222c</v>
      </c>
      <c r="C35" s="43" t="str">
        <f>IFERROR(__xludf.DUMMYFUNCTION("""COMPUTED_VALUE"""),"sheets-training")</f>
        <v>sheets-training</v>
      </c>
      <c r="D35" s="43">
        <f>IFERROR(__xludf.DUMMYFUNCTION("""COMPUTED_VALUE"""),3.0)</f>
        <v>3</v>
      </c>
      <c r="E35" s="43" t="str">
        <f>IFERROR(__xludf.DUMMYFUNCTION("""COMPUTED_VALUE"""),"training_review")</f>
        <v>training_review</v>
      </c>
      <c r="F35" s="43" t="str">
        <f>IFERROR(__xludf.DUMMYFUNCTION("""COMPUTED_VALUE"""),"cb09ba27-c93f-488d-a521-1acfca174929")</f>
        <v>cb09ba27-c93f-488d-a521-1acfca174929</v>
      </c>
      <c r="G35" s="43" t="str">
        <f>IFERROR(__xludf.DUMMYFUNCTION("""COMPUTED_VALUE"""),"NULL")</f>
        <v>NULL</v>
      </c>
      <c r="H35" s="43" t="str">
        <f>IFERROR(__xludf.DUMMYFUNCTION("""COMPUTED_VALUE"""),"""2026-05-20T22:38:16.156Z""")</f>
        <v>"2026-05-20T22:38:16.156Z"</v>
      </c>
      <c r="I35" s="43" t="str">
        <f>IFERROR(__xludf.DUMMYFUNCTION("""COMPUTED_VALUE"""),"NULL")</f>
        <v>NULL</v>
      </c>
      <c r="J35" s="43" t="str">
        <f>IFERROR(__xludf.DUMMYFUNCTION("""COMPUTED_VALUE"""),"""2026-05-20T22:59:43.420Z""")</f>
        <v>"2026-05-20T22:59:43.420Z"</v>
      </c>
      <c r="K35" s="43" t="str">
        <f>IFERROR(__xludf.DUMMYFUNCTION("""COMPUTED_VALUE"""),"""2026-05-20T22:35:21.497Z""")</f>
        <v>"2026-05-20T22:35:21.497Z"</v>
      </c>
      <c r="L35" s="43" t="str">
        <f>IFERROR(__xludf.DUMMYFUNCTION("""COMPUTED_VALUE"""),"""2026-05-20T22:59:43.420Z""")</f>
        <v>"2026-05-20T22:59:43.420Z"</v>
      </c>
      <c r="M35" s="43" t="str">
        <f>IFERROR(__xludf.DUMMYFUNCTION("""COMPUTED_VALUE"""),"e7175f74-f5c9-41f7-9c77-dc3be8341fbf")</f>
        <v>e7175f74-f5c9-41f7-9c77-dc3be8341fbf</v>
      </c>
      <c r="N35" s="43" t="str">
        <f>IFERROR(__xludf.DUMMYFUNCTION("""COMPUTED_VALUE"""),"cacf4da3-cd8d-402b-a1e9-f3ad3e7f11bf")</f>
        <v>cacf4da3-cd8d-402b-a1e9-f3ad3e7f11bf</v>
      </c>
      <c r="O35" s="43" t="str">
        <f>IFERROR(__xludf.DUMMYFUNCTION("""COMPUTED_VALUE"""),"{}")</f>
        <v>{}</v>
      </c>
      <c r="P35" s="43" t="str">
        <f>IFERROR(__xludf.DUMMYFUNCTION("""COMPUTED_VALUE"""),"training_review")</f>
        <v>training_review</v>
      </c>
      <c r="Q35" s="43" t="str">
        <f>IFERROR(__xludf.DUMMYFUNCTION("""COMPUTED_VALUE"""),"sheets-training")</f>
        <v>sheets-training</v>
      </c>
      <c r="R3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5" s="43" t="str">
        <f>IFERROR(__xludf.DUMMYFUNCTION("""COMPUTED_VALUE"""),"train yourself!")</f>
        <v>train yourself!</v>
      </c>
      <c r="V35" s="110" t="str">
        <f>IFERROR(__xludf.DUMMYFUNCTION("""COMPUTED_VALUE"""),"https://tsipprd.blob.core.windows.net/tsip-files/imports/cb09ba27-c93f-488d-a521-1acfca174929/1779316481981_input.xlsx?sv=2026-02-06&amp;se=2026-05-23T07%3A40%3A06Z&amp;sr=b&amp;sp=r&amp;sig=Ehu1ujz0g5uDh3cxP8lajNJR1h7SiCaCmyz2ZtyvkM4%3D")</f>
        <v>https://tsipprd.blob.core.windows.net/tsip-files/imports/cb09ba27-c93f-488d-a521-1acfca174929/1779316481981_input.xlsx?sv=2026-02-06&amp;se=2026-05-23T07%3A40%3A06Z&amp;sr=b&amp;sp=r&amp;sig=Ehu1ujz0g5uDh3cxP8lajNJR1h7SiCaCmyz2ZtyvkM4%3D</v>
      </c>
      <c r="W35" s="110" t="str">
        <f>IFERROR(__xludf.DUMMYFUNCTION("""COMPUTED_VALUE"""),"https://tsipprd.blob.core.windows.net/tsip-files/imports/cb09ba27-c93f-488d-a521-1acfca174929/1779316482562_output.xlsx?sv=2026-02-06&amp;se=2026-05-23T07%3A40%3A06Z&amp;sr=b&amp;sp=r&amp;sig=laYouCZ%2B%2BdV7Qc%2BJxqW5OzyFSNAcI16kq2XMDN9qTqo%3D")</f>
        <v>https://tsipprd.blob.core.windows.net/tsip-files/imports/cb09ba27-c93f-488d-a521-1acfca174929/1779316482562_output.xlsx?sv=2026-02-06&amp;se=2026-05-23T07%3A40%3A06Z&amp;sr=b&amp;sp=r&amp;sig=laYouCZ%2B%2BdV7Qc%2BJxqW5OzyFSNAcI16kq2XMDN9qTqo%3D</v>
      </c>
      <c r="X35" s="43" t="str">
        <f>IFERROR(__xludf.DUMMYFUNCTION("""COMPUTED_VALUE"""),"success")</f>
        <v>success</v>
      </c>
      <c r="Y35" s="43">
        <f>IFERROR(__xludf.DUMMYFUNCTION("""COMPUTED_VALUE"""),2.0)</f>
        <v>2</v>
      </c>
      <c r="Z3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5" s="43" t="str">
        <f>IFERROR(__xludf.DUMMYFUNCTION("""COMPUTED_VALUE"""),"success")</f>
        <v>success</v>
      </c>
    </row>
    <row r="36">
      <c r="A36" s="110" t="str">
        <f t="shared" si="1"/>
        <v>www.tsip.ai/claim/1c8f6062-9e4e-4485-9f8c-7107b036222c</v>
      </c>
      <c r="B36" s="43" t="str">
        <f>IFERROR(__xludf.DUMMYFUNCTION("""COMPUTED_VALUE"""),"1c8f6062-9e4e-4485-9f8c-7107b036222c")</f>
        <v>1c8f6062-9e4e-4485-9f8c-7107b036222c</v>
      </c>
      <c r="C36" s="43" t="str">
        <f>IFERROR(__xludf.DUMMYFUNCTION("""COMPUTED_VALUE"""),"sheets-training")</f>
        <v>sheets-training</v>
      </c>
      <c r="D36" s="43">
        <f>IFERROR(__xludf.DUMMYFUNCTION("""COMPUTED_VALUE"""),3.0)</f>
        <v>3</v>
      </c>
      <c r="E36" s="43" t="str">
        <f>IFERROR(__xludf.DUMMYFUNCTION("""COMPUTED_VALUE"""),"training_review")</f>
        <v>training_review</v>
      </c>
      <c r="F36" s="43" t="str">
        <f>IFERROR(__xludf.DUMMYFUNCTION("""COMPUTED_VALUE"""),"cb09ba27-c93f-488d-a521-1acfca174929")</f>
        <v>cb09ba27-c93f-488d-a521-1acfca174929</v>
      </c>
      <c r="G36" s="43" t="str">
        <f>IFERROR(__xludf.DUMMYFUNCTION("""COMPUTED_VALUE"""),"NULL")</f>
        <v>NULL</v>
      </c>
      <c r="H36" s="43" t="str">
        <f>IFERROR(__xludf.DUMMYFUNCTION("""COMPUTED_VALUE"""),"""2026-05-20T22:38:16.156Z""")</f>
        <v>"2026-05-20T22:38:16.156Z"</v>
      </c>
      <c r="I36" s="43" t="str">
        <f>IFERROR(__xludf.DUMMYFUNCTION("""COMPUTED_VALUE"""),"NULL")</f>
        <v>NULL</v>
      </c>
      <c r="J36" s="43" t="str">
        <f>IFERROR(__xludf.DUMMYFUNCTION("""COMPUTED_VALUE"""),"""2026-05-20T22:59:43.420Z""")</f>
        <v>"2026-05-20T22:59:43.420Z"</v>
      </c>
      <c r="K36" s="43" t="str">
        <f>IFERROR(__xludf.DUMMYFUNCTION("""COMPUTED_VALUE"""),"""2026-05-20T22:35:21.497Z""")</f>
        <v>"2026-05-20T22:35:21.497Z"</v>
      </c>
      <c r="L36" s="43" t="str">
        <f>IFERROR(__xludf.DUMMYFUNCTION("""COMPUTED_VALUE"""),"""2026-05-20T22:59:43.420Z""")</f>
        <v>"2026-05-20T22:59:43.420Z"</v>
      </c>
      <c r="M36" s="43" t="str">
        <f>IFERROR(__xludf.DUMMYFUNCTION("""COMPUTED_VALUE"""),"e7175f74-f5c9-41f7-9c77-dc3be8341fbf")</f>
        <v>e7175f74-f5c9-41f7-9c77-dc3be8341fbf</v>
      </c>
      <c r="N36" s="43" t="str">
        <f>IFERROR(__xludf.DUMMYFUNCTION("""COMPUTED_VALUE"""),"cacf4da3-cd8d-402b-a1e9-f3ad3e7f11bf")</f>
        <v>cacf4da3-cd8d-402b-a1e9-f3ad3e7f11bf</v>
      </c>
      <c r="O36" s="43" t="str">
        <f>IFERROR(__xludf.DUMMYFUNCTION("""COMPUTED_VALUE"""),"{}")</f>
        <v>{}</v>
      </c>
      <c r="P36" s="43" t="str">
        <f>IFERROR(__xludf.DUMMYFUNCTION("""COMPUTED_VALUE"""),"training_review")</f>
        <v>training_review</v>
      </c>
      <c r="Q36" s="43" t="str">
        <f>IFERROR(__xludf.DUMMYFUNCTION("""COMPUTED_VALUE"""),"sheets-training")</f>
        <v>sheets-training</v>
      </c>
      <c r="R3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6"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6"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6" s="43" t="str">
        <f>IFERROR(__xludf.DUMMYFUNCTION("""COMPUTED_VALUE"""),"train yourself!")</f>
        <v>train yourself!</v>
      </c>
      <c r="V36" s="110" t="str">
        <f>IFERROR(__xludf.DUMMYFUNCTION("""COMPUTED_VALUE"""),"https://tsipprd.blob.core.windows.net/tsip-files/imports/cb09ba27-c93f-488d-a521-1acfca174929/1779316481981_input.xlsx?sv=2026-02-06&amp;se=2026-05-23T07%3A45%3A01Z&amp;sr=b&amp;sp=r&amp;sig=k14vzmJkn9nnqbYDhMwkDNJX%2BLOC%2BSDARr0Zz8ExWNM%3D")</f>
        <v>https://tsipprd.blob.core.windows.net/tsip-files/imports/cb09ba27-c93f-488d-a521-1acfca174929/1779316481981_input.xlsx?sv=2026-02-06&amp;se=2026-05-23T07%3A45%3A01Z&amp;sr=b&amp;sp=r&amp;sig=k14vzmJkn9nnqbYDhMwkDNJX%2BLOC%2BSDARr0Zz8ExWNM%3D</v>
      </c>
      <c r="W36" s="110" t="str">
        <f>IFERROR(__xludf.DUMMYFUNCTION("""COMPUTED_VALUE"""),"https://tsipprd.blob.core.windows.net/tsip-files/imports/cb09ba27-c93f-488d-a521-1acfca174929/1779316482562_output.xlsx?sv=2026-02-06&amp;se=2026-05-23T07%3A45%3A01Z&amp;sr=b&amp;sp=r&amp;sig=wYJqdv7Y0zg0BIYp2rv3cKyB5SSVf%2BKO4MoFJreEG3s%3D")</f>
        <v>https://tsipprd.blob.core.windows.net/tsip-files/imports/cb09ba27-c93f-488d-a521-1acfca174929/1779316482562_output.xlsx?sv=2026-02-06&amp;se=2026-05-23T07%3A45%3A01Z&amp;sr=b&amp;sp=r&amp;sig=wYJqdv7Y0zg0BIYp2rv3cKyB5SSVf%2BKO4MoFJreEG3s%3D</v>
      </c>
      <c r="X36" s="43" t="str">
        <f>IFERROR(__xludf.DUMMYFUNCTION("""COMPUTED_VALUE"""),"success")</f>
        <v>success</v>
      </c>
      <c r="Y36" s="43">
        <f>IFERROR(__xludf.DUMMYFUNCTION("""COMPUTED_VALUE"""),2.0)</f>
        <v>2</v>
      </c>
      <c r="Z36"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6" s="43" t="str">
        <f>IFERROR(__xludf.DUMMYFUNCTION("""COMPUTED_VALUE"""),"success")</f>
        <v>success</v>
      </c>
    </row>
    <row r="37">
      <c r="A37" s="110" t="str">
        <f t="shared" si="1"/>
        <v>www.tsip.ai/claim/1c8f6062-9e4e-4485-9f8c-7107b036222c</v>
      </c>
      <c r="B37" s="43" t="str">
        <f>IFERROR(__xludf.DUMMYFUNCTION("""COMPUTED_VALUE"""),"1c8f6062-9e4e-4485-9f8c-7107b036222c")</f>
        <v>1c8f6062-9e4e-4485-9f8c-7107b036222c</v>
      </c>
      <c r="C37" s="43" t="str">
        <f>IFERROR(__xludf.DUMMYFUNCTION("""COMPUTED_VALUE"""),"sheets-training")</f>
        <v>sheets-training</v>
      </c>
      <c r="D37" s="43">
        <f>IFERROR(__xludf.DUMMYFUNCTION("""COMPUTED_VALUE"""),3.0)</f>
        <v>3</v>
      </c>
      <c r="E37" s="43" t="str">
        <f>IFERROR(__xludf.DUMMYFUNCTION("""COMPUTED_VALUE"""),"training_review")</f>
        <v>training_review</v>
      </c>
      <c r="F37" s="43" t="str">
        <f>IFERROR(__xludf.DUMMYFUNCTION("""COMPUTED_VALUE"""),"cb09ba27-c93f-488d-a521-1acfca174929")</f>
        <v>cb09ba27-c93f-488d-a521-1acfca174929</v>
      </c>
      <c r="G37" s="43" t="str">
        <f>IFERROR(__xludf.DUMMYFUNCTION("""COMPUTED_VALUE"""),"NULL")</f>
        <v>NULL</v>
      </c>
      <c r="H37" s="43" t="str">
        <f>IFERROR(__xludf.DUMMYFUNCTION("""COMPUTED_VALUE"""),"""2026-05-20T22:38:16.156Z""")</f>
        <v>"2026-05-20T22:38:16.156Z"</v>
      </c>
      <c r="I37" s="43" t="str">
        <f>IFERROR(__xludf.DUMMYFUNCTION("""COMPUTED_VALUE"""),"NULL")</f>
        <v>NULL</v>
      </c>
      <c r="J37" s="43" t="str">
        <f>IFERROR(__xludf.DUMMYFUNCTION("""COMPUTED_VALUE"""),"""2026-05-20T22:59:43.420Z""")</f>
        <v>"2026-05-20T22:59:43.420Z"</v>
      </c>
      <c r="K37" s="43" t="str">
        <f>IFERROR(__xludf.DUMMYFUNCTION("""COMPUTED_VALUE"""),"""2026-05-20T22:35:21.497Z""")</f>
        <v>"2026-05-20T22:35:21.497Z"</v>
      </c>
      <c r="L37" s="43" t="str">
        <f>IFERROR(__xludf.DUMMYFUNCTION("""COMPUTED_VALUE"""),"""2026-05-20T22:59:43.420Z""")</f>
        <v>"2026-05-20T22:59:43.420Z"</v>
      </c>
      <c r="M37" s="43" t="str">
        <f>IFERROR(__xludf.DUMMYFUNCTION("""COMPUTED_VALUE"""),"e7175f74-f5c9-41f7-9c77-dc3be8341fbf")</f>
        <v>e7175f74-f5c9-41f7-9c77-dc3be8341fbf</v>
      </c>
      <c r="N37" s="43" t="str">
        <f>IFERROR(__xludf.DUMMYFUNCTION("""COMPUTED_VALUE"""),"cacf4da3-cd8d-402b-a1e9-f3ad3e7f11bf")</f>
        <v>cacf4da3-cd8d-402b-a1e9-f3ad3e7f11bf</v>
      </c>
      <c r="O37" s="43" t="str">
        <f>IFERROR(__xludf.DUMMYFUNCTION("""COMPUTED_VALUE"""),"{}")</f>
        <v>{}</v>
      </c>
      <c r="P37" s="43" t="str">
        <f>IFERROR(__xludf.DUMMYFUNCTION("""COMPUTED_VALUE"""),"training_review")</f>
        <v>training_review</v>
      </c>
      <c r="Q37" s="43" t="str">
        <f>IFERROR(__xludf.DUMMYFUNCTION("""COMPUTED_VALUE"""),"sheets-training")</f>
        <v>sheets-training</v>
      </c>
      <c r="R3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7" s="43" t="str">
        <f>IFERROR(__xludf.DUMMYFUNCTION("""COMPUTED_VALUE"""),"train yourself!")</f>
        <v>train yourself!</v>
      </c>
      <c r="V37" s="110" t="str">
        <f>IFERROR(__xludf.DUMMYFUNCTION("""COMPUTED_VALUE"""),"https://tsipprd.blob.core.windows.net/tsip-files/imports/cb09ba27-c93f-488d-a521-1acfca174929/1779316481981_input.xlsx?sv=2026-02-06&amp;se=2026-05-23T08%3A00%3A01Z&amp;sr=b&amp;sp=r&amp;sig=PCGMHidRaaAB39phwsDmRAcNPIgqNt2DhpgEFAwsrPI%3D")</f>
        <v>https://tsipprd.blob.core.windows.net/tsip-files/imports/cb09ba27-c93f-488d-a521-1acfca174929/1779316481981_input.xlsx?sv=2026-02-06&amp;se=2026-05-23T08%3A00%3A01Z&amp;sr=b&amp;sp=r&amp;sig=PCGMHidRaaAB39phwsDmRAcNPIgqNt2DhpgEFAwsrPI%3D</v>
      </c>
      <c r="W37" s="110" t="str">
        <f>IFERROR(__xludf.DUMMYFUNCTION("""COMPUTED_VALUE"""),"https://tsipprd.blob.core.windows.net/tsip-files/imports/cb09ba27-c93f-488d-a521-1acfca174929/1779316482562_output.xlsx?sv=2026-02-06&amp;se=2026-05-23T08%3A00%3A01Z&amp;sr=b&amp;sp=r&amp;sig=caYiU7hn5%2BLDhOK0Peu8TxPkU6KdIqM4D%2BGe1tpFxq4%3D")</f>
        <v>https://tsipprd.blob.core.windows.net/tsip-files/imports/cb09ba27-c93f-488d-a521-1acfca174929/1779316482562_output.xlsx?sv=2026-02-06&amp;se=2026-05-23T08%3A00%3A01Z&amp;sr=b&amp;sp=r&amp;sig=caYiU7hn5%2BLDhOK0Peu8TxPkU6KdIqM4D%2BGe1tpFxq4%3D</v>
      </c>
      <c r="X37" s="43" t="str">
        <f>IFERROR(__xludf.DUMMYFUNCTION("""COMPUTED_VALUE"""),"success")</f>
        <v>success</v>
      </c>
      <c r="Y37" s="43">
        <f>IFERROR(__xludf.DUMMYFUNCTION("""COMPUTED_VALUE"""),2.0)</f>
        <v>2</v>
      </c>
      <c r="Z3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7" s="43" t="str">
        <f>IFERROR(__xludf.DUMMYFUNCTION("""COMPUTED_VALUE"""),"success")</f>
        <v>success</v>
      </c>
    </row>
    <row r="38">
      <c r="A38" s="110" t="str">
        <f t="shared" si="1"/>
        <v>www.tsip.ai/claim/1c8f6062-9e4e-4485-9f8c-7107b036222c</v>
      </c>
      <c r="B38" s="43" t="str">
        <f>IFERROR(__xludf.DUMMYFUNCTION("""COMPUTED_VALUE"""),"1c8f6062-9e4e-4485-9f8c-7107b036222c")</f>
        <v>1c8f6062-9e4e-4485-9f8c-7107b036222c</v>
      </c>
      <c r="C38" s="43" t="str">
        <f>IFERROR(__xludf.DUMMYFUNCTION("""COMPUTED_VALUE"""),"sheets-training")</f>
        <v>sheets-training</v>
      </c>
      <c r="D38" s="43">
        <f>IFERROR(__xludf.DUMMYFUNCTION("""COMPUTED_VALUE"""),3.0)</f>
        <v>3</v>
      </c>
      <c r="E38" s="43" t="str">
        <f>IFERROR(__xludf.DUMMYFUNCTION("""COMPUTED_VALUE"""),"training_review")</f>
        <v>training_review</v>
      </c>
      <c r="F38" s="43" t="str">
        <f>IFERROR(__xludf.DUMMYFUNCTION("""COMPUTED_VALUE"""),"cb09ba27-c93f-488d-a521-1acfca174929")</f>
        <v>cb09ba27-c93f-488d-a521-1acfca174929</v>
      </c>
      <c r="G38" s="43" t="str">
        <f>IFERROR(__xludf.DUMMYFUNCTION("""COMPUTED_VALUE"""),"NULL")</f>
        <v>NULL</v>
      </c>
      <c r="H38" s="43" t="str">
        <f>IFERROR(__xludf.DUMMYFUNCTION("""COMPUTED_VALUE"""),"""2026-05-20T22:38:16.156Z""")</f>
        <v>"2026-05-20T22:38:16.156Z"</v>
      </c>
      <c r="I38" s="43" t="str">
        <f>IFERROR(__xludf.DUMMYFUNCTION("""COMPUTED_VALUE"""),"NULL")</f>
        <v>NULL</v>
      </c>
      <c r="J38" s="43" t="str">
        <f>IFERROR(__xludf.DUMMYFUNCTION("""COMPUTED_VALUE"""),"""2026-05-20T22:59:43.420Z""")</f>
        <v>"2026-05-20T22:59:43.420Z"</v>
      </c>
      <c r="K38" s="43" t="str">
        <f>IFERROR(__xludf.DUMMYFUNCTION("""COMPUTED_VALUE"""),"""2026-05-20T22:35:21.497Z""")</f>
        <v>"2026-05-20T22:35:21.497Z"</v>
      </c>
      <c r="L38" s="43" t="str">
        <f>IFERROR(__xludf.DUMMYFUNCTION("""COMPUTED_VALUE"""),"""2026-05-20T22:59:43.420Z""")</f>
        <v>"2026-05-20T22:59:43.420Z"</v>
      </c>
      <c r="M38" s="43" t="str">
        <f>IFERROR(__xludf.DUMMYFUNCTION("""COMPUTED_VALUE"""),"e7175f74-f5c9-41f7-9c77-dc3be8341fbf")</f>
        <v>e7175f74-f5c9-41f7-9c77-dc3be8341fbf</v>
      </c>
      <c r="N38" s="43" t="str">
        <f>IFERROR(__xludf.DUMMYFUNCTION("""COMPUTED_VALUE"""),"cacf4da3-cd8d-402b-a1e9-f3ad3e7f11bf")</f>
        <v>cacf4da3-cd8d-402b-a1e9-f3ad3e7f11bf</v>
      </c>
      <c r="O38" s="43" t="str">
        <f>IFERROR(__xludf.DUMMYFUNCTION("""COMPUTED_VALUE"""),"{}")</f>
        <v>{}</v>
      </c>
      <c r="P38" s="43" t="str">
        <f>IFERROR(__xludf.DUMMYFUNCTION("""COMPUTED_VALUE"""),"training_review")</f>
        <v>training_review</v>
      </c>
      <c r="Q38" s="43" t="str">
        <f>IFERROR(__xludf.DUMMYFUNCTION("""COMPUTED_VALUE"""),"sheets-training")</f>
        <v>sheets-training</v>
      </c>
      <c r="R38"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8"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8"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8" s="43" t="str">
        <f>IFERROR(__xludf.DUMMYFUNCTION("""COMPUTED_VALUE"""),"train yourself!")</f>
        <v>train yourself!</v>
      </c>
      <c r="V38" s="110" t="str">
        <f>IFERROR(__xludf.DUMMYFUNCTION("""COMPUTED_VALUE"""),"https://tsipprd.blob.core.windows.net/tsip-files/imports/cb09ba27-c93f-488d-a521-1acfca174929/1779316481981_input.xlsx?sv=2026-02-06&amp;se=2026-05-23T08%3A15%3A01Z&amp;sr=b&amp;sp=r&amp;sig=n2Bpwt2GjwAs1uy8ploZHxpTH2%2F03XL%2FMFImPIdxYaI%3D")</f>
        <v>https://tsipprd.blob.core.windows.net/tsip-files/imports/cb09ba27-c93f-488d-a521-1acfca174929/1779316481981_input.xlsx?sv=2026-02-06&amp;se=2026-05-23T08%3A15%3A01Z&amp;sr=b&amp;sp=r&amp;sig=n2Bpwt2GjwAs1uy8ploZHxpTH2%2F03XL%2FMFImPIdxYaI%3D</v>
      </c>
      <c r="W38" s="110" t="str">
        <f>IFERROR(__xludf.DUMMYFUNCTION("""COMPUTED_VALUE"""),"https://tsipprd.blob.core.windows.net/tsip-files/imports/cb09ba27-c93f-488d-a521-1acfca174929/1779316482562_output.xlsx?sv=2026-02-06&amp;se=2026-05-23T08%3A15%3A01Z&amp;sr=b&amp;sp=r&amp;sig=dkg3prqs12G%2FyOEfEKnrbd7PRfLMsMWXQz8U9tyrZxE%3D")</f>
        <v>https://tsipprd.blob.core.windows.net/tsip-files/imports/cb09ba27-c93f-488d-a521-1acfca174929/1779316482562_output.xlsx?sv=2026-02-06&amp;se=2026-05-23T08%3A15%3A01Z&amp;sr=b&amp;sp=r&amp;sig=dkg3prqs12G%2FyOEfEKnrbd7PRfLMsMWXQz8U9tyrZxE%3D</v>
      </c>
      <c r="X38" s="43" t="str">
        <f>IFERROR(__xludf.DUMMYFUNCTION("""COMPUTED_VALUE"""),"success")</f>
        <v>success</v>
      </c>
      <c r="Y38" s="43">
        <f>IFERROR(__xludf.DUMMYFUNCTION("""COMPUTED_VALUE"""),2.0)</f>
        <v>2</v>
      </c>
      <c r="Z38"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8" s="43" t="str">
        <f>IFERROR(__xludf.DUMMYFUNCTION("""COMPUTED_VALUE"""),"success")</f>
        <v>success</v>
      </c>
    </row>
    <row r="39">
      <c r="A39" s="110" t="str">
        <f t="shared" si="1"/>
        <v>www.tsip.ai/claim/1c8f6062-9e4e-4485-9f8c-7107b036222c</v>
      </c>
      <c r="B39" s="43" t="str">
        <f>IFERROR(__xludf.DUMMYFUNCTION("""COMPUTED_VALUE"""),"1c8f6062-9e4e-4485-9f8c-7107b036222c")</f>
        <v>1c8f6062-9e4e-4485-9f8c-7107b036222c</v>
      </c>
      <c r="C39" s="43" t="str">
        <f>IFERROR(__xludf.DUMMYFUNCTION("""COMPUTED_VALUE"""),"sheets-training")</f>
        <v>sheets-training</v>
      </c>
      <c r="D39" s="43">
        <f>IFERROR(__xludf.DUMMYFUNCTION("""COMPUTED_VALUE"""),3.0)</f>
        <v>3</v>
      </c>
      <c r="E39" s="43" t="str">
        <f>IFERROR(__xludf.DUMMYFUNCTION("""COMPUTED_VALUE"""),"training_review")</f>
        <v>training_review</v>
      </c>
      <c r="F39" s="43" t="str">
        <f>IFERROR(__xludf.DUMMYFUNCTION("""COMPUTED_VALUE"""),"cb09ba27-c93f-488d-a521-1acfca174929")</f>
        <v>cb09ba27-c93f-488d-a521-1acfca174929</v>
      </c>
      <c r="G39" s="43" t="str">
        <f>IFERROR(__xludf.DUMMYFUNCTION("""COMPUTED_VALUE"""),"NULL")</f>
        <v>NULL</v>
      </c>
      <c r="H39" s="43" t="str">
        <f>IFERROR(__xludf.DUMMYFUNCTION("""COMPUTED_VALUE"""),"""2026-05-20T22:38:16.156Z""")</f>
        <v>"2026-05-20T22:38:16.156Z"</v>
      </c>
      <c r="I39" s="43" t="str">
        <f>IFERROR(__xludf.DUMMYFUNCTION("""COMPUTED_VALUE"""),"NULL")</f>
        <v>NULL</v>
      </c>
      <c r="J39" s="43" t="str">
        <f>IFERROR(__xludf.DUMMYFUNCTION("""COMPUTED_VALUE"""),"""2026-05-20T22:59:43.420Z""")</f>
        <v>"2026-05-20T22:59:43.420Z"</v>
      </c>
      <c r="K39" s="43" t="str">
        <f>IFERROR(__xludf.DUMMYFUNCTION("""COMPUTED_VALUE"""),"""2026-05-20T22:35:21.497Z""")</f>
        <v>"2026-05-20T22:35:21.497Z"</v>
      </c>
      <c r="L39" s="43" t="str">
        <f>IFERROR(__xludf.DUMMYFUNCTION("""COMPUTED_VALUE"""),"""2026-05-20T22:59:43.420Z""")</f>
        <v>"2026-05-20T22:59:43.420Z"</v>
      </c>
      <c r="M39" s="43" t="str">
        <f>IFERROR(__xludf.DUMMYFUNCTION("""COMPUTED_VALUE"""),"e7175f74-f5c9-41f7-9c77-dc3be8341fbf")</f>
        <v>e7175f74-f5c9-41f7-9c77-dc3be8341fbf</v>
      </c>
      <c r="N39" s="43" t="str">
        <f>IFERROR(__xludf.DUMMYFUNCTION("""COMPUTED_VALUE"""),"cacf4da3-cd8d-402b-a1e9-f3ad3e7f11bf")</f>
        <v>cacf4da3-cd8d-402b-a1e9-f3ad3e7f11bf</v>
      </c>
      <c r="O39" s="43" t="str">
        <f>IFERROR(__xludf.DUMMYFUNCTION("""COMPUTED_VALUE"""),"{}")</f>
        <v>{}</v>
      </c>
      <c r="P39" s="43" t="str">
        <f>IFERROR(__xludf.DUMMYFUNCTION("""COMPUTED_VALUE"""),"training_review")</f>
        <v>training_review</v>
      </c>
      <c r="Q39" s="43" t="str">
        <f>IFERROR(__xludf.DUMMYFUNCTION("""COMPUTED_VALUE"""),"sheets-training")</f>
        <v>sheets-training</v>
      </c>
      <c r="R3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3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3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39" s="43" t="str">
        <f>IFERROR(__xludf.DUMMYFUNCTION("""COMPUTED_VALUE"""),"train yourself!")</f>
        <v>train yourself!</v>
      </c>
      <c r="V39" s="110" t="str">
        <f>IFERROR(__xludf.DUMMYFUNCTION("""COMPUTED_VALUE"""),"https://tsipprd.blob.core.windows.net/tsip-files/imports/cb09ba27-c93f-488d-a521-1acfca174929/1779316481981_input.xlsx?sv=2026-02-06&amp;se=2026-05-23T08%3A30%3A01Z&amp;sr=b&amp;sp=r&amp;sig=XXxZ9z5oW5wYuDh%2FFzVzotPub2YO7sigdyo5%2FdUZ%2BNQ%3D")</f>
        <v>https://tsipprd.blob.core.windows.net/tsip-files/imports/cb09ba27-c93f-488d-a521-1acfca174929/1779316481981_input.xlsx?sv=2026-02-06&amp;se=2026-05-23T08%3A30%3A01Z&amp;sr=b&amp;sp=r&amp;sig=XXxZ9z5oW5wYuDh%2FFzVzotPub2YO7sigdyo5%2FdUZ%2BNQ%3D</v>
      </c>
      <c r="W39" s="110" t="str">
        <f>IFERROR(__xludf.DUMMYFUNCTION("""COMPUTED_VALUE"""),"https://tsipprd.blob.core.windows.net/tsip-files/imports/cb09ba27-c93f-488d-a521-1acfca174929/1779316482562_output.xlsx?sv=2026-02-06&amp;se=2026-05-23T08%3A30%3A01Z&amp;sr=b&amp;sp=r&amp;sig=39fwkRUWX80mqDo3R2fguWlWJMtCjmPaIHKS9JwkusA%3D")</f>
        <v>https://tsipprd.blob.core.windows.net/tsip-files/imports/cb09ba27-c93f-488d-a521-1acfca174929/1779316482562_output.xlsx?sv=2026-02-06&amp;se=2026-05-23T08%3A30%3A01Z&amp;sr=b&amp;sp=r&amp;sig=39fwkRUWX80mqDo3R2fguWlWJMtCjmPaIHKS9JwkusA%3D</v>
      </c>
      <c r="X39" s="43" t="str">
        <f>IFERROR(__xludf.DUMMYFUNCTION("""COMPUTED_VALUE"""),"success")</f>
        <v>success</v>
      </c>
      <c r="Y39" s="43">
        <f>IFERROR(__xludf.DUMMYFUNCTION("""COMPUTED_VALUE"""),2.0)</f>
        <v>2</v>
      </c>
      <c r="Z3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39" s="43" t="str">
        <f>IFERROR(__xludf.DUMMYFUNCTION("""COMPUTED_VALUE"""),"success")</f>
        <v>success</v>
      </c>
    </row>
    <row r="40">
      <c r="A40" s="110" t="str">
        <f t="shared" si="1"/>
        <v>www.tsip.ai/claim/1c8f6062-9e4e-4485-9f8c-7107b036222c</v>
      </c>
      <c r="B40" s="43" t="str">
        <f>IFERROR(__xludf.DUMMYFUNCTION("""COMPUTED_VALUE"""),"1c8f6062-9e4e-4485-9f8c-7107b036222c")</f>
        <v>1c8f6062-9e4e-4485-9f8c-7107b036222c</v>
      </c>
      <c r="C40" s="43" t="str">
        <f>IFERROR(__xludf.DUMMYFUNCTION("""COMPUTED_VALUE"""),"sheets-training")</f>
        <v>sheets-training</v>
      </c>
      <c r="D40" s="43">
        <f>IFERROR(__xludf.DUMMYFUNCTION("""COMPUTED_VALUE"""),3.0)</f>
        <v>3</v>
      </c>
      <c r="E40" s="43" t="str">
        <f>IFERROR(__xludf.DUMMYFUNCTION("""COMPUTED_VALUE"""),"training_review")</f>
        <v>training_review</v>
      </c>
      <c r="F40" s="43" t="str">
        <f>IFERROR(__xludf.DUMMYFUNCTION("""COMPUTED_VALUE"""),"cb09ba27-c93f-488d-a521-1acfca174929")</f>
        <v>cb09ba27-c93f-488d-a521-1acfca174929</v>
      </c>
      <c r="G40" s="43" t="str">
        <f>IFERROR(__xludf.DUMMYFUNCTION("""COMPUTED_VALUE"""),"NULL")</f>
        <v>NULL</v>
      </c>
      <c r="H40" s="43" t="str">
        <f>IFERROR(__xludf.DUMMYFUNCTION("""COMPUTED_VALUE"""),"""2026-05-20T22:38:16.156Z""")</f>
        <v>"2026-05-20T22:38:16.156Z"</v>
      </c>
      <c r="I40" s="43" t="str">
        <f>IFERROR(__xludf.DUMMYFUNCTION("""COMPUTED_VALUE"""),"NULL")</f>
        <v>NULL</v>
      </c>
      <c r="J40" s="43" t="str">
        <f>IFERROR(__xludf.DUMMYFUNCTION("""COMPUTED_VALUE"""),"""2026-05-20T22:59:43.420Z""")</f>
        <v>"2026-05-20T22:59:43.420Z"</v>
      </c>
      <c r="K40" s="43" t="str">
        <f>IFERROR(__xludf.DUMMYFUNCTION("""COMPUTED_VALUE"""),"""2026-05-20T22:35:21.497Z""")</f>
        <v>"2026-05-20T22:35:21.497Z"</v>
      </c>
      <c r="L40" s="43" t="str">
        <f>IFERROR(__xludf.DUMMYFUNCTION("""COMPUTED_VALUE"""),"""2026-05-20T22:59:43.420Z""")</f>
        <v>"2026-05-20T22:59:43.420Z"</v>
      </c>
      <c r="M40" s="43" t="str">
        <f>IFERROR(__xludf.DUMMYFUNCTION("""COMPUTED_VALUE"""),"e7175f74-f5c9-41f7-9c77-dc3be8341fbf")</f>
        <v>e7175f74-f5c9-41f7-9c77-dc3be8341fbf</v>
      </c>
      <c r="N40" s="43" t="str">
        <f>IFERROR(__xludf.DUMMYFUNCTION("""COMPUTED_VALUE"""),"cacf4da3-cd8d-402b-a1e9-f3ad3e7f11bf")</f>
        <v>cacf4da3-cd8d-402b-a1e9-f3ad3e7f11bf</v>
      </c>
      <c r="O40" s="43" t="str">
        <f>IFERROR(__xludf.DUMMYFUNCTION("""COMPUTED_VALUE"""),"{}")</f>
        <v>{}</v>
      </c>
      <c r="P40" s="43" t="str">
        <f>IFERROR(__xludf.DUMMYFUNCTION("""COMPUTED_VALUE"""),"training_review")</f>
        <v>training_review</v>
      </c>
      <c r="Q40" s="43" t="str">
        <f>IFERROR(__xludf.DUMMYFUNCTION("""COMPUTED_VALUE"""),"sheets-training")</f>
        <v>sheets-training</v>
      </c>
      <c r="R40"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0"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0"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0" s="43" t="str">
        <f>IFERROR(__xludf.DUMMYFUNCTION("""COMPUTED_VALUE"""),"train yourself!")</f>
        <v>train yourself!</v>
      </c>
      <c r="V40" s="110" t="str">
        <f>IFERROR(__xludf.DUMMYFUNCTION("""COMPUTED_VALUE"""),"https://tsipprd.blob.core.windows.net/tsip-files/imports/cb09ba27-c93f-488d-a521-1acfca174929/1779316481981_input.xlsx?sv=2026-02-06&amp;se=2026-05-23T08%3A45%3A01Z&amp;sr=b&amp;sp=r&amp;sig=KCm8HqgEYJM0vZKo9V1kxyXRv0TV7LUHenC9%2B8pxUJU%3D")</f>
        <v>https://tsipprd.blob.core.windows.net/tsip-files/imports/cb09ba27-c93f-488d-a521-1acfca174929/1779316481981_input.xlsx?sv=2026-02-06&amp;se=2026-05-23T08%3A45%3A01Z&amp;sr=b&amp;sp=r&amp;sig=KCm8HqgEYJM0vZKo9V1kxyXRv0TV7LUHenC9%2B8pxUJU%3D</v>
      </c>
      <c r="W40" s="110" t="str">
        <f>IFERROR(__xludf.DUMMYFUNCTION("""COMPUTED_VALUE"""),"https://tsipprd.blob.core.windows.net/tsip-files/imports/cb09ba27-c93f-488d-a521-1acfca174929/1779316482562_output.xlsx?sv=2026-02-06&amp;se=2026-05-23T08%3A45%3A01Z&amp;sr=b&amp;sp=r&amp;sig=WadpaKlWu%2Bk26re0WpG5T6RwPqqm48J0jKaBJfRRI%2FE%3D")</f>
        <v>https://tsipprd.blob.core.windows.net/tsip-files/imports/cb09ba27-c93f-488d-a521-1acfca174929/1779316482562_output.xlsx?sv=2026-02-06&amp;se=2026-05-23T08%3A45%3A01Z&amp;sr=b&amp;sp=r&amp;sig=WadpaKlWu%2Bk26re0WpG5T6RwPqqm48J0jKaBJfRRI%2FE%3D</v>
      </c>
      <c r="X40" s="43" t="str">
        <f>IFERROR(__xludf.DUMMYFUNCTION("""COMPUTED_VALUE"""),"success")</f>
        <v>success</v>
      </c>
      <c r="Y40" s="43">
        <f>IFERROR(__xludf.DUMMYFUNCTION("""COMPUTED_VALUE"""),2.0)</f>
        <v>2</v>
      </c>
      <c r="Z40"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0" s="43" t="str">
        <f>IFERROR(__xludf.DUMMYFUNCTION("""COMPUTED_VALUE"""),"success")</f>
        <v>success</v>
      </c>
    </row>
    <row r="41">
      <c r="A41" s="110" t="str">
        <f t="shared" si="1"/>
        <v>www.tsip.ai/claim/1c8f6062-9e4e-4485-9f8c-7107b036222c</v>
      </c>
      <c r="B41" s="43" t="str">
        <f>IFERROR(__xludf.DUMMYFUNCTION("""COMPUTED_VALUE"""),"1c8f6062-9e4e-4485-9f8c-7107b036222c")</f>
        <v>1c8f6062-9e4e-4485-9f8c-7107b036222c</v>
      </c>
      <c r="C41" s="43" t="str">
        <f>IFERROR(__xludf.DUMMYFUNCTION("""COMPUTED_VALUE"""),"sheets-training")</f>
        <v>sheets-training</v>
      </c>
      <c r="D41" s="43">
        <f>IFERROR(__xludf.DUMMYFUNCTION("""COMPUTED_VALUE"""),3.0)</f>
        <v>3</v>
      </c>
      <c r="E41" s="43" t="str">
        <f>IFERROR(__xludf.DUMMYFUNCTION("""COMPUTED_VALUE"""),"training_review")</f>
        <v>training_review</v>
      </c>
      <c r="F41" s="43" t="str">
        <f>IFERROR(__xludf.DUMMYFUNCTION("""COMPUTED_VALUE"""),"cb09ba27-c93f-488d-a521-1acfca174929")</f>
        <v>cb09ba27-c93f-488d-a521-1acfca174929</v>
      </c>
      <c r="G41" s="43" t="str">
        <f>IFERROR(__xludf.DUMMYFUNCTION("""COMPUTED_VALUE"""),"NULL")</f>
        <v>NULL</v>
      </c>
      <c r="H41" s="43" t="str">
        <f>IFERROR(__xludf.DUMMYFUNCTION("""COMPUTED_VALUE"""),"""2026-05-20T22:38:16.156Z""")</f>
        <v>"2026-05-20T22:38:16.156Z"</v>
      </c>
      <c r="I41" s="43" t="str">
        <f>IFERROR(__xludf.DUMMYFUNCTION("""COMPUTED_VALUE"""),"NULL")</f>
        <v>NULL</v>
      </c>
      <c r="J41" s="43" t="str">
        <f>IFERROR(__xludf.DUMMYFUNCTION("""COMPUTED_VALUE"""),"""2026-05-20T22:59:43.420Z""")</f>
        <v>"2026-05-20T22:59:43.420Z"</v>
      </c>
      <c r="K41" s="43" t="str">
        <f>IFERROR(__xludf.DUMMYFUNCTION("""COMPUTED_VALUE"""),"""2026-05-20T22:35:21.497Z""")</f>
        <v>"2026-05-20T22:35:21.497Z"</v>
      </c>
      <c r="L41" s="43" t="str">
        <f>IFERROR(__xludf.DUMMYFUNCTION("""COMPUTED_VALUE"""),"""2026-05-20T22:59:43.420Z""")</f>
        <v>"2026-05-20T22:59:43.420Z"</v>
      </c>
      <c r="M41" s="43" t="str">
        <f>IFERROR(__xludf.DUMMYFUNCTION("""COMPUTED_VALUE"""),"e7175f74-f5c9-41f7-9c77-dc3be8341fbf")</f>
        <v>e7175f74-f5c9-41f7-9c77-dc3be8341fbf</v>
      </c>
      <c r="N41" s="43" t="str">
        <f>IFERROR(__xludf.DUMMYFUNCTION("""COMPUTED_VALUE"""),"cacf4da3-cd8d-402b-a1e9-f3ad3e7f11bf")</f>
        <v>cacf4da3-cd8d-402b-a1e9-f3ad3e7f11bf</v>
      </c>
      <c r="O41" s="43" t="str">
        <f>IFERROR(__xludf.DUMMYFUNCTION("""COMPUTED_VALUE"""),"{}")</f>
        <v>{}</v>
      </c>
      <c r="P41" s="43" t="str">
        <f>IFERROR(__xludf.DUMMYFUNCTION("""COMPUTED_VALUE"""),"training_review")</f>
        <v>training_review</v>
      </c>
      <c r="Q41" s="43" t="str">
        <f>IFERROR(__xludf.DUMMYFUNCTION("""COMPUTED_VALUE"""),"sheets-training")</f>
        <v>sheets-training</v>
      </c>
      <c r="R4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1" s="43" t="str">
        <f>IFERROR(__xludf.DUMMYFUNCTION("""COMPUTED_VALUE"""),"train yourself!")</f>
        <v>train yourself!</v>
      </c>
      <c r="V41" s="110" t="str">
        <f>IFERROR(__xludf.DUMMYFUNCTION("""COMPUTED_VALUE"""),"https://tsipprd.blob.core.windows.net/tsip-files/imports/cb09ba27-c93f-488d-a521-1acfca174929/1779316481981_input.xlsx?sv=2026-02-06&amp;se=2026-05-23T09%3A00%3A01Z&amp;sr=b&amp;sp=r&amp;sig=R9lUNMlOISFfIyzNG09ICHVEmO0SRt5vGEwFXcMi2bg%3D")</f>
        <v>https://tsipprd.blob.core.windows.net/tsip-files/imports/cb09ba27-c93f-488d-a521-1acfca174929/1779316481981_input.xlsx?sv=2026-02-06&amp;se=2026-05-23T09%3A00%3A01Z&amp;sr=b&amp;sp=r&amp;sig=R9lUNMlOISFfIyzNG09ICHVEmO0SRt5vGEwFXcMi2bg%3D</v>
      </c>
      <c r="W41" s="110" t="str">
        <f>IFERROR(__xludf.DUMMYFUNCTION("""COMPUTED_VALUE"""),"https://tsipprd.blob.core.windows.net/tsip-files/imports/cb09ba27-c93f-488d-a521-1acfca174929/1779316482562_output.xlsx?sv=2026-02-06&amp;se=2026-05-23T09%3A00%3A01Z&amp;sr=b&amp;sp=r&amp;sig=mJGNlHfBfzw5FflF4WMWxpHID1MY69k9c5u912uJzvg%3D")</f>
        <v>https://tsipprd.blob.core.windows.net/tsip-files/imports/cb09ba27-c93f-488d-a521-1acfca174929/1779316482562_output.xlsx?sv=2026-02-06&amp;se=2026-05-23T09%3A00%3A01Z&amp;sr=b&amp;sp=r&amp;sig=mJGNlHfBfzw5FflF4WMWxpHID1MY69k9c5u912uJzvg%3D</v>
      </c>
      <c r="X41" s="43" t="str">
        <f>IFERROR(__xludf.DUMMYFUNCTION("""COMPUTED_VALUE"""),"success")</f>
        <v>success</v>
      </c>
      <c r="Y41" s="43">
        <f>IFERROR(__xludf.DUMMYFUNCTION("""COMPUTED_VALUE"""),2.0)</f>
        <v>2</v>
      </c>
      <c r="Z4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1" s="43" t="str">
        <f>IFERROR(__xludf.DUMMYFUNCTION("""COMPUTED_VALUE"""),"success")</f>
        <v>success</v>
      </c>
    </row>
    <row r="42">
      <c r="A42" s="110" t="str">
        <f t="shared" si="1"/>
        <v>www.tsip.ai/claim/1c8f6062-9e4e-4485-9f8c-7107b036222c</v>
      </c>
      <c r="B42" s="43" t="str">
        <f>IFERROR(__xludf.DUMMYFUNCTION("""COMPUTED_VALUE"""),"1c8f6062-9e4e-4485-9f8c-7107b036222c")</f>
        <v>1c8f6062-9e4e-4485-9f8c-7107b036222c</v>
      </c>
      <c r="C42" s="43" t="str">
        <f>IFERROR(__xludf.DUMMYFUNCTION("""COMPUTED_VALUE"""),"sheets-training")</f>
        <v>sheets-training</v>
      </c>
      <c r="D42" s="43">
        <f>IFERROR(__xludf.DUMMYFUNCTION("""COMPUTED_VALUE"""),3.0)</f>
        <v>3</v>
      </c>
      <c r="E42" s="43" t="str">
        <f>IFERROR(__xludf.DUMMYFUNCTION("""COMPUTED_VALUE"""),"training_review")</f>
        <v>training_review</v>
      </c>
      <c r="F42" s="43" t="str">
        <f>IFERROR(__xludf.DUMMYFUNCTION("""COMPUTED_VALUE"""),"cb09ba27-c93f-488d-a521-1acfca174929")</f>
        <v>cb09ba27-c93f-488d-a521-1acfca174929</v>
      </c>
      <c r="G42" s="43" t="str">
        <f>IFERROR(__xludf.DUMMYFUNCTION("""COMPUTED_VALUE"""),"NULL")</f>
        <v>NULL</v>
      </c>
      <c r="H42" s="43" t="str">
        <f>IFERROR(__xludf.DUMMYFUNCTION("""COMPUTED_VALUE"""),"""2026-05-20T22:38:16.156Z""")</f>
        <v>"2026-05-20T22:38:16.156Z"</v>
      </c>
      <c r="I42" s="43" t="str">
        <f>IFERROR(__xludf.DUMMYFUNCTION("""COMPUTED_VALUE"""),"NULL")</f>
        <v>NULL</v>
      </c>
      <c r="J42" s="43" t="str">
        <f>IFERROR(__xludf.DUMMYFUNCTION("""COMPUTED_VALUE"""),"""2026-05-20T22:59:43.420Z""")</f>
        <v>"2026-05-20T22:59:43.420Z"</v>
      </c>
      <c r="K42" s="43" t="str">
        <f>IFERROR(__xludf.DUMMYFUNCTION("""COMPUTED_VALUE"""),"""2026-05-20T22:35:21.497Z""")</f>
        <v>"2026-05-20T22:35:21.497Z"</v>
      </c>
      <c r="L42" s="43" t="str">
        <f>IFERROR(__xludf.DUMMYFUNCTION("""COMPUTED_VALUE"""),"""2026-05-20T22:59:43.420Z""")</f>
        <v>"2026-05-20T22:59:43.420Z"</v>
      </c>
      <c r="M42" s="43" t="str">
        <f>IFERROR(__xludf.DUMMYFUNCTION("""COMPUTED_VALUE"""),"e7175f74-f5c9-41f7-9c77-dc3be8341fbf")</f>
        <v>e7175f74-f5c9-41f7-9c77-dc3be8341fbf</v>
      </c>
      <c r="N42" s="43" t="str">
        <f>IFERROR(__xludf.DUMMYFUNCTION("""COMPUTED_VALUE"""),"cacf4da3-cd8d-402b-a1e9-f3ad3e7f11bf")</f>
        <v>cacf4da3-cd8d-402b-a1e9-f3ad3e7f11bf</v>
      </c>
      <c r="O42" s="43" t="str">
        <f>IFERROR(__xludf.DUMMYFUNCTION("""COMPUTED_VALUE"""),"{}")</f>
        <v>{}</v>
      </c>
      <c r="P42" s="43" t="str">
        <f>IFERROR(__xludf.DUMMYFUNCTION("""COMPUTED_VALUE"""),"training_review")</f>
        <v>training_review</v>
      </c>
      <c r="Q42" s="43" t="str">
        <f>IFERROR(__xludf.DUMMYFUNCTION("""COMPUTED_VALUE"""),"sheets-training")</f>
        <v>sheets-training</v>
      </c>
      <c r="R42"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2"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2"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2" s="43" t="str">
        <f>IFERROR(__xludf.DUMMYFUNCTION("""COMPUTED_VALUE"""),"train yourself!")</f>
        <v>train yourself!</v>
      </c>
      <c r="V42" s="110" t="str">
        <f>IFERROR(__xludf.DUMMYFUNCTION("""COMPUTED_VALUE"""),"https://tsipprd.blob.core.windows.net/tsip-files/imports/cb09ba27-c93f-488d-a521-1acfca174929/1779316481981_input.xlsx?sv=2026-02-06&amp;se=2026-05-23T09%3A15%3A01Z&amp;sr=b&amp;sp=r&amp;sig=dMCNv5ZvswqpiwaKjzQcDCAn%2BUtmQmLHchPsrYnkEMU%3D")</f>
        <v>https://tsipprd.blob.core.windows.net/tsip-files/imports/cb09ba27-c93f-488d-a521-1acfca174929/1779316481981_input.xlsx?sv=2026-02-06&amp;se=2026-05-23T09%3A15%3A01Z&amp;sr=b&amp;sp=r&amp;sig=dMCNv5ZvswqpiwaKjzQcDCAn%2BUtmQmLHchPsrYnkEMU%3D</v>
      </c>
      <c r="W42" s="110" t="str">
        <f>IFERROR(__xludf.DUMMYFUNCTION("""COMPUTED_VALUE"""),"https://tsipprd.blob.core.windows.net/tsip-files/imports/cb09ba27-c93f-488d-a521-1acfca174929/1779316482562_output.xlsx?sv=2026-02-06&amp;se=2026-05-23T09%3A15%3A01Z&amp;sr=b&amp;sp=r&amp;sig=jFqCxtywGg1kWCodJmQ5gxL0q%2FBQcF%2B9yhxwPzroRC8%3D")</f>
        <v>https://tsipprd.blob.core.windows.net/tsip-files/imports/cb09ba27-c93f-488d-a521-1acfca174929/1779316482562_output.xlsx?sv=2026-02-06&amp;se=2026-05-23T09%3A15%3A01Z&amp;sr=b&amp;sp=r&amp;sig=jFqCxtywGg1kWCodJmQ5gxL0q%2FBQcF%2B9yhxwPzroRC8%3D</v>
      </c>
      <c r="X42" s="43" t="str">
        <f>IFERROR(__xludf.DUMMYFUNCTION("""COMPUTED_VALUE"""),"success")</f>
        <v>success</v>
      </c>
      <c r="Y42" s="43">
        <f>IFERROR(__xludf.DUMMYFUNCTION("""COMPUTED_VALUE"""),2.0)</f>
        <v>2</v>
      </c>
      <c r="Z42"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2" s="43" t="str">
        <f>IFERROR(__xludf.DUMMYFUNCTION("""COMPUTED_VALUE"""),"success")</f>
        <v>success</v>
      </c>
    </row>
    <row r="43">
      <c r="A43" s="110" t="str">
        <f t="shared" si="1"/>
        <v>www.tsip.ai/claim/1c8f6062-9e4e-4485-9f8c-7107b036222c</v>
      </c>
      <c r="B43" s="43" t="str">
        <f>IFERROR(__xludf.DUMMYFUNCTION("""COMPUTED_VALUE"""),"1c8f6062-9e4e-4485-9f8c-7107b036222c")</f>
        <v>1c8f6062-9e4e-4485-9f8c-7107b036222c</v>
      </c>
      <c r="C43" s="43" t="str">
        <f>IFERROR(__xludf.DUMMYFUNCTION("""COMPUTED_VALUE"""),"sheets-training")</f>
        <v>sheets-training</v>
      </c>
      <c r="D43" s="43">
        <f>IFERROR(__xludf.DUMMYFUNCTION("""COMPUTED_VALUE"""),3.0)</f>
        <v>3</v>
      </c>
      <c r="E43" s="43" t="str">
        <f>IFERROR(__xludf.DUMMYFUNCTION("""COMPUTED_VALUE"""),"training_review")</f>
        <v>training_review</v>
      </c>
      <c r="F43" s="43" t="str">
        <f>IFERROR(__xludf.DUMMYFUNCTION("""COMPUTED_VALUE"""),"cb09ba27-c93f-488d-a521-1acfca174929")</f>
        <v>cb09ba27-c93f-488d-a521-1acfca174929</v>
      </c>
      <c r="G43" s="43" t="str">
        <f>IFERROR(__xludf.DUMMYFUNCTION("""COMPUTED_VALUE"""),"NULL")</f>
        <v>NULL</v>
      </c>
      <c r="H43" s="43" t="str">
        <f>IFERROR(__xludf.DUMMYFUNCTION("""COMPUTED_VALUE"""),"""2026-05-20T22:38:16.156Z""")</f>
        <v>"2026-05-20T22:38:16.156Z"</v>
      </c>
      <c r="I43" s="43" t="str">
        <f>IFERROR(__xludf.DUMMYFUNCTION("""COMPUTED_VALUE"""),"NULL")</f>
        <v>NULL</v>
      </c>
      <c r="J43" s="43" t="str">
        <f>IFERROR(__xludf.DUMMYFUNCTION("""COMPUTED_VALUE"""),"""2026-05-20T22:59:43.420Z""")</f>
        <v>"2026-05-20T22:59:43.420Z"</v>
      </c>
      <c r="K43" s="43" t="str">
        <f>IFERROR(__xludf.DUMMYFUNCTION("""COMPUTED_VALUE"""),"""2026-05-20T22:35:21.497Z""")</f>
        <v>"2026-05-20T22:35:21.497Z"</v>
      </c>
      <c r="L43" s="43" t="str">
        <f>IFERROR(__xludf.DUMMYFUNCTION("""COMPUTED_VALUE"""),"""2026-05-20T22:59:43.420Z""")</f>
        <v>"2026-05-20T22:59:43.420Z"</v>
      </c>
      <c r="M43" s="43" t="str">
        <f>IFERROR(__xludf.DUMMYFUNCTION("""COMPUTED_VALUE"""),"e7175f74-f5c9-41f7-9c77-dc3be8341fbf")</f>
        <v>e7175f74-f5c9-41f7-9c77-dc3be8341fbf</v>
      </c>
      <c r="N43" s="43" t="str">
        <f>IFERROR(__xludf.DUMMYFUNCTION("""COMPUTED_VALUE"""),"cacf4da3-cd8d-402b-a1e9-f3ad3e7f11bf")</f>
        <v>cacf4da3-cd8d-402b-a1e9-f3ad3e7f11bf</v>
      </c>
      <c r="O43" s="43" t="str">
        <f>IFERROR(__xludf.DUMMYFUNCTION("""COMPUTED_VALUE"""),"{}")</f>
        <v>{}</v>
      </c>
      <c r="P43" s="43" t="str">
        <f>IFERROR(__xludf.DUMMYFUNCTION("""COMPUTED_VALUE"""),"training_review")</f>
        <v>training_review</v>
      </c>
      <c r="Q43" s="43" t="str">
        <f>IFERROR(__xludf.DUMMYFUNCTION("""COMPUTED_VALUE"""),"sheets-training")</f>
        <v>sheets-training</v>
      </c>
      <c r="R4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3" s="43" t="str">
        <f>IFERROR(__xludf.DUMMYFUNCTION("""COMPUTED_VALUE"""),"train yourself!")</f>
        <v>train yourself!</v>
      </c>
      <c r="V43" s="110" t="str">
        <f>IFERROR(__xludf.DUMMYFUNCTION("""COMPUTED_VALUE"""),"https://tsipprd.blob.core.windows.net/tsip-files/imports/cb09ba27-c93f-488d-a521-1acfca174929/1779316481981_input.xlsx?sv=2026-02-06&amp;se=2026-05-23T09%3A30%3A02Z&amp;sr=b&amp;sp=r&amp;sig=WQA57T%2B35c2FbviUoPtrCsTdtrAbzfWtcVlEIw6UHWI%3D")</f>
        <v>https://tsipprd.blob.core.windows.net/tsip-files/imports/cb09ba27-c93f-488d-a521-1acfca174929/1779316481981_input.xlsx?sv=2026-02-06&amp;se=2026-05-23T09%3A30%3A02Z&amp;sr=b&amp;sp=r&amp;sig=WQA57T%2B35c2FbviUoPtrCsTdtrAbzfWtcVlEIw6UHWI%3D</v>
      </c>
      <c r="W43" s="110" t="str">
        <f>IFERROR(__xludf.DUMMYFUNCTION("""COMPUTED_VALUE"""),"https://tsipprd.blob.core.windows.net/tsip-files/imports/cb09ba27-c93f-488d-a521-1acfca174929/1779316482562_output.xlsx?sv=2026-02-06&amp;se=2026-05-23T09%3A30%3A02Z&amp;sr=b&amp;sp=r&amp;sig=kjmrGA4FEVW44wGNMiyLuutNYDm4dRpwwbf42ixldW0%3D")</f>
        <v>https://tsipprd.blob.core.windows.net/tsip-files/imports/cb09ba27-c93f-488d-a521-1acfca174929/1779316482562_output.xlsx?sv=2026-02-06&amp;se=2026-05-23T09%3A30%3A02Z&amp;sr=b&amp;sp=r&amp;sig=kjmrGA4FEVW44wGNMiyLuutNYDm4dRpwwbf42ixldW0%3D</v>
      </c>
      <c r="X43" s="43" t="str">
        <f>IFERROR(__xludf.DUMMYFUNCTION("""COMPUTED_VALUE"""),"success")</f>
        <v>success</v>
      </c>
      <c r="Y43" s="43">
        <f>IFERROR(__xludf.DUMMYFUNCTION("""COMPUTED_VALUE"""),2.0)</f>
        <v>2</v>
      </c>
      <c r="Z4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3" s="43" t="str">
        <f>IFERROR(__xludf.DUMMYFUNCTION("""COMPUTED_VALUE"""),"success")</f>
        <v>success</v>
      </c>
    </row>
    <row r="44">
      <c r="A44" s="110" t="str">
        <f t="shared" si="1"/>
        <v>www.tsip.ai/claim/1c8f6062-9e4e-4485-9f8c-7107b036222c</v>
      </c>
      <c r="B44" s="43" t="str">
        <f>IFERROR(__xludf.DUMMYFUNCTION("""COMPUTED_VALUE"""),"1c8f6062-9e4e-4485-9f8c-7107b036222c")</f>
        <v>1c8f6062-9e4e-4485-9f8c-7107b036222c</v>
      </c>
      <c r="C44" s="43" t="str">
        <f>IFERROR(__xludf.DUMMYFUNCTION("""COMPUTED_VALUE"""),"sheets-training")</f>
        <v>sheets-training</v>
      </c>
      <c r="D44" s="43">
        <f>IFERROR(__xludf.DUMMYFUNCTION("""COMPUTED_VALUE"""),3.0)</f>
        <v>3</v>
      </c>
      <c r="E44" s="43" t="str">
        <f>IFERROR(__xludf.DUMMYFUNCTION("""COMPUTED_VALUE"""),"training_review")</f>
        <v>training_review</v>
      </c>
      <c r="F44" s="43" t="str">
        <f>IFERROR(__xludf.DUMMYFUNCTION("""COMPUTED_VALUE"""),"cb09ba27-c93f-488d-a521-1acfca174929")</f>
        <v>cb09ba27-c93f-488d-a521-1acfca174929</v>
      </c>
      <c r="G44" s="43" t="str">
        <f>IFERROR(__xludf.DUMMYFUNCTION("""COMPUTED_VALUE"""),"NULL")</f>
        <v>NULL</v>
      </c>
      <c r="H44" s="43" t="str">
        <f>IFERROR(__xludf.DUMMYFUNCTION("""COMPUTED_VALUE"""),"""2026-05-20T22:38:16.156Z""")</f>
        <v>"2026-05-20T22:38:16.156Z"</v>
      </c>
      <c r="I44" s="43" t="str">
        <f>IFERROR(__xludf.DUMMYFUNCTION("""COMPUTED_VALUE"""),"NULL")</f>
        <v>NULL</v>
      </c>
      <c r="J44" s="43" t="str">
        <f>IFERROR(__xludf.DUMMYFUNCTION("""COMPUTED_VALUE"""),"""2026-05-20T22:59:43.420Z""")</f>
        <v>"2026-05-20T22:59:43.420Z"</v>
      </c>
      <c r="K44" s="43" t="str">
        <f>IFERROR(__xludf.DUMMYFUNCTION("""COMPUTED_VALUE"""),"""2026-05-20T22:35:21.497Z""")</f>
        <v>"2026-05-20T22:35:21.497Z"</v>
      </c>
      <c r="L44" s="43" t="str">
        <f>IFERROR(__xludf.DUMMYFUNCTION("""COMPUTED_VALUE"""),"""2026-05-20T22:59:43.420Z""")</f>
        <v>"2026-05-20T22:59:43.420Z"</v>
      </c>
      <c r="M44" s="43" t="str">
        <f>IFERROR(__xludf.DUMMYFUNCTION("""COMPUTED_VALUE"""),"e7175f74-f5c9-41f7-9c77-dc3be8341fbf")</f>
        <v>e7175f74-f5c9-41f7-9c77-dc3be8341fbf</v>
      </c>
      <c r="N44" s="43" t="str">
        <f>IFERROR(__xludf.DUMMYFUNCTION("""COMPUTED_VALUE"""),"cacf4da3-cd8d-402b-a1e9-f3ad3e7f11bf")</f>
        <v>cacf4da3-cd8d-402b-a1e9-f3ad3e7f11bf</v>
      </c>
      <c r="O44" s="43" t="str">
        <f>IFERROR(__xludf.DUMMYFUNCTION("""COMPUTED_VALUE"""),"{}")</f>
        <v>{}</v>
      </c>
      <c r="P44" s="43" t="str">
        <f>IFERROR(__xludf.DUMMYFUNCTION("""COMPUTED_VALUE"""),"training_review")</f>
        <v>training_review</v>
      </c>
      <c r="Q44" s="43" t="str">
        <f>IFERROR(__xludf.DUMMYFUNCTION("""COMPUTED_VALUE"""),"sheets-training")</f>
        <v>sheets-training</v>
      </c>
      <c r="R44"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4"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4"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4" s="43" t="str">
        <f>IFERROR(__xludf.DUMMYFUNCTION("""COMPUTED_VALUE"""),"train yourself!")</f>
        <v>train yourself!</v>
      </c>
      <c r="V44" s="110" t="str">
        <f>IFERROR(__xludf.DUMMYFUNCTION("""COMPUTED_VALUE"""),"https://tsipprd.blob.core.windows.net/tsip-files/imports/cb09ba27-c93f-488d-a521-1acfca174929/1779316481981_input.xlsx?sv=2026-02-06&amp;se=2026-05-23T09%3A45%3A01Z&amp;sr=b&amp;sp=r&amp;sig=bVLQ139m6e7uxv85zXbRBVq0ZqV8vjAKWAn3d%2BmjXvI%3D")</f>
        <v>https://tsipprd.blob.core.windows.net/tsip-files/imports/cb09ba27-c93f-488d-a521-1acfca174929/1779316481981_input.xlsx?sv=2026-02-06&amp;se=2026-05-23T09%3A45%3A01Z&amp;sr=b&amp;sp=r&amp;sig=bVLQ139m6e7uxv85zXbRBVq0ZqV8vjAKWAn3d%2BmjXvI%3D</v>
      </c>
      <c r="W44" s="110" t="str">
        <f>IFERROR(__xludf.DUMMYFUNCTION("""COMPUTED_VALUE"""),"https://tsipprd.blob.core.windows.net/tsip-files/imports/cb09ba27-c93f-488d-a521-1acfca174929/1779316482562_output.xlsx?sv=2026-02-06&amp;se=2026-05-23T09%3A45%3A01Z&amp;sr=b&amp;sp=r&amp;sig=X2a%2FLDLy2h%2F7CaQoK%2BcyWa%2BczhW241zTP5x8YYr83WU%3D")</f>
        <v>https://tsipprd.blob.core.windows.net/tsip-files/imports/cb09ba27-c93f-488d-a521-1acfca174929/1779316482562_output.xlsx?sv=2026-02-06&amp;se=2026-05-23T09%3A45%3A01Z&amp;sr=b&amp;sp=r&amp;sig=X2a%2FLDLy2h%2F7CaQoK%2BcyWa%2BczhW241zTP5x8YYr83WU%3D</v>
      </c>
      <c r="X44" s="43" t="str">
        <f>IFERROR(__xludf.DUMMYFUNCTION("""COMPUTED_VALUE"""),"success")</f>
        <v>success</v>
      </c>
      <c r="Y44" s="43">
        <f>IFERROR(__xludf.DUMMYFUNCTION("""COMPUTED_VALUE"""),2.0)</f>
        <v>2</v>
      </c>
      <c r="Z44"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4" s="43" t="str">
        <f>IFERROR(__xludf.DUMMYFUNCTION("""COMPUTED_VALUE"""),"success")</f>
        <v>success</v>
      </c>
    </row>
    <row r="45">
      <c r="A45" s="110" t="str">
        <f t="shared" si="1"/>
        <v>www.tsip.ai/claim/1c8f6062-9e4e-4485-9f8c-7107b036222c</v>
      </c>
      <c r="B45" s="43" t="str">
        <f>IFERROR(__xludf.DUMMYFUNCTION("""COMPUTED_VALUE"""),"1c8f6062-9e4e-4485-9f8c-7107b036222c")</f>
        <v>1c8f6062-9e4e-4485-9f8c-7107b036222c</v>
      </c>
      <c r="C45" s="43" t="str">
        <f>IFERROR(__xludf.DUMMYFUNCTION("""COMPUTED_VALUE"""),"sheets-training")</f>
        <v>sheets-training</v>
      </c>
      <c r="D45" s="43">
        <f>IFERROR(__xludf.DUMMYFUNCTION("""COMPUTED_VALUE"""),3.0)</f>
        <v>3</v>
      </c>
      <c r="E45" s="43" t="str">
        <f>IFERROR(__xludf.DUMMYFUNCTION("""COMPUTED_VALUE"""),"training_review")</f>
        <v>training_review</v>
      </c>
      <c r="F45" s="43" t="str">
        <f>IFERROR(__xludf.DUMMYFUNCTION("""COMPUTED_VALUE"""),"cb09ba27-c93f-488d-a521-1acfca174929")</f>
        <v>cb09ba27-c93f-488d-a521-1acfca174929</v>
      </c>
      <c r="G45" s="43" t="str">
        <f>IFERROR(__xludf.DUMMYFUNCTION("""COMPUTED_VALUE"""),"NULL")</f>
        <v>NULL</v>
      </c>
      <c r="H45" s="43" t="str">
        <f>IFERROR(__xludf.DUMMYFUNCTION("""COMPUTED_VALUE"""),"""2026-05-20T22:38:16.156Z""")</f>
        <v>"2026-05-20T22:38:16.156Z"</v>
      </c>
      <c r="I45" s="43" t="str">
        <f>IFERROR(__xludf.DUMMYFUNCTION("""COMPUTED_VALUE"""),"NULL")</f>
        <v>NULL</v>
      </c>
      <c r="J45" s="43" t="str">
        <f>IFERROR(__xludf.DUMMYFUNCTION("""COMPUTED_VALUE"""),"""2026-05-20T22:59:43.420Z""")</f>
        <v>"2026-05-20T22:59:43.420Z"</v>
      </c>
      <c r="K45" s="43" t="str">
        <f>IFERROR(__xludf.DUMMYFUNCTION("""COMPUTED_VALUE"""),"""2026-05-20T22:35:21.497Z""")</f>
        <v>"2026-05-20T22:35:21.497Z"</v>
      </c>
      <c r="L45" s="43" t="str">
        <f>IFERROR(__xludf.DUMMYFUNCTION("""COMPUTED_VALUE"""),"""2026-05-20T22:59:43.420Z""")</f>
        <v>"2026-05-20T22:59:43.420Z"</v>
      </c>
      <c r="M45" s="43" t="str">
        <f>IFERROR(__xludf.DUMMYFUNCTION("""COMPUTED_VALUE"""),"e7175f74-f5c9-41f7-9c77-dc3be8341fbf")</f>
        <v>e7175f74-f5c9-41f7-9c77-dc3be8341fbf</v>
      </c>
      <c r="N45" s="43" t="str">
        <f>IFERROR(__xludf.DUMMYFUNCTION("""COMPUTED_VALUE"""),"cacf4da3-cd8d-402b-a1e9-f3ad3e7f11bf")</f>
        <v>cacf4da3-cd8d-402b-a1e9-f3ad3e7f11bf</v>
      </c>
      <c r="O45" s="43" t="str">
        <f>IFERROR(__xludf.DUMMYFUNCTION("""COMPUTED_VALUE"""),"{}")</f>
        <v>{}</v>
      </c>
      <c r="P45" s="43" t="str">
        <f>IFERROR(__xludf.DUMMYFUNCTION("""COMPUTED_VALUE"""),"training_review")</f>
        <v>training_review</v>
      </c>
      <c r="Q45" s="43" t="str">
        <f>IFERROR(__xludf.DUMMYFUNCTION("""COMPUTED_VALUE"""),"sheets-training")</f>
        <v>sheets-training</v>
      </c>
      <c r="R4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5" s="43" t="str">
        <f>IFERROR(__xludf.DUMMYFUNCTION("""COMPUTED_VALUE"""),"train yourself!")</f>
        <v>train yourself!</v>
      </c>
      <c r="V45" s="110" t="str">
        <f>IFERROR(__xludf.DUMMYFUNCTION("""COMPUTED_VALUE"""),"https://tsipprd.blob.core.windows.net/tsip-files/imports/cb09ba27-c93f-488d-a521-1acfca174929/1779316481981_input.xlsx?sv=2026-02-06&amp;se=2026-05-23T10%3A00%3A01Z&amp;sr=b&amp;sp=r&amp;sig=Oe5K0UAAZHJIJl%2FKhKtNVFulyQDstHMTQifbuCHwnWs%3D")</f>
        <v>https://tsipprd.blob.core.windows.net/tsip-files/imports/cb09ba27-c93f-488d-a521-1acfca174929/1779316481981_input.xlsx?sv=2026-02-06&amp;se=2026-05-23T10%3A00%3A01Z&amp;sr=b&amp;sp=r&amp;sig=Oe5K0UAAZHJIJl%2FKhKtNVFulyQDstHMTQifbuCHwnWs%3D</v>
      </c>
      <c r="W45" s="110" t="str">
        <f>IFERROR(__xludf.DUMMYFUNCTION("""COMPUTED_VALUE"""),"https://tsipprd.blob.core.windows.net/tsip-files/imports/cb09ba27-c93f-488d-a521-1acfca174929/1779316482562_output.xlsx?sv=2026-02-06&amp;se=2026-05-23T10%3A00%3A01Z&amp;sr=b&amp;sp=r&amp;sig=OfIiElLApukXfd33BP%2B9PLUqH8hXA7IUGyxd5OIyp50%3D")</f>
        <v>https://tsipprd.blob.core.windows.net/tsip-files/imports/cb09ba27-c93f-488d-a521-1acfca174929/1779316482562_output.xlsx?sv=2026-02-06&amp;se=2026-05-23T10%3A00%3A01Z&amp;sr=b&amp;sp=r&amp;sig=OfIiElLApukXfd33BP%2B9PLUqH8hXA7IUGyxd5OIyp50%3D</v>
      </c>
      <c r="X45" s="43" t="str">
        <f>IFERROR(__xludf.DUMMYFUNCTION("""COMPUTED_VALUE"""),"success")</f>
        <v>success</v>
      </c>
      <c r="Y45" s="43">
        <f>IFERROR(__xludf.DUMMYFUNCTION("""COMPUTED_VALUE"""),2.0)</f>
        <v>2</v>
      </c>
      <c r="Z4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5" s="43" t="str">
        <f>IFERROR(__xludf.DUMMYFUNCTION("""COMPUTED_VALUE"""),"success")</f>
        <v>success</v>
      </c>
    </row>
    <row r="46">
      <c r="A46" s="110" t="str">
        <f t="shared" si="1"/>
        <v>www.tsip.ai/claim/1c8f6062-9e4e-4485-9f8c-7107b036222c</v>
      </c>
      <c r="B46" s="43" t="str">
        <f>IFERROR(__xludf.DUMMYFUNCTION("""COMPUTED_VALUE"""),"1c8f6062-9e4e-4485-9f8c-7107b036222c")</f>
        <v>1c8f6062-9e4e-4485-9f8c-7107b036222c</v>
      </c>
      <c r="C46" s="43" t="str">
        <f>IFERROR(__xludf.DUMMYFUNCTION("""COMPUTED_VALUE"""),"sheets-training")</f>
        <v>sheets-training</v>
      </c>
      <c r="D46" s="43">
        <f>IFERROR(__xludf.DUMMYFUNCTION("""COMPUTED_VALUE"""),3.0)</f>
        <v>3</v>
      </c>
      <c r="E46" s="43" t="str">
        <f>IFERROR(__xludf.DUMMYFUNCTION("""COMPUTED_VALUE"""),"training_review")</f>
        <v>training_review</v>
      </c>
      <c r="F46" s="43" t="str">
        <f>IFERROR(__xludf.DUMMYFUNCTION("""COMPUTED_VALUE"""),"cb09ba27-c93f-488d-a521-1acfca174929")</f>
        <v>cb09ba27-c93f-488d-a521-1acfca174929</v>
      </c>
      <c r="G46" s="43" t="str">
        <f>IFERROR(__xludf.DUMMYFUNCTION("""COMPUTED_VALUE"""),"NULL")</f>
        <v>NULL</v>
      </c>
      <c r="H46" s="43" t="str">
        <f>IFERROR(__xludf.DUMMYFUNCTION("""COMPUTED_VALUE"""),"""2026-05-20T22:38:16.156Z""")</f>
        <v>"2026-05-20T22:38:16.156Z"</v>
      </c>
      <c r="I46" s="43" t="str">
        <f>IFERROR(__xludf.DUMMYFUNCTION("""COMPUTED_VALUE"""),"NULL")</f>
        <v>NULL</v>
      </c>
      <c r="J46" s="43" t="str">
        <f>IFERROR(__xludf.DUMMYFUNCTION("""COMPUTED_VALUE"""),"""2026-05-20T22:59:43.420Z""")</f>
        <v>"2026-05-20T22:59:43.420Z"</v>
      </c>
      <c r="K46" s="43" t="str">
        <f>IFERROR(__xludf.DUMMYFUNCTION("""COMPUTED_VALUE"""),"""2026-05-20T22:35:21.497Z""")</f>
        <v>"2026-05-20T22:35:21.497Z"</v>
      </c>
      <c r="L46" s="43" t="str">
        <f>IFERROR(__xludf.DUMMYFUNCTION("""COMPUTED_VALUE"""),"""2026-05-20T22:59:43.420Z""")</f>
        <v>"2026-05-20T22:59:43.420Z"</v>
      </c>
      <c r="M46" s="43" t="str">
        <f>IFERROR(__xludf.DUMMYFUNCTION("""COMPUTED_VALUE"""),"e7175f74-f5c9-41f7-9c77-dc3be8341fbf")</f>
        <v>e7175f74-f5c9-41f7-9c77-dc3be8341fbf</v>
      </c>
      <c r="N46" s="43" t="str">
        <f>IFERROR(__xludf.DUMMYFUNCTION("""COMPUTED_VALUE"""),"cacf4da3-cd8d-402b-a1e9-f3ad3e7f11bf")</f>
        <v>cacf4da3-cd8d-402b-a1e9-f3ad3e7f11bf</v>
      </c>
      <c r="O46" s="43" t="str">
        <f>IFERROR(__xludf.DUMMYFUNCTION("""COMPUTED_VALUE"""),"{}")</f>
        <v>{}</v>
      </c>
      <c r="P46" s="43" t="str">
        <f>IFERROR(__xludf.DUMMYFUNCTION("""COMPUTED_VALUE"""),"training_review")</f>
        <v>training_review</v>
      </c>
      <c r="Q46" s="43" t="str">
        <f>IFERROR(__xludf.DUMMYFUNCTION("""COMPUTED_VALUE"""),"sheets-training")</f>
        <v>sheets-training</v>
      </c>
      <c r="R4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6"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6"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6" s="43" t="str">
        <f>IFERROR(__xludf.DUMMYFUNCTION("""COMPUTED_VALUE"""),"train yourself!")</f>
        <v>train yourself!</v>
      </c>
      <c r="V46" s="110" t="str">
        <f>IFERROR(__xludf.DUMMYFUNCTION("""COMPUTED_VALUE"""),"https://tsipprd.blob.core.windows.net/tsip-files/imports/cb09ba27-c93f-488d-a521-1acfca174929/1779316481981_input.xlsx?sv=2026-02-06&amp;se=2026-05-23T10%3A15%3A01Z&amp;sr=b&amp;sp=r&amp;sig=szFUxXlhgxrMk7hWt9cnQZIhdddWlFF8u2IrSuoN8Dk%3D")</f>
        <v>https://tsipprd.blob.core.windows.net/tsip-files/imports/cb09ba27-c93f-488d-a521-1acfca174929/1779316481981_input.xlsx?sv=2026-02-06&amp;se=2026-05-23T10%3A15%3A01Z&amp;sr=b&amp;sp=r&amp;sig=szFUxXlhgxrMk7hWt9cnQZIhdddWlFF8u2IrSuoN8Dk%3D</v>
      </c>
      <c r="W46" s="110" t="str">
        <f>IFERROR(__xludf.DUMMYFUNCTION("""COMPUTED_VALUE"""),"https://tsipprd.blob.core.windows.net/tsip-files/imports/cb09ba27-c93f-488d-a521-1acfca174929/1779316482562_output.xlsx?sv=2026-02-06&amp;se=2026-05-23T10%3A15%3A01Z&amp;sr=b&amp;sp=r&amp;sig=Ta6jWy09KDsAwMDNGXwuHlHSzFXvVjA25FJQ35XFhds%3D")</f>
        <v>https://tsipprd.blob.core.windows.net/tsip-files/imports/cb09ba27-c93f-488d-a521-1acfca174929/1779316482562_output.xlsx?sv=2026-02-06&amp;se=2026-05-23T10%3A15%3A01Z&amp;sr=b&amp;sp=r&amp;sig=Ta6jWy09KDsAwMDNGXwuHlHSzFXvVjA25FJQ35XFhds%3D</v>
      </c>
      <c r="X46" s="43" t="str">
        <f>IFERROR(__xludf.DUMMYFUNCTION("""COMPUTED_VALUE"""),"success")</f>
        <v>success</v>
      </c>
      <c r="Y46" s="43">
        <f>IFERROR(__xludf.DUMMYFUNCTION("""COMPUTED_VALUE"""),2.0)</f>
        <v>2</v>
      </c>
      <c r="Z46"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6" s="43" t="str">
        <f>IFERROR(__xludf.DUMMYFUNCTION("""COMPUTED_VALUE"""),"success")</f>
        <v>success</v>
      </c>
    </row>
    <row r="47">
      <c r="A47" s="110" t="str">
        <f t="shared" si="1"/>
        <v>www.tsip.ai/claim/1c8f6062-9e4e-4485-9f8c-7107b036222c</v>
      </c>
      <c r="B47" s="43" t="str">
        <f>IFERROR(__xludf.DUMMYFUNCTION("""COMPUTED_VALUE"""),"1c8f6062-9e4e-4485-9f8c-7107b036222c")</f>
        <v>1c8f6062-9e4e-4485-9f8c-7107b036222c</v>
      </c>
      <c r="C47" s="43" t="str">
        <f>IFERROR(__xludf.DUMMYFUNCTION("""COMPUTED_VALUE"""),"sheets-training")</f>
        <v>sheets-training</v>
      </c>
      <c r="D47" s="43">
        <f>IFERROR(__xludf.DUMMYFUNCTION("""COMPUTED_VALUE"""),3.0)</f>
        <v>3</v>
      </c>
      <c r="E47" s="43" t="str">
        <f>IFERROR(__xludf.DUMMYFUNCTION("""COMPUTED_VALUE"""),"training_review")</f>
        <v>training_review</v>
      </c>
      <c r="F47" s="43" t="str">
        <f>IFERROR(__xludf.DUMMYFUNCTION("""COMPUTED_VALUE"""),"cb09ba27-c93f-488d-a521-1acfca174929")</f>
        <v>cb09ba27-c93f-488d-a521-1acfca174929</v>
      </c>
      <c r="G47" s="43" t="str">
        <f>IFERROR(__xludf.DUMMYFUNCTION("""COMPUTED_VALUE"""),"NULL")</f>
        <v>NULL</v>
      </c>
      <c r="H47" s="43" t="str">
        <f>IFERROR(__xludf.DUMMYFUNCTION("""COMPUTED_VALUE"""),"""2026-05-20T22:38:16.156Z""")</f>
        <v>"2026-05-20T22:38:16.156Z"</v>
      </c>
      <c r="I47" s="43" t="str">
        <f>IFERROR(__xludf.DUMMYFUNCTION("""COMPUTED_VALUE"""),"NULL")</f>
        <v>NULL</v>
      </c>
      <c r="J47" s="43" t="str">
        <f>IFERROR(__xludf.DUMMYFUNCTION("""COMPUTED_VALUE"""),"""2026-05-20T22:59:43.420Z""")</f>
        <v>"2026-05-20T22:59:43.420Z"</v>
      </c>
      <c r="K47" s="43" t="str">
        <f>IFERROR(__xludf.DUMMYFUNCTION("""COMPUTED_VALUE"""),"""2026-05-20T22:35:21.497Z""")</f>
        <v>"2026-05-20T22:35:21.497Z"</v>
      </c>
      <c r="L47" s="43" t="str">
        <f>IFERROR(__xludf.DUMMYFUNCTION("""COMPUTED_VALUE"""),"""2026-05-20T22:59:43.420Z""")</f>
        <v>"2026-05-20T22:59:43.420Z"</v>
      </c>
      <c r="M47" s="43" t="str">
        <f>IFERROR(__xludf.DUMMYFUNCTION("""COMPUTED_VALUE"""),"e7175f74-f5c9-41f7-9c77-dc3be8341fbf")</f>
        <v>e7175f74-f5c9-41f7-9c77-dc3be8341fbf</v>
      </c>
      <c r="N47" s="43" t="str">
        <f>IFERROR(__xludf.DUMMYFUNCTION("""COMPUTED_VALUE"""),"cacf4da3-cd8d-402b-a1e9-f3ad3e7f11bf")</f>
        <v>cacf4da3-cd8d-402b-a1e9-f3ad3e7f11bf</v>
      </c>
      <c r="O47" s="43" t="str">
        <f>IFERROR(__xludf.DUMMYFUNCTION("""COMPUTED_VALUE"""),"{}")</f>
        <v>{}</v>
      </c>
      <c r="P47" s="43" t="str">
        <f>IFERROR(__xludf.DUMMYFUNCTION("""COMPUTED_VALUE"""),"training_review")</f>
        <v>training_review</v>
      </c>
      <c r="Q47" s="43" t="str">
        <f>IFERROR(__xludf.DUMMYFUNCTION("""COMPUTED_VALUE"""),"sheets-training")</f>
        <v>sheets-training</v>
      </c>
      <c r="R4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7" s="43" t="str">
        <f>IFERROR(__xludf.DUMMYFUNCTION("""COMPUTED_VALUE"""),"train yourself!")</f>
        <v>train yourself!</v>
      </c>
      <c r="V47" s="110" t="str">
        <f>IFERROR(__xludf.DUMMYFUNCTION("""COMPUTED_VALUE"""),"https://tsipprd.blob.core.windows.net/tsip-files/imports/cb09ba27-c93f-488d-a521-1acfca174929/1779316481981_input.xlsx?sv=2026-02-06&amp;se=2026-05-23T10%3A30%3A02Z&amp;sr=b&amp;sp=r&amp;sig=yFqIZfy617PR55jAYmTGoN7FHuhqtE%2BD2GsSxNf6v98%3D")</f>
        <v>https://tsipprd.blob.core.windows.net/tsip-files/imports/cb09ba27-c93f-488d-a521-1acfca174929/1779316481981_input.xlsx?sv=2026-02-06&amp;se=2026-05-23T10%3A30%3A02Z&amp;sr=b&amp;sp=r&amp;sig=yFqIZfy617PR55jAYmTGoN7FHuhqtE%2BD2GsSxNf6v98%3D</v>
      </c>
      <c r="W47" s="110" t="str">
        <f>IFERROR(__xludf.DUMMYFUNCTION("""COMPUTED_VALUE"""),"https://tsipprd.blob.core.windows.net/tsip-files/imports/cb09ba27-c93f-488d-a521-1acfca174929/1779316482562_output.xlsx?sv=2026-02-06&amp;se=2026-05-23T10%3A30%3A02Z&amp;sr=b&amp;sp=r&amp;sig=1AhHs7in8DuT6jawXRa%2BydA%2BXY0KHzMCq9KQIVX1Lcs%3D")</f>
        <v>https://tsipprd.blob.core.windows.net/tsip-files/imports/cb09ba27-c93f-488d-a521-1acfca174929/1779316482562_output.xlsx?sv=2026-02-06&amp;se=2026-05-23T10%3A30%3A02Z&amp;sr=b&amp;sp=r&amp;sig=1AhHs7in8DuT6jawXRa%2BydA%2BXY0KHzMCq9KQIVX1Lcs%3D</v>
      </c>
      <c r="X47" s="43" t="str">
        <f>IFERROR(__xludf.DUMMYFUNCTION("""COMPUTED_VALUE"""),"success")</f>
        <v>success</v>
      </c>
      <c r="Y47" s="43">
        <f>IFERROR(__xludf.DUMMYFUNCTION("""COMPUTED_VALUE"""),2.0)</f>
        <v>2</v>
      </c>
      <c r="Z4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7" s="43" t="str">
        <f>IFERROR(__xludf.DUMMYFUNCTION("""COMPUTED_VALUE"""),"success")</f>
        <v>success</v>
      </c>
    </row>
    <row r="48">
      <c r="A48" s="110" t="str">
        <f t="shared" si="1"/>
        <v>www.tsip.ai/claim/1c8f6062-9e4e-4485-9f8c-7107b036222c</v>
      </c>
      <c r="B48" s="43" t="str">
        <f>IFERROR(__xludf.DUMMYFUNCTION("""COMPUTED_VALUE"""),"1c8f6062-9e4e-4485-9f8c-7107b036222c")</f>
        <v>1c8f6062-9e4e-4485-9f8c-7107b036222c</v>
      </c>
      <c r="C48" s="43" t="str">
        <f>IFERROR(__xludf.DUMMYFUNCTION("""COMPUTED_VALUE"""),"sheets-training")</f>
        <v>sheets-training</v>
      </c>
      <c r="D48" s="43">
        <f>IFERROR(__xludf.DUMMYFUNCTION("""COMPUTED_VALUE"""),3.0)</f>
        <v>3</v>
      </c>
      <c r="E48" s="43" t="str">
        <f>IFERROR(__xludf.DUMMYFUNCTION("""COMPUTED_VALUE"""),"training_review")</f>
        <v>training_review</v>
      </c>
      <c r="F48" s="43" t="str">
        <f>IFERROR(__xludf.DUMMYFUNCTION("""COMPUTED_VALUE"""),"cb09ba27-c93f-488d-a521-1acfca174929")</f>
        <v>cb09ba27-c93f-488d-a521-1acfca174929</v>
      </c>
      <c r="G48" s="43" t="str">
        <f>IFERROR(__xludf.DUMMYFUNCTION("""COMPUTED_VALUE"""),"NULL")</f>
        <v>NULL</v>
      </c>
      <c r="H48" s="43" t="str">
        <f>IFERROR(__xludf.DUMMYFUNCTION("""COMPUTED_VALUE"""),"""2026-05-20T22:38:16.156Z""")</f>
        <v>"2026-05-20T22:38:16.156Z"</v>
      </c>
      <c r="I48" s="43" t="str">
        <f>IFERROR(__xludf.DUMMYFUNCTION("""COMPUTED_VALUE"""),"NULL")</f>
        <v>NULL</v>
      </c>
      <c r="J48" s="43" t="str">
        <f>IFERROR(__xludf.DUMMYFUNCTION("""COMPUTED_VALUE"""),"""2026-05-20T22:59:43.420Z""")</f>
        <v>"2026-05-20T22:59:43.420Z"</v>
      </c>
      <c r="K48" s="43" t="str">
        <f>IFERROR(__xludf.DUMMYFUNCTION("""COMPUTED_VALUE"""),"""2026-05-20T22:35:21.497Z""")</f>
        <v>"2026-05-20T22:35:21.497Z"</v>
      </c>
      <c r="L48" s="43" t="str">
        <f>IFERROR(__xludf.DUMMYFUNCTION("""COMPUTED_VALUE"""),"""2026-05-20T22:59:43.420Z""")</f>
        <v>"2026-05-20T22:59:43.420Z"</v>
      </c>
      <c r="M48" s="43" t="str">
        <f>IFERROR(__xludf.DUMMYFUNCTION("""COMPUTED_VALUE"""),"e7175f74-f5c9-41f7-9c77-dc3be8341fbf")</f>
        <v>e7175f74-f5c9-41f7-9c77-dc3be8341fbf</v>
      </c>
      <c r="N48" s="43" t="str">
        <f>IFERROR(__xludf.DUMMYFUNCTION("""COMPUTED_VALUE"""),"cacf4da3-cd8d-402b-a1e9-f3ad3e7f11bf")</f>
        <v>cacf4da3-cd8d-402b-a1e9-f3ad3e7f11bf</v>
      </c>
      <c r="O48" s="43" t="str">
        <f>IFERROR(__xludf.DUMMYFUNCTION("""COMPUTED_VALUE"""),"{}")</f>
        <v>{}</v>
      </c>
      <c r="P48" s="43" t="str">
        <f>IFERROR(__xludf.DUMMYFUNCTION("""COMPUTED_VALUE"""),"training_review")</f>
        <v>training_review</v>
      </c>
      <c r="Q48" s="43" t="str">
        <f>IFERROR(__xludf.DUMMYFUNCTION("""COMPUTED_VALUE"""),"sheets-training")</f>
        <v>sheets-training</v>
      </c>
      <c r="R48"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8"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8"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8" s="43" t="str">
        <f>IFERROR(__xludf.DUMMYFUNCTION("""COMPUTED_VALUE"""),"train yourself!")</f>
        <v>train yourself!</v>
      </c>
      <c r="V48" s="110" t="str">
        <f>IFERROR(__xludf.DUMMYFUNCTION("""COMPUTED_VALUE"""),"https://tsipprd.blob.core.windows.net/tsip-files/imports/cb09ba27-c93f-488d-a521-1acfca174929/1779316481981_input.xlsx?sv=2026-02-06&amp;se=2026-05-23T10%3A45%3A01Z&amp;sr=b&amp;sp=r&amp;sig=Ar96TFreTVdZU0T8dYwggQTWbckK%2FZaWbBqWGYOWo%2Bg%3D")</f>
        <v>https://tsipprd.blob.core.windows.net/tsip-files/imports/cb09ba27-c93f-488d-a521-1acfca174929/1779316481981_input.xlsx?sv=2026-02-06&amp;se=2026-05-23T10%3A45%3A01Z&amp;sr=b&amp;sp=r&amp;sig=Ar96TFreTVdZU0T8dYwggQTWbckK%2FZaWbBqWGYOWo%2Bg%3D</v>
      </c>
      <c r="W48" s="110" t="str">
        <f>IFERROR(__xludf.DUMMYFUNCTION("""COMPUTED_VALUE"""),"https://tsipprd.blob.core.windows.net/tsip-files/imports/cb09ba27-c93f-488d-a521-1acfca174929/1779316482562_output.xlsx?sv=2026-02-06&amp;se=2026-05-23T10%3A45%3A01Z&amp;sr=b&amp;sp=r&amp;sig=xWGJBXr%2BM5dvN9xtA6hdXb6mWdidRSTsBM%2FcdiGc3GU%3D")</f>
        <v>https://tsipprd.blob.core.windows.net/tsip-files/imports/cb09ba27-c93f-488d-a521-1acfca174929/1779316482562_output.xlsx?sv=2026-02-06&amp;se=2026-05-23T10%3A45%3A01Z&amp;sr=b&amp;sp=r&amp;sig=xWGJBXr%2BM5dvN9xtA6hdXb6mWdidRSTsBM%2FcdiGc3GU%3D</v>
      </c>
      <c r="X48" s="43" t="str">
        <f>IFERROR(__xludf.DUMMYFUNCTION("""COMPUTED_VALUE"""),"success")</f>
        <v>success</v>
      </c>
      <c r="Y48" s="43">
        <f>IFERROR(__xludf.DUMMYFUNCTION("""COMPUTED_VALUE"""),2.0)</f>
        <v>2</v>
      </c>
      <c r="Z48"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8" s="43" t="str">
        <f>IFERROR(__xludf.DUMMYFUNCTION("""COMPUTED_VALUE"""),"success")</f>
        <v>success</v>
      </c>
    </row>
    <row r="49">
      <c r="A49" s="110" t="str">
        <f t="shared" si="1"/>
        <v>www.tsip.ai/claim/1c8f6062-9e4e-4485-9f8c-7107b036222c</v>
      </c>
      <c r="B49" s="43" t="str">
        <f>IFERROR(__xludf.DUMMYFUNCTION("""COMPUTED_VALUE"""),"1c8f6062-9e4e-4485-9f8c-7107b036222c")</f>
        <v>1c8f6062-9e4e-4485-9f8c-7107b036222c</v>
      </c>
      <c r="C49" s="43" t="str">
        <f>IFERROR(__xludf.DUMMYFUNCTION("""COMPUTED_VALUE"""),"sheets-training")</f>
        <v>sheets-training</v>
      </c>
      <c r="D49" s="43">
        <f>IFERROR(__xludf.DUMMYFUNCTION("""COMPUTED_VALUE"""),3.0)</f>
        <v>3</v>
      </c>
      <c r="E49" s="43" t="str">
        <f>IFERROR(__xludf.DUMMYFUNCTION("""COMPUTED_VALUE"""),"training_review")</f>
        <v>training_review</v>
      </c>
      <c r="F49" s="43" t="str">
        <f>IFERROR(__xludf.DUMMYFUNCTION("""COMPUTED_VALUE"""),"cb09ba27-c93f-488d-a521-1acfca174929")</f>
        <v>cb09ba27-c93f-488d-a521-1acfca174929</v>
      </c>
      <c r="G49" s="43" t="str">
        <f>IFERROR(__xludf.DUMMYFUNCTION("""COMPUTED_VALUE"""),"NULL")</f>
        <v>NULL</v>
      </c>
      <c r="H49" s="43" t="str">
        <f>IFERROR(__xludf.DUMMYFUNCTION("""COMPUTED_VALUE"""),"""2026-05-20T22:38:16.156Z""")</f>
        <v>"2026-05-20T22:38:16.156Z"</v>
      </c>
      <c r="I49" s="43" t="str">
        <f>IFERROR(__xludf.DUMMYFUNCTION("""COMPUTED_VALUE"""),"NULL")</f>
        <v>NULL</v>
      </c>
      <c r="J49" s="43" t="str">
        <f>IFERROR(__xludf.DUMMYFUNCTION("""COMPUTED_VALUE"""),"""2026-05-20T22:59:43.420Z""")</f>
        <v>"2026-05-20T22:59:43.420Z"</v>
      </c>
      <c r="K49" s="43" t="str">
        <f>IFERROR(__xludf.DUMMYFUNCTION("""COMPUTED_VALUE"""),"""2026-05-20T22:35:21.497Z""")</f>
        <v>"2026-05-20T22:35:21.497Z"</v>
      </c>
      <c r="L49" s="43" t="str">
        <f>IFERROR(__xludf.DUMMYFUNCTION("""COMPUTED_VALUE"""),"""2026-05-20T22:59:43.420Z""")</f>
        <v>"2026-05-20T22:59:43.420Z"</v>
      </c>
      <c r="M49" s="43" t="str">
        <f>IFERROR(__xludf.DUMMYFUNCTION("""COMPUTED_VALUE"""),"e7175f74-f5c9-41f7-9c77-dc3be8341fbf")</f>
        <v>e7175f74-f5c9-41f7-9c77-dc3be8341fbf</v>
      </c>
      <c r="N49" s="43" t="str">
        <f>IFERROR(__xludf.DUMMYFUNCTION("""COMPUTED_VALUE"""),"cacf4da3-cd8d-402b-a1e9-f3ad3e7f11bf")</f>
        <v>cacf4da3-cd8d-402b-a1e9-f3ad3e7f11bf</v>
      </c>
      <c r="O49" s="43" t="str">
        <f>IFERROR(__xludf.DUMMYFUNCTION("""COMPUTED_VALUE"""),"{}")</f>
        <v>{}</v>
      </c>
      <c r="P49" s="43" t="str">
        <f>IFERROR(__xludf.DUMMYFUNCTION("""COMPUTED_VALUE"""),"training_review")</f>
        <v>training_review</v>
      </c>
      <c r="Q49" s="43" t="str">
        <f>IFERROR(__xludf.DUMMYFUNCTION("""COMPUTED_VALUE"""),"sheets-training")</f>
        <v>sheets-training</v>
      </c>
      <c r="R4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4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4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49" s="43" t="str">
        <f>IFERROR(__xludf.DUMMYFUNCTION("""COMPUTED_VALUE"""),"train yourself!")</f>
        <v>train yourself!</v>
      </c>
      <c r="V49" s="110" t="str">
        <f>IFERROR(__xludf.DUMMYFUNCTION("""COMPUTED_VALUE"""),"https://tsipprd.blob.core.windows.net/tsip-files/imports/cb09ba27-c93f-488d-a521-1acfca174929/1779316481981_input.xlsx?sv=2026-02-06&amp;se=2026-05-23T11%3A00%3A03Z&amp;sr=b&amp;sp=r&amp;sig=zY12Td5%2Fct8vPgFjlsADWkHy2Ftyo4HsC0FZ2R0L%2F1w%3D")</f>
        <v>https://tsipprd.blob.core.windows.net/tsip-files/imports/cb09ba27-c93f-488d-a521-1acfca174929/1779316481981_input.xlsx?sv=2026-02-06&amp;se=2026-05-23T11%3A00%3A03Z&amp;sr=b&amp;sp=r&amp;sig=zY12Td5%2Fct8vPgFjlsADWkHy2Ftyo4HsC0FZ2R0L%2F1w%3D</v>
      </c>
      <c r="W49" s="110" t="str">
        <f>IFERROR(__xludf.DUMMYFUNCTION("""COMPUTED_VALUE"""),"https://tsipprd.blob.core.windows.net/tsip-files/imports/cb09ba27-c93f-488d-a521-1acfca174929/1779316482562_output.xlsx?sv=2026-02-06&amp;se=2026-05-23T11%3A00%3A03Z&amp;sr=b&amp;sp=r&amp;sig=p7qOgsQG2e78W3uoc%2FvnRZyzx6rfspURl7aLsV0OQBw%3D")</f>
        <v>https://tsipprd.blob.core.windows.net/tsip-files/imports/cb09ba27-c93f-488d-a521-1acfca174929/1779316482562_output.xlsx?sv=2026-02-06&amp;se=2026-05-23T11%3A00%3A03Z&amp;sr=b&amp;sp=r&amp;sig=p7qOgsQG2e78W3uoc%2FvnRZyzx6rfspURl7aLsV0OQBw%3D</v>
      </c>
      <c r="X49" s="43" t="str">
        <f>IFERROR(__xludf.DUMMYFUNCTION("""COMPUTED_VALUE"""),"success")</f>
        <v>success</v>
      </c>
      <c r="Y49" s="43">
        <f>IFERROR(__xludf.DUMMYFUNCTION("""COMPUTED_VALUE"""),2.0)</f>
        <v>2</v>
      </c>
      <c r="Z4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49" s="43" t="str">
        <f>IFERROR(__xludf.DUMMYFUNCTION("""COMPUTED_VALUE"""),"success")</f>
        <v>success</v>
      </c>
    </row>
    <row r="50">
      <c r="A50" s="110" t="str">
        <f t="shared" si="1"/>
        <v>www.tsip.ai/claim/1c8f6062-9e4e-4485-9f8c-7107b036222c</v>
      </c>
      <c r="B50" s="43" t="str">
        <f>IFERROR(__xludf.DUMMYFUNCTION("""COMPUTED_VALUE"""),"1c8f6062-9e4e-4485-9f8c-7107b036222c")</f>
        <v>1c8f6062-9e4e-4485-9f8c-7107b036222c</v>
      </c>
      <c r="C50" s="43" t="str">
        <f>IFERROR(__xludf.DUMMYFUNCTION("""COMPUTED_VALUE"""),"sheets-training")</f>
        <v>sheets-training</v>
      </c>
      <c r="D50" s="43">
        <f>IFERROR(__xludf.DUMMYFUNCTION("""COMPUTED_VALUE"""),3.0)</f>
        <v>3</v>
      </c>
      <c r="E50" s="43" t="str">
        <f>IFERROR(__xludf.DUMMYFUNCTION("""COMPUTED_VALUE"""),"training_review")</f>
        <v>training_review</v>
      </c>
      <c r="F50" s="43" t="str">
        <f>IFERROR(__xludf.DUMMYFUNCTION("""COMPUTED_VALUE"""),"cb09ba27-c93f-488d-a521-1acfca174929")</f>
        <v>cb09ba27-c93f-488d-a521-1acfca174929</v>
      </c>
      <c r="G50" s="43" t="str">
        <f>IFERROR(__xludf.DUMMYFUNCTION("""COMPUTED_VALUE"""),"NULL")</f>
        <v>NULL</v>
      </c>
      <c r="H50" s="43" t="str">
        <f>IFERROR(__xludf.DUMMYFUNCTION("""COMPUTED_VALUE"""),"""2026-05-20T22:38:16.156Z""")</f>
        <v>"2026-05-20T22:38:16.156Z"</v>
      </c>
      <c r="I50" s="43" t="str">
        <f>IFERROR(__xludf.DUMMYFUNCTION("""COMPUTED_VALUE"""),"NULL")</f>
        <v>NULL</v>
      </c>
      <c r="J50" s="43" t="str">
        <f>IFERROR(__xludf.DUMMYFUNCTION("""COMPUTED_VALUE"""),"""2026-05-20T22:59:43.420Z""")</f>
        <v>"2026-05-20T22:59:43.420Z"</v>
      </c>
      <c r="K50" s="43" t="str">
        <f>IFERROR(__xludf.DUMMYFUNCTION("""COMPUTED_VALUE"""),"""2026-05-20T22:35:21.497Z""")</f>
        <v>"2026-05-20T22:35:21.497Z"</v>
      </c>
      <c r="L50" s="43" t="str">
        <f>IFERROR(__xludf.DUMMYFUNCTION("""COMPUTED_VALUE"""),"""2026-05-20T22:59:43.420Z""")</f>
        <v>"2026-05-20T22:59:43.420Z"</v>
      </c>
      <c r="M50" s="43" t="str">
        <f>IFERROR(__xludf.DUMMYFUNCTION("""COMPUTED_VALUE"""),"e7175f74-f5c9-41f7-9c77-dc3be8341fbf")</f>
        <v>e7175f74-f5c9-41f7-9c77-dc3be8341fbf</v>
      </c>
      <c r="N50" s="43" t="str">
        <f>IFERROR(__xludf.DUMMYFUNCTION("""COMPUTED_VALUE"""),"cacf4da3-cd8d-402b-a1e9-f3ad3e7f11bf")</f>
        <v>cacf4da3-cd8d-402b-a1e9-f3ad3e7f11bf</v>
      </c>
      <c r="O50" s="43" t="str">
        <f>IFERROR(__xludf.DUMMYFUNCTION("""COMPUTED_VALUE"""),"{}")</f>
        <v>{}</v>
      </c>
      <c r="P50" s="43" t="str">
        <f>IFERROR(__xludf.DUMMYFUNCTION("""COMPUTED_VALUE"""),"training_review")</f>
        <v>training_review</v>
      </c>
      <c r="Q50" s="43" t="str">
        <f>IFERROR(__xludf.DUMMYFUNCTION("""COMPUTED_VALUE"""),"sheets-training")</f>
        <v>sheets-training</v>
      </c>
      <c r="R50"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0"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0"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0" s="43" t="str">
        <f>IFERROR(__xludf.DUMMYFUNCTION("""COMPUTED_VALUE"""),"train yourself!")</f>
        <v>train yourself!</v>
      </c>
      <c r="V50" s="110" t="str">
        <f>IFERROR(__xludf.DUMMYFUNCTION("""COMPUTED_VALUE"""),"https://tsipprd.blob.core.windows.net/tsip-files/imports/cb09ba27-c93f-488d-a521-1acfca174929/1779316481981_input.xlsx?sv=2026-02-06&amp;se=2026-05-23T11%3A15%3A01Z&amp;sr=b&amp;sp=r&amp;sig=fM30JNru%2FF2F5z4K7iuLMNgxz6RyiHxjSyhT%2Fd2i07s%3D")</f>
        <v>https://tsipprd.blob.core.windows.net/tsip-files/imports/cb09ba27-c93f-488d-a521-1acfca174929/1779316481981_input.xlsx?sv=2026-02-06&amp;se=2026-05-23T11%3A15%3A01Z&amp;sr=b&amp;sp=r&amp;sig=fM30JNru%2FF2F5z4K7iuLMNgxz6RyiHxjSyhT%2Fd2i07s%3D</v>
      </c>
      <c r="W50" s="110" t="str">
        <f>IFERROR(__xludf.DUMMYFUNCTION("""COMPUTED_VALUE"""),"https://tsipprd.blob.core.windows.net/tsip-files/imports/cb09ba27-c93f-488d-a521-1acfca174929/1779316482562_output.xlsx?sv=2026-02-06&amp;se=2026-05-23T11%3A15%3A01Z&amp;sr=b&amp;sp=r&amp;sig=s4FL%2BAJhA103laHCmXNSLk0s1fKNNjESzVINAChFIqU%3D")</f>
        <v>https://tsipprd.blob.core.windows.net/tsip-files/imports/cb09ba27-c93f-488d-a521-1acfca174929/1779316482562_output.xlsx?sv=2026-02-06&amp;se=2026-05-23T11%3A15%3A01Z&amp;sr=b&amp;sp=r&amp;sig=s4FL%2BAJhA103laHCmXNSLk0s1fKNNjESzVINAChFIqU%3D</v>
      </c>
      <c r="X50" s="43" t="str">
        <f>IFERROR(__xludf.DUMMYFUNCTION("""COMPUTED_VALUE"""),"success")</f>
        <v>success</v>
      </c>
      <c r="Y50" s="43">
        <f>IFERROR(__xludf.DUMMYFUNCTION("""COMPUTED_VALUE"""),2.0)</f>
        <v>2</v>
      </c>
      <c r="Z50"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0" s="43" t="str">
        <f>IFERROR(__xludf.DUMMYFUNCTION("""COMPUTED_VALUE"""),"success")</f>
        <v>success</v>
      </c>
    </row>
    <row r="51">
      <c r="A51" s="110" t="str">
        <f t="shared" si="1"/>
        <v>www.tsip.ai/claim/1c8f6062-9e4e-4485-9f8c-7107b036222c</v>
      </c>
      <c r="B51" s="43" t="str">
        <f>IFERROR(__xludf.DUMMYFUNCTION("""COMPUTED_VALUE"""),"1c8f6062-9e4e-4485-9f8c-7107b036222c")</f>
        <v>1c8f6062-9e4e-4485-9f8c-7107b036222c</v>
      </c>
      <c r="C51" s="43" t="str">
        <f>IFERROR(__xludf.DUMMYFUNCTION("""COMPUTED_VALUE"""),"sheets-training")</f>
        <v>sheets-training</v>
      </c>
      <c r="D51" s="43">
        <f>IFERROR(__xludf.DUMMYFUNCTION("""COMPUTED_VALUE"""),3.0)</f>
        <v>3</v>
      </c>
      <c r="E51" s="43" t="str">
        <f>IFERROR(__xludf.DUMMYFUNCTION("""COMPUTED_VALUE"""),"training_review")</f>
        <v>training_review</v>
      </c>
      <c r="F51" s="43" t="str">
        <f>IFERROR(__xludf.DUMMYFUNCTION("""COMPUTED_VALUE"""),"cb09ba27-c93f-488d-a521-1acfca174929")</f>
        <v>cb09ba27-c93f-488d-a521-1acfca174929</v>
      </c>
      <c r="G51" s="43" t="str">
        <f>IFERROR(__xludf.DUMMYFUNCTION("""COMPUTED_VALUE"""),"NULL")</f>
        <v>NULL</v>
      </c>
      <c r="H51" s="43" t="str">
        <f>IFERROR(__xludf.DUMMYFUNCTION("""COMPUTED_VALUE"""),"""2026-05-20T22:38:16.156Z""")</f>
        <v>"2026-05-20T22:38:16.156Z"</v>
      </c>
      <c r="I51" s="43" t="str">
        <f>IFERROR(__xludf.DUMMYFUNCTION("""COMPUTED_VALUE"""),"NULL")</f>
        <v>NULL</v>
      </c>
      <c r="J51" s="43" t="str">
        <f>IFERROR(__xludf.DUMMYFUNCTION("""COMPUTED_VALUE"""),"""2026-05-20T22:59:43.420Z""")</f>
        <v>"2026-05-20T22:59:43.420Z"</v>
      </c>
      <c r="K51" s="43" t="str">
        <f>IFERROR(__xludf.DUMMYFUNCTION("""COMPUTED_VALUE"""),"""2026-05-20T22:35:21.497Z""")</f>
        <v>"2026-05-20T22:35:21.497Z"</v>
      </c>
      <c r="L51" s="43" t="str">
        <f>IFERROR(__xludf.DUMMYFUNCTION("""COMPUTED_VALUE"""),"""2026-05-20T22:59:43.420Z""")</f>
        <v>"2026-05-20T22:59:43.420Z"</v>
      </c>
      <c r="M51" s="43" t="str">
        <f>IFERROR(__xludf.DUMMYFUNCTION("""COMPUTED_VALUE"""),"e7175f74-f5c9-41f7-9c77-dc3be8341fbf")</f>
        <v>e7175f74-f5c9-41f7-9c77-dc3be8341fbf</v>
      </c>
      <c r="N51" s="43" t="str">
        <f>IFERROR(__xludf.DUMMYFUNCTION("""COMPUTED_VALUE"""),"cacf4da3-cd8d-402b-a1e9-f3ad3e7f11bf")</f>
        <v>cacf4da3-cd8d-402b-a1e9-f3ad3e7f11bf</v>
      </c>
      <c r="O51" s="43" t="str">
        <f>IFERROR(__xludf.DUMMYFUNCTION("""COMPUTED_VALUE"""),"{}")</f>
        <v>{}</v>
      </c>
      <c r="P51" s="43" t="str">
        <f>IFERROR(__xludf.DUMMYFUNCTION("""COMPUTED_VALUE"""),"training_review")</f>
        <v>training_review</v>
      </c>
      <c r="Q51" s="43" t="str">
        <f>IFERROR(__xludf.DUMMYFUNCTION("""COMPUTED_VALUE"""),"sheets-training")</f>
        <v>sheets-training</v>
      </c>
      <c r="R5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1" s="43" t="str">
        <f>IFERROR(__xludf.DUMMYFUNCTION("""COMPUTED_VALUE"""),"train yourself!")</f>
        <v>train yourself!</v>
      </c>
      <c r="V51" s="110" t="str">
        <f>IFERROR(__xludf.DUMMYFUNCTION("""COMPUTED_VALUE"""),"https://tsipprd.blob.core.windows.net/tsip-files/imports/cb09ba27-c93f-488d-a521-1acfca174929/1779316481981_input.xlsx?sv=2026-02-06&amp;se=2026-05-23T11%3A30%3A02Z&amp;sr=b&amp;sp=r&amp;sig=nTBY1JAcSobHtuGCcqJMICpavLgLwLlFUkpUm2nxelw%3D")</f>
        <v>https://tsipprd.blob.core.windows.net/tsip-files/imports/cb09ba27-c93f-488d-a521-1acfca174929/1779316481981_input.xlsx?sv=2026-02-06&amp;se=2026-05-23T11%3A30%3A02Z&amp;sr=b&amp;sp=r&amp;sig=nTBY1JAcSobHtuGCcqJMICpavLgLwLlFUkpUm2nxelw%3D</v>
      </c>
      <c r="W51" s="110" t="str">
        <f>IFERROR(__xludf.DUMMYFUNCTION("""COMPUTED_VALUE"""),"https://tsipprd.blob.core.windows.net/tsip-files/imports/cb09ba27-c93f-488d-a521-1acfca174929/1779316482562_output.xlsx?sv=2026-02-06&amp;se=2026-05-23T11%3A30%3A02Z&amp;sr=b&amp;sp=r&amp;sig=Bq7e9UVzDi9qbdkP%2Fl1KYoPAzMqOnNxokrsOxR2j9xA%3D")</f>
        <v>https://tsipprd.blob.core.windows.net/tsip-files/imports/cb09ba27-c93f-488d-a521-1acfca174929/1779316482562_output.xlsx?sv=2026-02-06&amp;se=2026-05-23T11%3A30%3A02Z&amp;sr=b&amp;sp=r&amp;sig=Bq7e9UVzDi9qbdkP%2Fl1KYoPAzMqOnNxokrsOxR2j9xA%3D</v>
      </c>
      <c r="X51" s="43" t="str">
        <f>IFERROR(__xludf.DUMMYFUNCTION("""COMPUTED_VALUE"""),"success")</f>
        <v>success</v>
      </c>
      <c r="Y51" s="43">
        <f>IFERROR(__xludf.DUMMYFUNCTION("""COMPUTED_VALUE"""),2.0)</f>
        <v>2</v>
      </c>
      <c r="Z5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1" s="43" t="str">
        <f>IFERROR(__xludf.DUMMYFUNCTION("""COMPUTED_VALUE"""),"success")</f>
        <v>success</v>
      </c>
    </row>
    <row r="52">
      <c r="A52" s="110" t="str">
        <f t="shared" si="1"/>
        <v>www.tsip.ai/claim/1c8f6062-9e4e-4485-9f8c-7107b036222c</v>
      </c>
      <c r="B52" s="43" t="str">
        <f>IFERROR(__xludf.DUMMYFUNCTION("""COMPUTED_VALUE"""),"1c8f6062-9e4e-4485-9f8c-7107b036222c")</f>
        <v>1c8f6062-9e4e-4485-9f8c-7107b036222c</v>
      </c>
      <c r="C52" s="43" t="str">
        <f>IFERROR(__xludf.DUMMYFUNCTION("""COMPUTED_VALUE"""),"sheets-training")</f>
        <v>sheets-training</v>
      </c>
      <c r="D52" s="43">
        <f>IFERROR(__xludf.DUMMYFUNCTION("""COMPUTED_VALUE"""),3.0)</f>
        <v>3</v>
      </c>
      <c r="E52" s="43" t="str">
        <f>IFERROR(__xludf.DUMMYFUNCTION("""COMPUTED_VALUE"""),"training_review")</f>
        <v>training_review</v>
      </c>
      <c r="F52" s="43" t="str">
        <f>IFERROR(__xludf.DUMMYFUNCTION("""COMPUTED_VALUE"""),"cb09ba27-c93f-488d-a521-1acfca174929")</f>
        <v>cb09ba27-c93f-488d-a521-1acfca174929</v>
      </c>
      <c r="G52" s="43" t="str">
        <f>IFERROR(__xludf.DUMMYFUNCTION("""COMPUTED_VALUE"""),"NULL")</f>
        <v>NULL</v>
      </c>
      <c r="H52" s="43" t="str">
        <f>IFERROR(__xludf.DUMMYFUNCTION("""COMPUTED_VALUE"""),"""2026-05-20T22:38:16.156Z""")</f>
        <v>"2026-05-20T22:38:16.156Z"</v>
      </c>
      <c r="I52" s="43" t="str">
        <f>IFERROR(__xludf.DUMMYFUNCTION("""COMPUTED_VALUE"""),"NULL")</f>
        <v>NULL</v>
      </c>
      <c r="J52" s="43" t="str">
        <f>IFERROR(__xludf.DUMMYFUNCTION("""COMPUTED_VALUE"""),"""2026-05-20T22:59:43.420Z""")</f>
        <v>"2026-05-20T22:59:43.420Z"</v>
      </c>
      <c r="K52" s="43" t="str">
        <f>IFERROR(__xludf.DUMMYFUNCTION("""COMPUTED_VALUE"""),"""2026-05-20T22:35:21.497Z""")</f>
        <v>"2026-05-20T22:35:21.497Z"</v>
      </c>
      <c r="L52" s="43" t="str">
        <f>IFERROR(__xludf.DUMMYFUNCTION("""COMPUTED_VALUE"""),"""2026-05-20T22:59:43.420Z""")</f>
        <v>"2026-05-20T22:59:43.420Z"</v>
      </c>
      <c r="M52" s="43" t="str">
        <f>IFERROR(__xludf.DUMMYFUNCTION("""COMPUTED_VALUE"""),"e7175f74-f5c9-41f7-9c77-dc3be8341fbf")</f>
        <v>e7175f74-f5c9-41f7-9c77-dc3be8341fbf</v>
      </c>
      <c r="N52" s="43" t="str">
        <f>IFERROR(__xludf.DUMMYFUNCTION("""COMPUTED_VALUE"""),"cacf4da3-cd8d-402b-a1e9-f3ad3e7f11bf")</f>
        <v>cacf4da3-cd8d-402b-a1e9-f3ad3e7f11bf</v>
      </c>
      <c r="O52" s="43" t="str">
        <f>IFERROR(__xludf.DUMMYFUNCTION("""COMPUTED_VALUE"""),"{}")</f>
        <v>{}</v>
      </c>
      <c r="P52" s="43" t="str">
        <f>IFERROR(__xludf.DUMMYFUNCTION("""COMPUTED_VALUE"""),"training_review")</f>
        <v>training_review</v>
      </c>
      <c r="Q52" s="43" t="str">
        <f>IFERROR(__xludf.DUMMYFUNCTION("""COMPUTED_VALUE"""),"sheets-training")</f>
        <v>sheets-training</v>
      </c>
      <c r="R52"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2"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2"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2" s="43" t="str">
        <f>IFERROR(__xludf.DUMMYFUNCTION("""COMPUTED_VALUE"""),"train yourself!")</f>
        <v>train yourself!</v>
      </c>
      <c r="V52" s="110" t="str">
        <f>IFERROR(__xludf.DUMMYFUNCTION("""COMPUTED_VALUE"""),"https://tsipprd.blob.core.windows.net/tsip-files/imports/cb09ba27-c93f-488d-a521-1acfca174929/1779316481981_input.xlsx?sv=2026-02-06&amp;se=2026-05-23T11%3A45%3A01Z&amp;sr=b&amp;sp=r&amp;sig=Bca1gh44LMtptcepxG2TaRXJVSftfFnn%2BVvAEOys1CI%3D")</f>
        <v>https://tsipprd.blob.core.windows.net/tsip-files/imports/cb09ba27-c93f-488d-a521-1acfca174929/1779316481981_input.xlsx?sv=2026-02-06&amp;se=2026-05-23T11%3A45%3A01Z&amp;sr=b&amp;sp=r&amp;sig=Bca1gh44LMtptcepxG2TaRXJVSftfFnn%2BVvAEOys1CI%3D</v>
      </c>
      <c r="W52" s="110" t="str">
        <f>IFERROR(__xludf.DUMMYFUNCTION("""COMPUTED_VALUE"""),"https://tsipprd.blob.core.windows.net/tsip-files/imports/cb09ba27-c93f-488d-a521-1acfca174929/1779316482562_output.xlsx?sv=2026-02-06&amp;se=2026-05-23T11%3A45%3A01Z&amp;sr=b&amp;sp=r&amp;sig=fJjXZ33jFw8mP7NDBQJDIYBMWsOI%2BI3DhepvWcFYmb8%3D")</f>
        <v>https://tsipprd.blob.core.windows.net/tsip-files/imports/cb09ba27-c93f-488d-a521-1acfca174929/1779316482562_output.xlsx?sv=2026-02-06&amp;se=2026-05-23T11%3A45%3A01Z&amp;sr=b&amp;sp=r&amp;sig=fJjXZ33jFw8mP7NDBQJDIYBMWsOI%2BI3DhepvWcFYmb8%3D</v>
      </c>
      <c r="X52" s="43" t="str">
        <f>IFERROR(__xludf.DUMMYFUNCTION("""COMPUTED_VALUE"""),"success")</f>
        <v>success</v>
      </c>
      <c r="Y52" s="43">
        <f>IFERROR(__xludf.DUMMYFUNCTION("""COMPUTED_VALUE"""),2.0)</f>
        <v>2</v>
      </c>
      <c r="Z52"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2" s="43" t="str">
        <f>IFERROR(__xludf.DUMMYFUNCTION("""COMPUTED_VALUE"""),"success")</f>
        <v>success</v>
      </c>
    </row>
    <row r="53">
      <c r="A53" s="110" t="str">
        <f t="shared" si="1"/>
        <v>www.tsip.ai/claim/1c8f6062-9e4e-4485-9f8c-7107b036222c</v>
      </c>
      <c r="B53" s="43" t="str">
        <f>IFERROR(__xludf.DUMMYFUNCTION("""COMPUTED_VALUE"""),"1c8f6062-9e4e-4485-9f8c-7107b036222c")</f>
        <v>1c8f6062-9e4e-4485-9f8c-7107b036222c</v>
      </c>
      <c r="C53" s="43" t="str">
        <f>IFERROR(__xludf.DUMMYFUNCTION("""COMPUTED_VALUE"""),"sheets-training")</f>
        <v>sheets-training</v>
      </c>
      <c r="D53" s="43">
        <f>IFERROR(__xludf.DUMMYFUNCTION("""COMPUTED_VALUE"""),3.0)</f>
        <v>3</v>
      </c>
      <c r="E53" s="43" t="str">
        <f>IFERROR(__xludf.DUMMYFUNCTION("""COMPUTED_VALUE"""),"training_review")</f>
        <v>training_review</v>
      </c>
      <c r="F53" s="43" t="str">
        <f>IFERROR(__xludf.DUMMYFUNCTION("""COMPUTED_VALUE"""),"cb09ba27-c93f-488d-a521-1acfca174929")</f>
        <v>cb09ba27-c93f-488d-a521-1acfca174929</v>
      </c>
      <c r="G53" s="43" t="str">
        <f>IFERROR(__xludf.DUMMYFUNCTION("""COMPUTED_VALUE"""),"NULL")</f>
        <v>NULL</v>
      </c>
      <c r="H53" s="43" t="str">
        <f>IFERROR(__xludf.DUMMYFUNCTION("""COMPUTED_VALUE"""),"""2026-05-20T22:38:16.156Z""")</f>
        <v>"2026-05-20T22:38:16.156Z"</v>
      </c>
      <c r="I53" s="43" t="str">
        <f>IFERROR(__xludf.DUMMYFUNCTION("""COMPUTED_VALUE"""),"NULL")</f>
        <v>NULL</v>
      </c>
      <c r="J53" s="43" t="str">
        <f>IFERROR(__xludf.DUMMYFUNCTION("""COMPUTED_VALUE"""),"""2026-05-20T22:59:43.420Z""")</f>
        <v>"2026-05-20T22:59:43.420Z"</v>
      </c>
      <c r="K53" s="43" t="str">
        <f>IFERROR(__xludf.DUMMYFUNCTION("""COMPUTED_VALUE"""),"""2026-05-20T22:35:21.497Z""")</f>
        <v>"2026-05-20T22:35:21.497Z"</v>
      </c>
      <c r="L53" s="43" t="str">
        <f>IFERROR(__xludf.DUMMYFUNCTION("""COMPUTED_VALUE"""),"""2026-05-20T22:59:43.420Z""")</f>
        <v>"2026-05-20T22:59:43.420Z"</v>
      </c>
      <c r="M53" s="43" t="str">
        <f>IFERROR(__xludf.DUMMYFUNCTION("""COMPUTED_VALUE"""),"e7175f74-f5c9-41f7-9c77-dc3be8341fbf")</f>
        <v>e7175f74-f5c9-41f7-9c77-dc3be8341fbf</v>
      </c>
      <c r="N53" s="43" t="str">
        <f>IFERROR(__xludf.DUMMYFUNCTION("""COMPUTED_VALUE"""),"cacf4da3-cd8d-402b-a1e9-f3ad3e7f11bf")</f>
        <v>cacf4da3-cd8d-402b-a1e9-f3ad3e7f11bf</v>
      </c>
      <c r="O53" s="43" t="str">
        <f>IFERROR(__xludf.DUMMYFUNCTION("""COMPUTED_VALUE"""),"{}")</f>
        <v>{}</v>
      </c>
      <c r="P53" s="43" t="str">
        <f>IFERROR(__xludf.DUMMYFUNCTION("""COMPUTED_VALUE"""),"training_review")</f>
        <v>training_review</v>
      </c>
      <c r="Q53" s="43" t="str">
        <f>IFERROR(__xludf.DUMMYFUNCTION("""COMPUTED_VALUE"""),"sheets-training")</f>
        <v>sheets-training</v>
      </c>
      <c r="R5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3" s="43" t="str">
        <f>IFERROR(__xludf.DUMMYFUNCTION("""COMPUTED_VALUE"""),"train yourself!")</f>
        <v>train yourself!</v>
      </c>
      <c r="V53" s="110" t="str">
        <f>IFERROR(__xludf.DUMMYFUNCTION("""COMPUTED_VALUE"""),"https://tsipprd.blob.core.windows.net/tsip-files/imports/cb09ba27-c93f-488d-a521-1acfca174929/1779316481981_input.xlsx?sv=2026-02-06&amp;se=2026-05-23T12%3A00%3A01Z&amp;sr=b&amp;sp=r&amp;sig=9s%2FNe8bwSoTAXSRsl7WZ8sEPq%2FZa5eeFuOF9O1zD0OQ%3D")</f>
        <v>https://tsipprd.blob.core.windows.net/tsip-files/imports/cb09ba27-c93f-488d-a521-1acfca174929/1779316481981_input.xlsx?sv=2026-02-06&amp;se=2026-05-23T12%3A00%3A01Z&amp;sr=b&amp;sp=r&amp;sig=9s%2FNe8bwSoTAXSRsl7WZ8sEPq%2FZa5eeFuOF9O1zD0OQ%3D</v>
      </c>
      <c r="W53" s="110" t="str">
        <f>IFERROR(__xludf.DUMMYFUNCTION("""COMPUTED_VALUE"""),"https://tsipprd.blob.core.windows.net/tsip-files/imports/cb09ba27-c93f-488d-a521-1acfca174929/1779316482562_output.xlsx?sv=2026-02-06&amp;se=2026-05-23T12%3A00%3A01Z&amp;sr=b&amp;sp=r&amp;sig=GfMQ0cKb4rIbdEuSKwhvzqgD4p6kK3aUxftBVOpoWV8%3D")</f>
        <v>https://tsipprd.blob.core.windows.net/tsip-files/imports/cb09ba27-c93f-488d-a521-1acfca174929/1779316482562_output.xlsx?sv=2026-02-06&amp;se=2026-05-23T12%3A00%3A01Z&amp;sr=b&amp;sp=r&amp;sig=GfMQ0cKb4rIbdEuSKwhvzqgD4p6kK3aUxftBVOpoWV8%3D</v>
      </c>
      <c r="X53" s="43" t="str">
        <f>IFERROR(__xludf.DUMMYFUNCTION("""COMPUTED_VALUE"""),"success")</f>
        <v>success</v>
      </c>
      <c r="Y53" s="43">
        <f>IFERROR(__xludf.DUMMYFUNCTION("""COMPUTED_VALUE"""),2.0)</f>
        <v>2</v>
      </c>
      <c r="Z5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3" s="43" t="str">
        <f>IFERROR(__xludf.DUMMYFUNCTION("""COMPUTED_VALUE"""),"success")</f>
        <v>success</v>
      </c>
    </row>
    <row r="54">
      <c r="A54" s="110" t="str">
        <f t="shared" si="1"/>
        <v>www.tsip.ai/claim/1c8f6062-9e4e-4485-9f8c-7107b036222c</v>
      </c>
      <c r="B54" s="43" t="str">
        <f>IFERROR(__xludf.DUMMYFUNCTION("""COMPUTED_VALUE"""),"1c8f6062-9e4e-4485-9f8c-7107b036222c")</f>
        <v>1c8f6062-9e4e-4485-9f8c-7107b036222c</v>
      </c>
      <c r="C54" s="43" t="str">
        <f>IFERROR(__xludf.DUMMYFUNCTION("""COMPUTED_VALUE"""),"sheets-training")</f>
        <v>sheets-training</v>
      </c>
      <c r="D54" s="43">
        <f>IFERROR(__xludf.DUMMYFUNCTION("""COMPUTED_VALUE"""),3.0)</f>
        <v>3</v>
      </c>
      <c r="E54" s="43" t="str">
        <f>IFERROR(__xludf.DUMMYFUNCTION("""COMPUTED_VALUE"""),"training_review")</f>
        <v>training_review</v>
      </c>
      <c r="F54" s="43" t="str">
        <f>IFERROR(__xludf.DUMMYFUNCTION("""COMPUTED_VALUE"""),"cb09ba27-c93f-488d-a521-1acfca174929")</f>
        <v>cb09ba27-c93f-488d-a521-1acfca174929</v>
      </c>
      <c r="G54" s="43" t="str">
        <f>IFERROR(__xludf.DUMMYFUNCTION("""COMPUTED_VALUE"""),"NULL")</f>
        <v>NULL</v>
      </c>
      <c r="H54" s="43" t="str">
        <f>IFERROR(__xludf.DUMMYFUNCTION("""COMPUTED_VALUE"""),"""2026-05-20T22:38:16.156Z""")</f>
        <v>"2026-05-20T22:38:16.156Z"</v>
      </c>
      <c r="I54" s="43" t="str">
        <f>IFERROR(__xludf.DUMMYFUNCTION("""COMPUTED_VALUE"""),"NULL")</f>
        <v>NULL</v>
      </c>
      <c r="J54" s="43" t="str">
        <f>IFERROR(__xludf.DUMMYFUNCTION("""COMPUTED_VALUE"""),"""2026-05-20T22:59:43.420Z""")</f>
        <v>"2026-05-20T22:59:43.420Z"</v>
      </c>
      <c r="K54" s="43" t="str">
        <f>IFERROR(__xludf.DUMMYFUNCTION("""COMPUTED_VALUE"""),"""2026-05-20T22:35:21.497Z""")</f>
        <v>"2026-05-20T22:35:21.497Z"</v>
      </c>
      <c r="L54" s="43" t="str">
        <f>IFERROR(__xludf.DUMMYFUNCTION("""COMPUTED_VALUE"""),"""2026-05-20T22:59:43.420Z""")</f>
        <v>"2026-05-20T22:59:43.420Z"</v>
      </c>
      <c r="M54" s="43" t="str">
        <f>IFERROR(__xludf.DUMMYFUNCTION("""COMPUTED_VALUE"""),"e7175f74-f5c9-41f7-9c77-dc3be8341fbf")</f>
        <v>e7175f74-f5c9-41f7-9c77-dc3be8341fbf</v>
      </c>
      <c r="N54" s="43" t="str">
        <f>IFERROR(__xludf.DUMMYFUNCTION("""COMPUTED_VALUE"""),"cacf4da3-cd8d-402b-a1e9-f3ad3e7f11bf")</f>
        <v>cacf4da3-cd8d-402b-a1e9-f3ad3e7f11bf</v>
      </c>
      <c r="O54" s="43" t="str">
        <f>IFERROR(__xludf.DUMMYFUNCTION("""COMPUTED_VALUE"""),"{}")</f>
        <v>{}</v>
      </c>
      <c r="P54" s="43" t="str">
        <f>IFERROR(__xludf.DUMMYFUNCTION("""COMPUTED_VALUE"""),"training_review")</f>
        <v>training_review</v>
      </c>
      <c r="Q54" s="43" t="str">
        <f>IFERROR(__xludf.DUMMYFUNCTION("""COMPUTED_VALUE"""),"sheets-training")</f>
        <v>sheets-training</v>
      </c>
      <c r="R54"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4"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4"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4" s="43" t="str">
        <f>IFERROR(__xludf.DUMMYFUNCTION("""COMPUTED_VALUE"""),"train yourself!")</f>
        <v>train yourself!</v>
      </c>
      <c r="V54" s="110" t="str">
        <f>IFERROR(__xludf.DUMMYFUNCTION("""COMPUTED_VALUE"""),"https://tsipprd.blob.core.windows.net/tsip-files/imports/cb09ba27-c93f-488d-a521-1acfca174929/1779316481981_input.xlsx?sv=2026-02-06&amp;se=2026-05-23T12%3A15%3A02Z&amp;sr=b&amp;sp=r&amp;sig=YyZNvZ2wKDis0UKnpwXBZeKopPr83VifXo7PG%2BJpai8%3D")</f>
        <v>https://tsipprd.blob.core.windows.net/tsip-files/imports/cb09ba27-c93f-488d-a521-1acfca174929/1779316481981_input.xlsx?sv=2026-02-06&amp;se=2026-05-23T12%3A15%3A02Z&amp;sr=b&amp;sp=r&amp;sig=YyZNvZ2wKDis0UKnpwXBZeKopPr83VifXo7PG%2BJpai8%3D</v>
      </c>
      <c r="W54" s="110" t="str">
        <f>IFERROR(__xludf.DUMMYFUNCTION("""COMPUTED_VALUE"""),"https://tsipprd.blob.core.windows.net/tsip-files/imports/cb09ba27-c93f-488d-a521-1acfca174929/1779316482562_output.xlsx?sv=2026-02-06&amp;se=2026-05-23T12%3A15%3A02Z&amp;sr=b&amp;sp=r&amp;sig=K3Xc%2FnDRnASYnduu2ota8Dq68iEuzwuUCulOKSjFinc%3D")</f>
        <v>https://tsipprd.blob.core.windows.net/tsip-files/imports/cb09ba27-c93f-488d-a521-1acfca174929/1779316482562_output.xlsx?sv=2026-02-06&amp;se=2026-05-23T12%3A15%3A02Z&amp;sr=b&amp;sp=r&amp;sig=K3Xc%2FnDRnASYnduu2ota8Dq68iEuzwuUCulOKSjFinc%3D</v>
      </c>
      <c r="X54" s="43" t="str">
        <f>IFERROR(__xludf.DUMMYFUNCTION("""COMPUTED_VALUE"""),"success")</f>
        <v>success</v>
      </c>
      <c r="Y54" s="43">
        <f>IFERROR(__xludf.DUMMYFUNCTION("""COMPUTED_VALUE"""),2.0)</f>
        <v>2</v>
      </c>
      <c r="Z54"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4" s="43" t="str">
        <f>IFERROR(__xludf.DUMMYFUNCTION("""COMPUTED_VALUE"""),"success")</f>
        <v>success</v>
      </c>
    </row>
    <row r="55">
      <c r="A55" s="110" t="str">
        <f t="shared" si="1"/>
        <v>www.tsip.ai/claim/1c8f6062-9e4e-4485-9f8c-7107b036222c</v>
      </c>
      <c r="B55" s="43" t="str">
        <f>IFERROR(__xludf.DUMMYFUNCTION("""COMPUTED_VALUE"""),"1c8f6062-9e4e-4485-9f8c-7107b036222c")</f>
        <v>1c8f6062-9e4e-4485-9f8c-7107b036222c</v>
      </c>
      <c r="C55" s="43" t="str">
        <f>IFERROR(__xludf.DUMMYFUNCTION("""COMPUTED_VALUE"""),"sheets-training")</f>
        <v>sheets-training</v>
      </c>
      <c r="D55" s="43">
        <f>IFERROR(__xludf.DUMMYFUNCTION("""COMPUTED_VALUE"""),3.0)</f>
        <v>3</v>
      </c>
      <c r="E55" s="43" t="str">
        <f>IFERROR(__xludf.DUMMYFUNCTION("""COMPUTED_VALUE"""),"training_review")</f>
        <v>training_review</v>
      </c>
      <c r="F55" s="43" t="str">
        <f>IFERROR(__xludf.DUMMYFUNCTION("""COMPUTED_VALUE"""),"cb09ba27-c93f-488d-a521-1acfca174929")</f>
        <v>cb09ba27-c93f-488d-a521-1acfca174929</v>
      </c>
      <c r="G55" s="43" t="str">
        <f>IFERROR(__xludf.DUMMYFUNCTION("""COMPUTED_VALUE"""),"NULL")</f>
        <v>NULL</v>
      </c>
      <c r="H55" s="43" t="str">
        <f>IFERROR(__xludf.DUMMYFUNCTION("""COMPUTED_VALUE"""),"""2026-05-20T22:38:16.156Z""")</f>
        <v>"2026-05-20T22:38:16.156Z"</v>
      </c>
      <c r="I55" s="43" t="str">
        <f>IFERROR(__xludf.DUMMYFUNCTION("""COMPUTED_VALUE"""),"NULL")</f>
        <v>NULL</v>
      </c>
      <c r="J55" s="43" t="str">
        <f>IFERROR(__xludf.DUMMYFUNCTION("""COMPUTED_VALUE"""),"""2026-05-20T22:59:43.420Z""")</f>
        <v>"2026-05-20T22:59:43.420Z"</v>
      </c>
      <c r="K55" s="43" t="str">
        <f>IFERROR(__xludf.DUMMYFUNCTION("""COMPUTED_VALUE"""),"""2026-05-20T22:35:21.497Z""")</f>
        <v>"2026-05-20T22:35:21.497Z"</v>
      </c>
      <c r="L55" s="43" t="str">
        <f>IFERROR(__xludf.DUMMYFUNCTION("""COMPUTED_VALUE"""),"""2026-05-20T22:59:43.420Z""")</f>
        <v>"2026-05-20T22:59:43.420Z"</v>
      </c>
      <c r="M55" s="43" t="str">
        <f>IFERROR(__xludf.DUMMYFUNCTION("""COMPUTED_VALUE"""),"e7175f74-f5c9-41f7-9c77-dc3be8341fbf")</f>
        <v>e7175f74-f5c9-41f7-9c77-dc3be8341fbf</v>
      </c>
      <c r="N55" s="43" t="str">
        <f>IFERROR(__xludf.DUMMYFUNCTION("""COMPUTED_VALUE"""),"cacf4da3-cd8d-402b-a1e9-f3ad3e7f11bf")</f>
        <v>cacf4da3-cd8d-402b-a1e9-f3ad3e7f11bf</v>
      </c>
      <c r="O55" s="43" t="str">
        <f>IFERROR(__xludf.DUMMYFUNCTION("""COMPUTED_VALUE"""),"{}")</f>
        <v>{}</v>
      </c>
      <c r="P55" s="43" t="str">
        <f>IFERROR(__xludf.DUMMYFUNCTION("""COMPUTED_VALUE"""),"training_review")</f>
        <v>training_review</v>
      </c>
      <c r="Q55" s="43" t="str">
        <f>IFERROR(__xludf.DUMMYFUNCTION("""COMPUTED_VALUE"""),"sheets-training")</f>
        <v>sheets-training</v>
      </c>
      <c r="R5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5" s="43" t="str">
        <f>IFERROR(__xludf.DUMMYFUNCTION("""COMPUTED_VALUE"""),"train yourself!")</f>
        <v>train yourself!</v>
      </c>
      <c r="V55" s="110" t="str">
        <f>IFERROR(__xludf.DUMMYFUNCTION("""COMPUTED_VALUE"""),"https://tsipprd.blob.core.windows.net/tsip-files/imports/cb09ba27-c93f-488d-a521-1acfca174929/1779316481981_input.xlsx?sv=2026-02-06&amp;se=2026-05-23T12%3A30%3A02Z&amp;sr=b&amp;sp=r&amp;sig=ffwVjbGA4I%2F%2B96kIFBWVFfJfo8lkfduHH7G51%2BjHmBM%3D")</f>
        <v>https://tsipprd.blob.core.windows.net/tsip-files/imports/cb09ba27-c93f-488d-a521-1acfca174929/1779316481981_input.xlsx?sv=2026-02-06&amp;se=2026-05-23T12%3A30%3A02Z&amp;sr=b&amp;sp=r&amp;sig=ffwVjbGA4I%2F%2B96kIFBWVFfJfo8lkfduHH7G51%2BjHmBM%3D</v>
      </c>
      <c r="W55" s="110" t="str">
        <f>IFERROR(__xludf.DUMMYFUNCTION("""COMPUTED_VALUE"""),"https://tsipprd.blob.core.windows.net/tsip-files/imports/cb09ba27-c93f-488d-a521-1acfca174929/1779316482562_output.xlsx?sv=2026-02-06&amp;se=2026-05-23T12%3A30%3A02Z&amp;sr=b&amp;sp=r&amp;sig=dZnCb6gZer5hnXsD5vPWxMDYfRsz8qV4uz%2BIQ4wGT1c%3D")</f>
        <v>https://tsipprd.blob.core.windows.net/tsip-files/imports/cb09ba27-c93f-488d-a521-1acfca174929/1779316482562_output.xlsx?sv=2026-02-06&amp;se=2026-05-23T12%3A30%3A02Z&amp;sr=b&amp;sp=r&amp;sig=dZnCb6gZer5hnXsD5vPWxMDYfRsz8qV4uz%2BIQ4wGT1c%3D</v>
      </c>
      <c r="X55" s="43" t="str">
        <f>IFERROR(__xludf.DUMMYFUNCTION("""COMPUTED_VALUE"""),"success")</f>
        <v>success</v>
      </c>
      <c r="Y55" s="43">
        <f>IFERROR(__xludf.DUMMYFUNCTION("""COMPUTED_VALUE"""),2.0)</f>
        <v>2</v>
      </c>
      <c r="Z5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5" s="43" t="str">
        <f>IFERROR(__xludf.DUMMYFUNCTION("""COMPUTED_VALUE"""),"success")</f>
        <v>success</v>
      </c>
    </row>
    <row r="56">
      <c r="A56" s="110" t="str">
        <f t="shared" si="1"/>
        <v>www.tsip.ai/claim/1c8f6062-9e4e-4485-9f8c-7107b036222c</v>
      </c>
      <c r="B56" s="43" t="str">
        <f>IFERROR(__xludf.DUMMYFUNCTION("""COMPUTED_VALUE"""),"1c8f6062-9e4e-4485-9f8c-7107b036222c")</f>
        <v>1c8f6062-9e4e-4485-9f8c-7107b036222c</v>
      </c>
      <c r="C56" s="43" t="str">
        <f>IFERROR(__xludf.DUMMYFUNCTION("""COMPUTED_VALUE"""),"sheets-training")</f>
        <v>sheets-training</v>
      </c>
      <c r="D56" s="43">
        <f>IFERROR(__xludf.DUMMYFUNCTION("""COMPUTED_VALUE"""),3.0)</f>
        <v>3</v>
      </c>
      <c r="E56" s="43" t="str">
        <f>IFERROR(__xludf.DUMMYFUNCTION("""COMPUTED_VALUE"""),"training_review")</f>
        <v>training_review</v>
      </c>
      <c r="F56" s="43" t="str">
        <f>IFERROR(__xludf.DUMMYFUNCTION("""COMPUTED_VALUE"""),"cb09ba27-c93f-488d-a521-1acfca174929")</f>
        <v>cb09ba27-c93f-488d-a521-1acfca174929</v>
      </c>
      <c r="G56" s="43" t="str">
        <f>IFERROR(__xludf.DUMMYFUNCTION("""COMPUTED_VALUE"""),"NULL")</f>
        <v>NULL</v>
      </c>
      <c r="H56" s="43" t="str">
        <f>IFERROR(__xludf.DUMMYFUNCTION("""COMPUTED_VALUE"""),"""2026-05-20T22:38:16.156Z""")</f>
        <v>"2026-05-20T22:38:16.156Z"</v>
      </c>
      <c r="I56" s="43" t="str">
        <f>IFERROR(__xludf.DUMMYFUNCTION("""COMPUTED_VALUE"""),"NULL")</f>
        <v>NULL</v>
      </c>
      <c r="J56" s="43" t="str">
        <f>IFERROR(__xludf.DUMMYFUNCTION("""COMPUTED_VALUE"""),"""2026-05-20T22:59:43.420Z""")</f>
        <v>"2026-05-20T22:59:43.420Z"</v>
      </c>
      <c r="K56" s="43" t="str">
        <f>IFERROR(__xludf.DUMMYFUNCTION("""COMPUTED_VALUE"""),"""2026-05-20T22:35:21.497Z""")</f>
        <v>"2026-05-20T22:35:21.497Z"</v>
      </c>
      <c r="L56" s="43" t="str">
        <f>IFERROR(__xludf.DUMMYFUNCTION("""COMPUTED_VALUE"""),"""2026-05-20T22:59:43.420Z""")</f>
        <v>"2026-05-20T22:59:43.420Z"</v>
      </c>
      <c r="M56" s="43" t="str">
        <f>IFERROR(__xludf.DUMMYFUNCTION("""COMPUTED_VALUE"""),"e7175f74-f5c9-41f7-9c77-dc3be8341fbf")</f>
        <v>e7175f74-f5c9-41f7-9c77-dc3be8341fbf</v>
      </c>
      <c r="N56" s="43" t="str">
        <f>IFERROR(__xludf.DUMMYFUNCTION("""COMPUTED_VALUE"""),"cacf4da3-cd8d-402b-a1e9-f3ad3e7f11bf")</f>
        <v>cacf4da3-cd8d-402b-a1e9-f3ad3e7f11bf</v>
      </c>
      <c r="O56" s="43" t="str">
        <f>IFERROR(__xludf.DUMMYFUNCTION("""COMPUTED_VALUE"""),"{}")</f>
        <v>{}</v>
      </c>
      <c r="P56" s="43" t="str">
        <f>IFERROR(__xludf.DUMMYFUNCTION("""COMPUTED_VALUE"""),"training_review")</f>
        <v>training_review</v>
      </c>
      <c r="Q56" s="43" t="str">
        <f>IFERROR(__xludf.DUMMYFUNCTION("""COMPUTED_VALUE"""),"sheets-training")</f>
        <v>sheets-training</v>
      </c>
      <c r="R5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6"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6"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6" s="43" t="str">
        <f>IFERROR(__xludf.DUMMYFUNCTION("""COMPUTED_VALUE"""),"train yourself!")</f>
        <v>train yourself!</v>
      </c>
      <c r="V56" s="110" t="str">
        <f>IFERROR(__xludf.DUMMYFUNCTION("""COMPUTED_VALUE"""),"https://tsipprd.blob.core.windows.net/tsip-files/imports/cb09ba27-c93f-488d-a521-1acfca174929/1779316481981_input.xlsx?sv=2026-02-06&amp;se=2026-05-23T12%3A45%3A01Z&amp;sr=b&amp;sp=r&amp;sig=1zNJbcaw7lYXIoe6wgrHjiKU4DX0GQZqXTWPfypGVys%3D")</f>
        <v>https://tsipprd.blob.core.windows.net/tsip-files/imports/cb09ba27-c93f-488d-a521-1acfca174929/1779316481981_input.xlsx?sv=2026-02-06&amp;se=2026-05-23T12%3A45%3A01Z&amp;sr=b&amp;sp=r&amp;sig=1zNJbcaw7lYXIoe6wgrHjiKU4DX0GQZqXTWPfypGVys%3D</v>
      </c>
      <c r="W56" s="110" t="str">
        <f>IFERROR(__xludf.DUMMYFUNCTION("""COMPUTED_VALUE"""),"https://tsipprd.blob.core.windows.net/tsip-files/imports/cb09ba27-c93f-488d-a521-1acfca174929/1779316482562_output.xlsx?sv=2026-02-06&amp;se=2026-05-23T12%3A45%3A01Z&amp;sr=b&amp;sp=r&amp;sig=NmOmNAHRNtMyPrZxaXLMK%2BaN1WaJ%2B69KqUjayOiE79Q%3D")</f>
        <v>https://tsipprd.blob.core.windows.net/tsip-files/imports/cb09ba27-c93f-488d-a521-1acfca174929/1779316482562_output.xlsx?sv=2026-02-06&amp;se=2026-05-23T12%3A45%3A01Z&amp;sr=b&amp;sp=r&amp;sig=NmOmNAHRNtMyPrZxaXLMK%2BaN1WaJ%2B69KqUjayOiE79Q%3D</v>
      </c>
      <c r="X56" s="43" t="str">
        <f>IFERROR(__xludf.DUMMYFUNCTION("""COMPUTED_VALUE"""),"success")</f>
        <v>success</v>
      </c>
      <c r="Y56" s="43">
        <f>IFERROR(__xludf.DUMMYFUNCTION("""COMPUTED_VALUE"""),2.0)</f>
        <v>2</v>
      </c>
      <c r="Z56"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6" s="43" t="str">
        <f>IFERROR(__xludf.DUMMYFUNCTION("""COMPUTED_VALUE"""),"success")</f>
        <v>success</v>
      </c>
    </row>
    <row r="57">
      <c r="A57" s="110" t="str">
        <f t="shared" si="1"/>
        <v>www.tsip.ai/claim/1c8f6062-9e4e-4485-9f8c-7107b036222c</v>
      </c>
      <c r="B57" s="43" t="str">
        <f>IFERROR(__xludf.DUMMYFUNCTION("""COMPUTED_VALUE"""),"1c8f6062-9e4e-4485-9f8c-7107b036222c")</f>
        <v>1c8f6062-9e4e-4485-9f8c-7107b036222c</v>
      </c>
      <c r="C57" s="43" t="str">
        <f>IFERROR(__xludf.DUMMYFUNCTION("""COMPUTED_VALUE"""),"sheets-training")</f>
        <v>sheets-training</v>
      </c>
      <c r="D57" s="43">
        <f>IFERROR(__xludf.DUMMYFUNCTION("""COMPUTED_VALUE"""),3.0)</f>
        <v>3</v>
      </c>
      <c r="E57" s="43" t="str">
        <f>IFERROR(__xludf.DUMMYFUNCTION("""COMPUTED_VALUE"""),"training_review")</f>
        <v>training_review</v>
      </c>
      <c r="F57" s="43" t="str">
        <f>IFERROR(__xludf.DUMMYFUNCTION("""COMPUTED_VALUE"""),"cb09ba27-c93f-488d-a521-1acfca174929")</f>
        <v>cb09ba27-c93f-488d-a521-1acfca174929</v>
      </c>
      <c r="G57" s="43" t="str">
        <f>IFERROR(__xludf.DUMMYFUNCTION("""COMPUTED_VALUE"""),"NULL")</f>
        <v>NULL</v>
      </c>
      <c r="H57" s="43" t="str">
        <f>IFERROR(__xludf.DUMMYFUNCTION("""COMPUTED_VALUE"""),"""2026-05-20T22:38:16.156Z""")</f>
        <v>"2026-05-20T22:38:16.156Z"</v>
      </c>
      <c r="I57" s="43" t="str">
        <f>IFERROR(__xludf.DUMMYFUNCTION("""COMPUTED_VALUE"""),"NULL")</f>
        <v>NULL</v>
      </c>
      <c r="J57" s="43" t="str">
        <f>IFERROR(__xludf.DUMMYFUNCTION("""COMPUTED_VALUE"""),"""2026-05-20T22:59:43.420Z""")</f>
        <v>"2026-05-20T22:59:43.420Z"</v>
      </c>
      <c r="K57" s="43" t="str">
        <f>IFERROR(__xludf.DUMMYFUNCTION("""COMPUTED_VALUE"""),"""2026-05-20T22:35:21.497Z""")</f>
        <v>"2026-05-20T22:35:21.497Z"</v>
      </c>
      <c r="L57" s="43" t="str">
        <f>IFERROR(__xludf.DUMMYFUNCTION("""COMPUTED_VALUE"""),"""2026-05-20T22:59:43.420Z""")</f>
        <v>"2026-05-20T22:59:43.420Z"</v>
      </c>
      <c r="M57" s="43" t="str">
        <f>IFERROR(__xludf.DUMMYFUNCTION("""COMPUTED_VALUE"""),"e7175f74-f5c9-41f7-9c77-dc3be8341fbf")</f>
        <v>e7175f74-f5c9-41f7-9c77-dc3be8341fbf</v>
      </c>
      <c r="N57" s="43" t="str">
        <f>IFERROR(__xludf.DUMMYFUNCTION("""COMPUTED_VALUE"""),"cacf4da3-cd8d-402b-a1e9-f3ad3e7f11bf")</f>
        <v>cacf4da3-cd8d-402b-a1e9-f3ad3e7f11bf</v>
      </c>
      <c r="O57" s="43" t="str">
        <f>IFERROR(__xludf.DUMMYFUNCTION("""COMPUTED_VALUE"""),"{}")</f>
        <v>{}</v>
      </c>
      <c r="P57" s="43" t="str">
        <f>IFERROR(__xludf.DUMMYFUNCTION("""COMPUTED_VALUE"""),"training_review")</f>
        <v>training_review</v>
      </c>
      <c r="Q57" s="43" t="str">
        <f>IFERROR(__xludf.DUMMYFUNCTION("""COMPUTED_VALUE"""),"sheets-training")</f>
        <v>sheets-training</v>
      </c>
      <c r="R5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7" s="43" t="str">
        <f>IFERROR(__xludf.DUMMYFUNCTION("""COMPUTED_VALUE"""),"train yourself!")</f>
        <v>train yourself!</v>
      </c>
      <c r="V57" s="110" t="str">
        <f>IFERROR(__xludf.DUMMYFUNCTION("""COMPUTED_VALUE"""),"https://tsipprd.blob.core.windows.net/tsip-files/imports/cb09ba27-c93f-488d-a521-1acfca174929/1779316481981_input.xlsx?sv=2026-02-06&amp;se=2026-05-23T13%3A00%3A02Z&amp;sr=b&amp;sp=r&amp;sig=vUaQSgR5FyMRr1YfTVQly274aNSONVKqR0FLGCPK%2BCc%3D")</f>
        <v>https://tsipprd.blob.core.windows.net/tsip-files/imports/cb09ba27-c93f-488d-a521-1acfca174929/1779316481981_input.xlsx?sv=2026-02-06&amp;se=2026-05-23T13%3A00%3A02Z&amp;sr=b&amp;sp=r&amp;sig=vUaQSgR5FyMRr1YfTVQly274aNSONVKqR0FLGCPK%2BCc%3D</v>
      </c>
      <c r="W57" s="110" t="str">
        <f>IFERROR(__xludf.DUMMYFUNCTION("""COMPUTED_VALUE"""),"https://tsipprd.blob.core.windows.net/tsip-files/imports/cb09ba27-c93f-488d-a521-1acfca174929/1779316482562_output.xlsx?sv=2026-02-06&amp;se=2026-05-23T13%3A00%3A02Z&amp;sr=b&amp;sp=r&amp;sig=a34yzoC1DSudSm05zY2nu5T7UZDFFgctyBf0dfuJU2k%3D")</f>
        <v>https://tsipprd.blob.core.windows.net/tsip-files/imports/cb09ba27-c93f-488d-a521-1acfca174929/1779316482562_output.xlsx?sv=2026-02-06&amp;se=2026-05-23T13%3A00%3A02Z&amp;sr=b&amp;sp=r&amp;sig=a34yzoC1DSudSm05zY2nu5T7UZDFFgctyBf0dfuJU2k%3D</v>
      </c>
      <c r="X57" s="43" t="str">
        <f>IFERROR(__xludf.DUMMYFUNCTION("""COMPUTED_VALUE"""),"success")</f>
        <v>success</v>
      </c>
      <c r="Y57" s="43">
        <f>IFERROR(__xludf.DUMMYFUNCTION("""COMPUTED_VALUE"""),2.0)</f>
        <v>2</v>
      </c>
      <c r="Z5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7" s="43" t="str">
        <f>IFERROR(__xludf.DUMMYFUNCTION("""COMPUTED_VALUE"""),"success")</f>
        <v>success</v>
      </c>
    </row>
    <row r="58">
      <c r="A58" s="110" t="str">
        <f t="shared" si="1"/>
        <v>www.tsip.ai/claim/1c8f6062-9e4e-4485-9f8c-7107b036222c</v>
      </c>
      <c r="B58" s="43" t="str">
        <f>IFERROR(__xludf.DUMMYFUNCTION("""COMPUTED_VALUE"""),"1c8f6062-9e4e-4485-9f8c-7107b036222c")</f>
        <v>1c8f6062-9e4e-4485-9f8c-7107b036222c</v>
      </c>
      <c r="C58" s="43" t="str">
        <f>IFERROR(__xludf.DUMMYFUNCTION("""COMPUTED_VALUE"""),"sheets-training")</f>
        <v>sheets-training</v>
      </c>
      <c r="D58" s="43">
        <f>IFERROR(__xludf.DUMMYFUNCTION("""COMPUTED_VALUE"""),3.0)</f>
        <v>3</v>
      </c>
      <c r="E58" s="43" t="str">
        <f>IFERROR(__xludf.DUMMYFUNCTION("""COMPUTED_VALUE"""),"training_review")</f>
        <v>training_review</v>
      </c>
      <c r="F58" s="43" t="str">
        <f>IFERROR(__xludf.DUMMYFUNCTION("""COMPUTED_VALUE"""),"cb09ba27-c93f-488d-a521-1acfca174929")</f>
        <v>cb09ba27-c93f-488d-a521-1acfca174929</v>
      </c>
      <c r="G58" s="43" t="str">
        <f>IFERROR(__xludf.DUMMYFUNCTION("""COMPUTED_VALUE"""),"NULL")</f>
        <v>NULL</v>
      </c>
      <c r="H58" s="43" t="str">
        <f>IFERROR(__xludf.DUMMYFUNCTION("""COMPUTED_VALUE"""),"""2026-05-20T22:38:16.156Z""")</f>
        <v>"2026-05-20T22:38:16.156Z"</v>
      </c>
      <c r="I58" s="43" t="str">
        <f>IFERROR(__xludf.DUMMYFUNCTION("""COMPUTED_VALUE"""),"NULL")</f>
        <v>NULL</v>
      </c>
      <c r="J58" s="43" t="str">
        <f>IFERROR(__xludf.DUMMYFUNCTION("""COMPUTED_VALUE"""),"""2026-05-20T22:59:43.420Z""")</f>
        <v>"2026-05-20T22:59:43.420Z"</v>
      </c>
      <c r="K58" s="43" t="str">
        <f>IFERROR(__xludf.DUMMYFUNCTION("""COMPUTED_VALUE"""),"""2026-05-20T22:35:21.497Z""")</f>
        <v>"2026-05-20T22:35:21.497Z"</v>
      </c>
      <c r="L58" s="43" t="str">
        <f>IFERROR(__xludf.DUMMYFUNCTION("""COMPUTED_VALUE"""),"""2026-05-20T22:59:43.420Z""")</f>
        <v>"2026-05-20T22:59:43.420Z"</v>
      </c>
      <c r="M58" s="43" t="str">
        <f>IFERROR(__xludf.DUMMYFUNCTION("""COMPUTED_VALUE"""),"e7175f74-f5c9-41f7-9c77-dc3be8341fbf")</f>
        <v>e7175f74-f5c9-41f7-9c77-dc3be8341fbf</v>
      </c>
      <c r="N58" s="43" t="str">
        <f>IFERROR(__xludf.DUMMYFUNCTION("""COMPUTED_VALUE"""),"cacf4da3-cd8d-402b-a1e9-f3ad3e7f11bf")</f>
        <v>cacf4da3-cd8d-402b-a1e9-f3ad3e7f11bf</v>
      </c>
      <c r="O58" s="43" t="str">
        <f>IFERROR(__xludf.DUMMYFUNCTION("""COMPUTED_VALUE"""),"{}")</f>
        <v>{}</v>
      </c>
      <c r="P58" s="43" t="str">
        <f>IFERROR(__xludf.DUMMYFUNCTION("""COMPUTED_VALUE"""),"training_review")</f>
        <v>training_review</v>
      </c>
      <c r="Q58" s="43" t="str">
        <f>IFERROR(__xludf.DUMMYFUNCTION("""COMPUTED_VALUE"""),"sheets-training")</f>
        <v>sheets-training</v>
      </c>
      <c r="R58"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8"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8"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8" s="43" t="str">
        <f>IFERROR(__xludf.DUMMYFUNCTION("""COMPUTED_VALUE"""),"train yourself!")</f>
        <v>train yourself!</v>
      </c>
      <c r="V58" s="110" t="str">
        <f>IFERROR(__xludf.DUMMYFUNCTION("""COMPUTED_VALUE"""),"https://tsipprd.blob.core.windows.net/tsip-files/imports/cb09ba27-c93f-488d-a521-1acfca174929/1779316481981_input.xlsx?sv=2026-02-06&amp;se=2026-05-23T13%3A15%3A01Z&amp;sr=b&amp;sp=r&amp;sig=HrJlA4kEceq%2BVMbCEGqQ2Aiq62cEktuoAwdDHX1yVWo%3D")</f>
        <v>https://tsipprd.blob.core.windows.net/tsip-files/imports/cb09ba27-c93f-488d-a521-1acfca174929/1779316481981_input.xlsx?sv=2026-02-06&amp;se=2026-05-23T13%3A15%3A01Z&amp;sr=b&amp;sp=r&amp;sig=HrJlA4kEceq%2BVMbCEGqQ2Aiq62cEktuoAwdDHX1yVWo%3D</v>
      </c>
      <c r="W58" s="110" t="str">
        <f>IFERROR(__xludf.DUMMYFUNCTION("""COMPUTED_VALUE"""),"https://tsipprd.blob.core.windows.net/tsip-files/imports/cb09ba27-c93f-488d-a521-1acfca174929/1779316482562_output.xlsx?sv=2026-02-06&amp;se=2026-05-23T13%3A15%3A01Z&amp;sr=b&amp;sp=r&amp;sig=KLOHFag0WwHZda%2FKy99sNy0844wxQ6TqA5Kg%2BdVeRT8%3D")</f>
        <v>https://tsipprd.blob.core.windows.net/tsip-files/imports/cb09ba27-c93f-488d-a521-1acfca174929/1779316482562_output.xlsx?sv=2026-02-06&amp;se=2026-05-23T13%3A15%3A01Z&amp;sr=b&amp;sp=r&amp;sig=KLOHFag0WwHZda%2FKy99sNy0844wxQ6TqA5Kg%2BdVeRT8%3D</v>
      </c>
      <c r="X58" s="43" t="str">
        <f>IFERROR(__xludf.DUMMYFUNCTION("""COMPUTED_VALUE"""),"success")</f>
        <v>success</v>
      </c>
      <c r="Y58" s="43">
        <f>IFERROR(__xludf.DUMMYFUNCTION("""COMPUTED_VALUE"""),2.0)</f>
        <v>2</v>
      </c>
      <c r="Z58"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8" s="43" t="str">
        <f>IFERROR(__xludf.DUMMYFUNCTION("""COMPUTED_VALUE"""),"success")</f>
        <v>success</v>
      </c>
    </row>
    <row r="59">
      <c r="A59" s="110" t="str">
        <f t="shared" si="1"/>
        <v>www.tsip.ai/claim/1c8f6062-9e4e-4485-9f8c-7107b036222c</v>
      </c>
      <c r="B59" s="43" t="str">
        <f>IFERROR(__xludf.DUMMYFUNCTION("""COMPUTED_VALUE"""),"1c8f6062-9e4e-4485-9f8c-7107b036222c")</f>
        <v>1c8f6062-9e4e-4485-9f8c-7107b036222c</v>
      </c>
      <c r="C59" s="43" t="str">
        <f>IFERROR(__xludf.DUMMYFUNCTION("""COMPUTED_VALUE"""),"sheets-training")</f>
        <v>sheets-training</v>
      </c>
      <c r="D59" s="43">
        <f>IFERROR(__xludf.DUMMYFUNCTION("""COMPUTED_VALUE"""),3.0)</f>
        <v>3</v>
      </c>
      <c r="E59" s="43" t="str">
        <f>IFERROR(__xludf.DUMMYFUNCTION("""COMPUTED_VALUE"""),"training_review")</f>
        <v>training_review</v>
      </c>
      <c r="F59" s="43" t="str">
        <f>IFERROR(__xludf.DUMMYFUNCTION("""COMPUTED_VALUE"""),"cb09ba27-c93f-488d-a521-1acfca174929")</f>
        <v>cb09ba27-c93f-488d-a521-1acfca174929</v>
      </c>
      <c r="G59" s="43" t="str">
        <f>IFERROR(__xludf.DUMMYFUNCTION("""COMPUTED_VALUE"""),"NULL")</f>
        <v>NULL</v>
      </c>
      <c r="H59" s="43" t="str">
        <f>IFERROR(__xludf.DUMMYFUNCTION("""COMPUTED_VALUE"""),"""2026-05-20T22:38:16.156Z""")</f>
        <v>"2026-05-20T22:38:16.156Z"</v>
      </c>
      <c r="I59" s="43" t="str">
        <f>IFERROR(__xludf.DUMMYFUNCTION("""COMPUTED_VALUE"""),"NULL")</f>
        <v>NULL</v>
      </c>
      <c r="J59" s="43" t="str">
        <f>IFERROR(__xludf.DUMMYFUNCTION("""COMPUTED_VALUE"""),"""2026-05-20T22:59:43.420Z""")</f>
        <v>"2026-05-20T22:59:43.420Z"</v>
      </c>
      <c r="K59" s="43" t="str">
        <f>IFERROR(__xludf.DUMMYFUNCTION("""COMPUTED_VALUE"""),"""2026-05-20T22:35:21.497Z""")</f>
        <v>"2026-05-20T22:35:21.497Z"</v>
      </c>
      <c r="L59" s="43" t="str">
        <f>IFERROR(__xludf.DUMMYFUNCTION("""COMPUTED_VALUE"""),"""2026-05-20T22:59:43.420Z""")</f>
        <v>"2026-05-20T22:59:43.420Z"</v>
      </c>
      <c r="M59" s="43" t="str">
        <f>IFERROR(__xludf.DUMMYFUNCTION("""COMPUTED_VALUE"""),"e7175f74-f5c9-41f7-9c77-dc3be8341fbf")</f>
        <v>e7175f74-f5c9-41f7-9c77-dc3be8341fbf</v>
      </c>
      <c r="N59" s="43" t="str">
        <f>IFERROR(__xludf.DUMMYFUNCTION("""COMPUTED_VALUE"""),"cacf4da3-cd8d-402b-a1e9-f3ad3e7f11bf")</f>
        <v>cacf4da3-cd8d-402b-a1e9-f3ad3e7f11bf</v>
      </c>
      <c r="O59" s="43" t="str">
        <f>IFERROR(__xludf.DUMMYFUNCTION("""COMPUTED_VALUE"""),"{}")</f>
        <v>{}</v>
      </c>
      <c r="P59" s="43" t="str">
        <f>IFERROR(__xludf.DUMMYFUNCTION("""COMPUTED_VALUE"""),"training_review")</f>
        <v>training_review</v>
      </c>
      <c r="Q59" s="43" t="str">
        <f>IFERROR(__xludf.DUMMYFUNCTION("""COMPUTED_VALUE"""),"sheets-training")</f>
        <v>sheets-training</v>
      </c>
      <c r="R5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5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5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59" s="43" t="str">
        <f>IFERROR(__xludf.DUMMYFUNCTION("""COMPUTED_VALUE"""),"train yourself!")</f>
        <v>train yourself!</v>
      </c>
      <c r="V59" s="110" t="str">
        <f>IFERROR(__xludf.DUMMYFUNCTION("""COMPUTED_VALUE"""),"https://tsipprd.blob.core.windows.net/tsip-files/imports/cb09ba27-c93f-488d-a521-1acfca174929/1779316481981_input.xlsx?sv=2026-02-06&amp;se=2026-05-23T13%3A30%3A01Z&amp;sr=b&amp;sp=r&amp;sig=qp%2BXWHOZLjKPFk210waChk1KFCwmcVcl8LPMGco3I10%3D")</f>
        <v>https://tsipprd.blob.core.windows.net/tsip-files/imports/cb09ba27-c93f-488d-a521-1acfca174929/1779316481981_input.xlsx?sv=2026-02-06&amp;se=2026-05-23T13%3A30%3A01Z&amp;sr=b&amp;sp=r&amp;sig=qp%2BXWHOZLjKPFk210waChk1KFCwmcVcl8LPMGco3I10%3D</v>
      </c>
      <c r="W59" s="110" t="str">
        <f>IFERROR(__xludf.DUMMYFUNCTION("""COMPUTED_VALUE"""),"https://tsipprd.blob.core.windows.net/tsip-files/imports/cb09ba27-c93f-488d-a521-1acfca174929/1779316482562_output.xlsx?sv=2026-02-06&amp;se=2026-05-23T13%3A30%3A01Z&amp;sr=b&amp;sp=r&amp;sig=uegpIllXRR1vfRLI%2BT4lwdtWEkRZIj1tMN7RI5ChAVk%3D")</f>
        <v>https://tsipprd.blob.core.windows.net/tsip-files/imports/cb09ba27-c93f-488d-a521-1acfca174929/1779316482562_output.xlsx?sv=2026-02-06&amp;se=2026-05-23T13%3A30%3A01Z&amp;sr=b&amp;sp=r&amp;sig=uegpIllXRR1vfRLI%2BT4lwdtWEkRZIj1tMN7RI5ChAVk%3D</v>
      </c>
      <c r="X59" s="43" t="str">
        <f>IFERROR(__xludf.DUMMYFUNCTION("""COMPUTED_VALUE"""),"success")</f>
        <v>success</v>
      </c>
      <c r="Y59" s="43">
        <f>IFERROR(__xludf.DUMMYFUNCTION("""COMPUTED_VALUE"""),2.0)</f>
        <v>2</v>
      </c>
      <c r="Z5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59" s="43" t="str">
        <f>IFERROR(__xludf.DUMMYFUNCTION("""COMPUTED_VALUE"""),"success")</f>
        <v>success</v>
      </c>
    </row>
    <row r="60">
      <c r="A60" s="110" t="str">
        <f t="shared" si="1"/>
        <v>www.tsip.ai/claim/1c8f6062-9e4e-4485-9f8c-7107b036222c</v>
      </c>
      <c r="B60" s="43" t="str">
        <f>IFERROR(__xludf.DUMMYFUNCTION("""COMPUTED_VALUE"""),"1c8f6062-9e4e-4485-9f8c-7107b036222c")</f>
        <v>1c8f6062-9e4e-4485-9f8c-7107b036222c</v>
      </c>
      <c r="C60" s="43" t="str">
        <f>IFERROR(__xludf.DUMMYFUNCTION("""COMPUTED_VALUE"""),"sheets-training")</f>
        <v>sheets-training</v>
      </c>
      <c r="D60" s="43">
        <f>IFERROR(__xludf.DUMMYFUNCTION("""COMPUTED_VALUE"""),3.0)</f>
        <v>3</v>
      </c>
      <c r="E60" s="43" t="str">
        <f>IFERROR(__xludf.DUMMYFUNCTION("""COMPUTED_VALUE"""),"training_review")</f>
        <v>training_review</v>
      </c>
      <c r="F60" s="43" t="str">
        <f>IFERROR(__xludf.DUMMYFUNCTION("""COMPUTED_VALUE"""),"cb09ba27-c93f-488d-a521-1acfca174929")</f>
        <v>cb09ba27-c93f-488d-a521-1acfca174929</v>
      </c>
      <c r="G60" s="43" t="str">
        <f>IFERROR(__xludf.DUMMYFUNCTION("""COMPUTED_VALUE"""),"NULL")</f>
        <v>NULL</v>
      </c>
      <c r="H60" s="43" t="str">
        <f>IFERROR(__xludf.DUMMYFUNCTION("""COMPUTED_VALUE"""),"""2026-05-20T22:38:16.156Z""")</f>
        <v>"2026-05-20T22:38:16.156Z"</v>
      </c>
      <c r="I60" s="43" t="str">
        <f>IFERROR(__xludf.DUMMYFUNCTION("""COMPUTED_VALUE"""),"NULL")</f>
        <v>NULL</v>
      </c>
      <c r="J60" s="43" t="str">
        <f>IFERROR(__xludf.DUMMYFUNCTION("""COMPUTED_VALUE"""),"""2026-05-20T22:59:43.420Z""")</f>
        <v>"2026-05-20T22:59:43.420Z"</v>
      </c>
      <c r="K60" s="43" t="str">
        <f>IFERROR(__xludf.DUMMYFUNCTION("""COMPUTED_VALUE"""),"""2026-05-20T22:35:21.497Z""")</f>
        <v>"2026-05-20T22:35:21.497Z"</v>
      </c>
      <c r="L60" s="43" t="str">
        <f>IFERROR(__xludf.DUMMYFUNCTION("""COMPUTED_VALUE"""),"""2026-05-20T22:59:43.420Z""")</f>
        <v>"2026-05-20T22:59:43.420Z"</v>
      </c>
      <c r="M60" s="43" t="str">
        <f>IFERROR(__xludf.DUMMYFUNCTION("""COMPUTED_VALUE"""),"e7175f74-f5c9-41f7-9c77-dc3be8341fbf")</f>
        <v>e7175f74-f5c9-41f7-9c77-dc3be8341fbf</v>
      </c>
      <c r="N60" s="43" t="str">
        <f>IFERROR(__xludf.DUMMYFUNCTION("""COMPUTED_VALUE"""),"cacf4da3-cd8d-402b-a1e9-f3ad3e7f11bf")</f>
        <v>cacf4da3-cd8d-402b-a1e9-f3ad3e7f11bf</v>
      </c>
      <c r="O60" s="43" t="str">
        <f>IFERROR(__xludf.DUMMYFUNCTION("""COMPUTED_VALUE"""),"{}")</f>
        <v>{}</v>
      </c>
      <c r="P60" s="43" t="str">
        <f>IFERROR(__xludf.DUMMYFUNCTION("""COMPUTED_VALUE"""),"training_review")</f>
        <v>training_review</v>
      </c>
      <c r="Q60" s="43" t="str">
        <f>IFERROR(__xludf.DUMMYFUNCTION("""COMPUTED_VALUE"""),"sheets-training")</f>
        <v>sheets-training</v>
      </c>
      <c r="R60"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60"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0"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60" s="43" t="str">
        <f>IFERROR(__xludf.DUMMYFUNCTION("""COMPUTED_VALUE"""),"train yourself!")</f>
        <v>train yourself!</v>
      </c>
      <c r="V60" s="110" t="str">
        <f>IFERROR(__xludf.DUMMYFUNCTION("""COMPUTED_VALUE"""),"https://tsipprd.blob.core.windows.net/tsip-files/imports/cb09ba27-c93f-488d-a521-1acfca174929/1779316481981_input.xlsx?sv=2026-02-06&amp;se=2026-05-23T13%3A45%3A01Z&amp;sr=b&amp;sp=r&amp;sig=KWPE88pawPmjd0ZFaqYDGwMCiR7vqK6qwIatqLlLNaA%3D")</f>
        <v>https://tsipprd.blob.core.windows.net/tsip-files/imports/cb09ba27-c93f-488d-a521-1acfca174929/1779316481981_input.xlsx?sv=2026-02-06&amp;se=2026-05-23T13%3A45%3A01Z&amp;sr=b&amp;sp=r&amp;sig=KWPE88pawPmjd0ZFaqYDGwMCiR7vqK6qwIatqLlLNaA%3D</v>
      </c>
      <c r="W60" s="110" t="str">
        <f>IFERROR(__xludf.DUMMYFUNCTION("""COMPUTED_VALUE"""),"https://tsipprd.blob.core.windows.net/tsip-files/imports/cb09ba27-c93f-488d-a521-1acfca174929/1779316482562_output.xlsx?sv=2026-02-06&amp;se=2026-05-23T13%3A45%3A01Z&amp;sr=b&amp;sp=r&amp;sig=1TptZEVkFmF4Nz8I8GXVI7U8GOxNwyQvhH2%2BgkcHiJk%3D")</f>
        <v>https://tsipprd.blob.core.windows.net/tsip-files/imports/cb09ba27-c93f-488d-a521-1acfca174929/1779316482562_output.xlsx?sv=2026-02-06&amp;se=2026-05-23T13%3A45%3A01Z&amp;sr=b&amp;sp=r&amp;sig=1TptZEVkFmF4Nz8I8GXVI7U8GOxNwyQvhH2%2BgkcHiJk%3D</v>
      </c>
      <c r="X60" s="43" t="str">
        <f>IFERROR(__xludf.DUMMYFUNCTION("""COMPUTED_VALUE"""),"success")</f>
        <v>success</v>
      </c>
      <c r="Y60" s="43">
        <f>IFERROR(__xludf.DUMMYFUNCTION("""COMPUTED_VALUE"""),2.0)</f>
        <v>2</v>
      </c>
      <c r="Z60"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60" s="43" t="str">
        <f>IFERROR(__xludf.DUMMYFUNCTION("""COMPUTED_VALUE"""),"success")</f>
        <v>success</v>
      </c>
    </row>
    <row r="61">
      <c r="A61" s="110" t="str">
        <f t="shared" si="1"/>
        <v>www.tsip.ai/claim/1c8f6062-9e4e-4485-9f8c-7107b036222c</v>
      </c>
      <c r="B61" s="43" t="str">
        <f>IFERROR(__xludf.DUMMYFUNCTION("""COMPUTED_VALUE"""),"1c8f6062-9e4e-4485-9f8c-7107b036222c")</f>
        <v>1c8f6062-9e4e-4485-9f8c-7107b036222c</v>
      </c>
      <c r="C61" s="43" t="str">
        <f>IFERROR(__xludf.DUMMYFUNCTION("""COMPUTED_VALUE"""),"sheets-training")</f>
        <v>sheets-training</v>
      </c>
      <c r="D61" s="43">
        <f>IFERROR(__xludf.DUMMYFUNCTION("""COMPUTED_VALUE"""),3.0)</f>
        <v>3</v>
      </c>
      <c r="E61" s="43" t="str">
        <f>IFERROR(__xludf.DUMMYFUNCTION("""COMPUTED_VALUE"""),"training_review")</f>
        <v>training_review</v>
      </c>
      <c r="F61" s="43" t="str">
        <f>IFERROR(__xludf.DUMMYFUNCTION("""COMPUTED_VALUE"""),"cb09ba27-c93f-488d-a521-1acfca174929")</f>
        <v>cb09ba27-c93f-488d-a521-1acfca174929</v>
      </c>
      <c r="G61" s="43" t="str">
        <f>IFERROR(__xludf.DUMMYFUNCTION("""COMPUTED_VALUE"""),"NULL")</f>
        <v>NULL</v>
      </c>
      <c r="H61" s="43" t="str">
        <f>IFERROR(__xludf.DUMMYFUNCTION("""COMPUTED_VALUE"""),"""2026-05-20T22:38:16.156Z""")</f>
        <v>"2026-05-20T22:38:16.156Z"</v>
      </c>
      <c r="I61" s="43" t="str">
        <f>IFERROR(__xludf.DUMMYFUNCTION("""COMPUTED_VALUE"""),"NULL")</f>
        <v>NULL</v>
      </c>
      <c r="J61" s="43" t="str">
        <f>IFERROR(__xludf.DUMMYFUNCTION("""COMPUTED_VALUE"""),"""2026-05-20T22:59:43.420Z""")</f>
        <v>"2026-05-20T22:59:43.420Z"</v>
      </c>
      <c r="K61" s="43" t="str">
        <f>IFERROR(__xludf.DUMMYFUNCTION("""COMPUTED_VALUE"""),"""2026-05-20T22:35:21.497Z""")</f>
        <v>"2026-05-20T22:35:21.497Z"</v>
      </c>
      <c r="L61" s="43" t="str">
        <f>IFERROR(__xludf.DUMMYFUNCTION("""COMPUTED_VALUE"""),"""2026-05-20T22:59:43.420Z""")</f>
        <v>"2026-05-20T22:59:43.420Z"</v>
      </c>
      <c r="M61" s="43" t="str">
        <f>IFERROR(__xludf.DUMMYFUNCTION("""COMPUTED_VALUE"""),"e7175f74-f5c9-41f7-9c77-dc3be8341fbf")</f>
        <v>e7175f74-f5c9-41f7-9c77-dc3be8341fbf</v>
      </c>
      <c r="N61" s="43" t="str">
        <f>IFERROR(__xludf.DUMMYFUNCTION("""COMPUTED_VALUE"""),"cacf4da3-cd8d-402b-a1e9-f3ad3e7f11bf")</f>
        <v>cacf4da3-cd8d-402b-a1e9-f3ad3e7f11bf</v>
      </c>
      <c r="O61" s="43" t="str">
        <f>IFERROR(__xludf.DUMMYFUNCTION("""COMPUTED_VALUE"""),"{}")</f>
        <v>{}</v>
      </c>
      <c r="P61" s="43" t="str">
        <f>IFERROR(__xludf.DUMMYFUNCTION("""COMPUTED_VALUE"""),"training_review")</f>
        <v>training_review</v>
      </c>
      <c r="Q61" s="43" t="str">
        <f>IFERROR(__xludf.DUMMYFUNCTION("""COMPUTED_VALUE"""),"sheets-training")</f>
        <v>sheets-training</v>
      </c>
      <c r="R6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6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61" s="43" t="str">
        <f>IFERROR(__xludf.DUMMYFUNCTION("""COMPUTED_VALUE"""),"train yourself!")</f>
        <v>train yourself!</v>
      </c>
      <c r="V61" s="110" t="str">
        <f>IFERROR(__xludf.DUMMYFUNCTION("""COMPUTED_VALUE"""),"https://tsipprd.blob.core.windows.net/tsip-files/imports/cb09ba27-c93f-488d-a521-1acfca174929/1779316481981_input.xlsx?sv=2026-02-06&amp;se=2026-05-23T14%3A00%3A06Z&amp;sr=b&amp;sp=r&amp;sig=sIeGCzEsTWz1oadrL9CP8Zw33DRaqGM3wV7hYpLKYOk%3D")</f>
        <v>https://tsipprd.blob.core.windows.net/tsip-files/imports/cb09ba27-c93f-488d-a521-1acfca174929/1779316481981_input.xlsx?sv=2026-02-06&amp;se=2026-05-23T14%3A00%3A06Z&amp;sr=b&amp;sp=r&amp;sig=sIeGCzEsTWz1oadrL9CP8Zw33DRaqGM3wV7hYpLKYOk%3D</v>
      </c>
      <c r="W61" s="110" t="str">
        <f>IFERROR(__xludf.DUMMYFUNCTION("""COMPUTED_VALUE"""),"https://tsipprd.blob.core.windows.net/tsip-files/imports/cb09ba27-c93f-488d-a521-1acfca174929/1779316482562_output.xlsx?sv=2026-02-06&amp;se=2026-05-23T14%3A00%3A06Z&amp;sr=b&amp;sp=r&amp;sig=ivXaoNlF%2FvvmvYAe2aWeAJAVpuZitADn9DFyKSIqL50%3D")</f>
        <v>https://tsipprd.blob.core.windows.net/tsip-files/imports/cb09ba27-c93f-488d-a521-1acfca174929/1779316482562_output.xlsx?sv=2026-02-06&amp;se=2026-05-23T14%3A00%3A06Z&amp;sr=b&amp;sp=r&amp;sig=ivXaoNlF%2FvvmvYAe2aWeAJAVpuZitADn9DFyKSIqL50%3D</v>
      </c>
      <c r="X61" s="43" t="str">
        <f>IFERROR(__xludf.DUMMYFUNCTION("""COMPUTED_VALUE"""),"success")</f>
        <v>success</v>
      </c>
      <c r="Y61" s="43">
        <f>IFERROR(__xludf.DUMMYFUNCTION("""COMPUTED_VALUE"""),2.0)</f>
        <v>2</v>
      </c>
      <c r="Z6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61" s="43" t="str">
        <f>IFERROR(__xludf.DUMMYFUNCTION("""COMPUTED_VALUE"""),"success")</f>
        <v>success</v>
      </c>
    </row>
    <row r="62">
      <c r="A62" s="110" t="str">
        <f t="shared" si="1"/>
        <v>www.tsip.ai/claim/605053db-cfdd-4b95-9484-aa07b268091a</v>
      </c>
      <c r="B62" s="43" t="str">
        <f>IFERROR(__xludf.DUMMYFUNCTION("""COMPUTED_VALUE"""),"605053db-cfdd-4b95-9484-aa07b268091a")</f>
        <v>605053db-cfdd-4b95-9484-aa07b268091a</v>
      </c>
      <c r="C62" s="43" t="str">
        <f>IFERROR(__xludf.DUMMYFUNCTION("""COMPUTED_VALUE"""),"sheets-training")</f>
        <v>sheets-training</v>
      </c>
      <c r="D62" s="43">
        <f>IFERROR(__xludf.DUMMYFUNCTION("""COMPUTED_VALUE"""),3.0)</f>
        <v>3</v>
      </c>
      <c r="E62" s="43" t="str">
        <f>IFERROR(__xludf.DUMMYFUNCTION("""COMPUTED_VALUE"""),"training_review")</f>
        <v>training_review</v>
      </c>
      <c r="F62" s="43" t="str">
        <f>IFERROR(__xludf.DUMMYFUNCTION("""COMPUTED_VALUE"""),"cb09ba27-c93f-488d-a521-1acfca174929")</f>
        <v>cb09ba27-c93f-488d-a521-1acfca174929</v>
      </c>
      <c r="G62" s="43" t="str">
        <f>IFERROR(__xludf.DUMMYFUNCTION("""COMPUTED_VALUE"""),"NULL")</f>
        <v>NULL</v>
      </c>
      <c r="H62" s="43" t="str">
        <f>IFERROR(__xludf.DUMMYFUNCTION("""COMPUTED_VALUE"""),"""2026-05-21T14:02:29.173Z""")</f>
        <v>"2026-05-21T14:02:29.173Z"</v>
      </c>
      <c r="I62" s="43" t="str">
        <f>IFERROR(__xludf.DUMMYFUNCTION("""COMPUTED_VALUE"""),"NULL")</f>
        <v>NULL</v>
      </c>
      <c r="J62" s="43" t="str">
        <f>IFERROR(__xludf.DUMMYFUNCTION("""COMPUTED_VALUE"""),"NULL")</f>
        <v>NULL</v>
      </c>
      <c r="K62" s="43" t="str">
        <f>IFERROR(__xludf.DUMMYFUNCTION("""COMPUTED_VALUE"""),"""2026-05-20T23:00:23.981Z""")</f>
        <v>"2026-05-20T23:00:23.981Z"</v>
      </c>
      <c r="L62" s="43" t="str">
        <f>IFERROR(__xludf.DUMMYFUNCTION("""COMPUTED_VALUE"""),"""2026-05-21T14:02:29.173Z""")</f>
        <v>"2026-05-21T14:02:29.173Z"</v>
      </c>
      <c r="M62" s="43" t="str">
        <f>IFERROR(__xludf.DUMMYFUNCTION("""COMPUTED_VALUE"""),"3d8c7583-3bd7-40ad-b63e-202ddf2da8dc")</f>
        <v>3d8c7583-3bd7-40ad-b63e-202ddf2da8dc</v>
      </c>
      <c r="N62" s="43" t="str">
        <f>IFERROR(__xludf.DUMMYFUNCTION("""COMPUTED_VALUE"""),"cacf4da3-cd8d-402b-a1e9-f3ad3e7f11bf")</f>
        <v>cacf4da3-cd8d-402b-a1e9-f3ad3e7f11bf</v>
      </c>
      <c r="O62" s="43" t="str">
        <f>IFERROR(__xludf.DUMMYFUNCTION("""COMPUTED_VALUE"""),"{}")</f>
        <v>{}</v>
      </c>
      <c r="P62" s="43" t="str">
        <f>IFERROR(__xludf.DUMMYFUNCTION("""COMPUTED_VALUE"""),"training_review")</f>
        <v>training_review</v>
      </c>
      <c r="Q62" s="43" t="str">
        <f>IFERROR(__xludf.DUMMYFUNCTION("""COMPUTED_VALUE"""),"sheets-training")</f>
        <v>sheets-training</v>
      </c>
      <c r="R62"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62"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2"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62"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62" s="110" t="str">
        <f>IFERROR(__xludf.DUMMYFUNCTION("""COMPUTED_VALUE"""),"https://tsipprd.blob.core.windows.net/tsip-files/3d8c7583-3bd7-40ad-b63e-202ddf2da8dc/605053db-cfdd-4b95-9484-aa07b268091a/1779371958046_meridian_2f6c9c82-25de-4eeb-b1cd-f762a1ab5947_input_workbook__1_.xlsx?sv=2026-02-06&amp;se=2026-05-23T14%3A15%3A04Z&amp;sr=b&amp;s"&amp;"p=r&amp;sig=2CeMkyPwOAQIgIA2Gb%2FRNp1wop4DM%2FrHBGHImOn6OtA%3D")</f>
        <v>https://tsipprd.blob.core.windows.net/tsip-files/3d8c7583-3bd7-40ad-b63e-202ddf2da8dc/605053db-cfdd-4b95-9484-aa07b268091a/1779371958046_meridian_2f6c9c82-25de-4eeb-b1cd-f762a1ab5947_input_workbook__1_.xlsx?sv=2026-02-06&amp;se=2026-05-23T14%3A15%3A04Z&amp;sr=b&amp;sp=r&amp;sig=2CeMkyPwOAQIgIA2Gb%2FRNp1wop4DM%2FrHBGHImOn6OtA%3D</v>
      </c>
      <c r="W62" s="110" t="str">
        <f>IFERROR(__xludf.DUMMYFUNCTION("""COMPUTED_VALUE"""),"https://tsipprd.blob.core.windows.net/tsip-files/3d8c7583-3bd7-40ad-b63e-202ddf2da8dc/605053db-cfdd-4b95-9484-aa07b268091a/1779371966454_meridian_2f6c9c82-25de-4eeb-b1cd-f762a1ab5947_output_workbook__1_.xlsx?sv=2026-02-06&amp;se=2026-05-23T14%3A15%3A04Z&amp;sr=b&amp;"&amp;"sp=r&amp;sig=WALWbrbFtzTLhRbn4dRjya1e3oaETox02nwaFCcTyK8%3D")</f>
        <v>https://tsipprd.blob.core.windows.net/tsip-files/3d8c7583-3bd7-40ad-b63e-202ddf2da8dc/605053db-cfdd-4b95-9484-aa07b268091a/1779371966454_meridian_2f6c9c82-25de-4eeb-b1cd-f762a1ab5947_output_workbook__1_.xlsx?sv=2026-02-06&amp;se=2026-05-23T14%3A15%3A04Z&amp;sr=b&amp;sp=r&amp;sig=WALWbrbFtzTLhRbn4dRjya1e3oaETox02nwaFCcTyK8%3D</v>
      </c>
      <c r="X62" s="43" t="str">
        <f>IFERROR(__xludf.DUMMYFUNCTION("""COMPUTED_VALUE"""),"success")</f>
        <v>success</v>
      </c>
      <c r="Y62" s="43">
        <f>IFERROR(__xludf.DUMMYFUNCTION("""COMPUTED_VALUE"""),2.0)</f>
        <v>2</v>
      </c>
      <c r="Z62"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62" s="43" t="str">
        <f>IFERROR(__xludf.DUMMYFUNCTION("""COMPUTED_VALUE"""),"success")</f>
        <v>success</v>
      </c>
    </row>
    <row r="63">
      <c r="A63" s="110" t="str">
        <f t="shared" si="1"/>
        <v>www.tsip.ai/claim/1c8f6062-9e4e-4485-9f8c-7107b036222c</v>
      </c>
      <c r="B63" s="43" t="str">
        <f>IFERROR(__xludf.DUMMYFUNCTION("""COMPUTED_VALUE"""),"1c8f6062-9e4e-4485-9f8c-7107b036222c")</f>
        <v>1c8f6062-9e4e-4485-9f8c-7107b036222c</v>
      </c>
      <c r="C63" s="43" t="str">
        <f>IFERROR(__xludf.DUMMYFUNCTION("""COMPUTED_VALUE"""),"sheets-training")</f>
        <v>sheets-training</v>
      </c>
      <c r="D63" s="43">
        <f>IFERROR(__xludf.DUMMYFUNCTION("""COMPUTED_VALUE"""),3.0)</f>
        <v>3</v>
      </c>
      <c r="E63" s="43" t="str">
        <f>IFERROR(__xludf.DUMMYFUNCTION("""COMPUTED_VALUE"""),"training_review")</f>
        <v>training_review</v>
      </c>
      <c r="F63" s="43" t="str">
        <f>IFERROR(__xludf.DUMMYFUNCTION("""COMPUTED_VALUE"""),"cb09ba27-c93f-488d-a521-1acfca174929")</f>
        <v>cb09ba27-c93f-488d-a521-1acfca174929</v>
      </c>
      <c r="G63" s="43" t="str">
        <f>IFERROR(__xludf.DUMMYFUNCTION("""COMPUTED_VALUE"""),"NULL")</f>
        <v>NULL</v>
      </c>
      <c r="H63" s="43" t="str">
        <f>IFERROR(__xludf.DUMMYFUNCTION("""COMPUTED_VALUE"""),"""2026-05-20T22:38:16.156Z""")</f>
        <v>"2026-05-20T22:38:16.156Z"</v>
      </c>
      <c r="I63" s="43" t="str">
        <f>IFERROR(__xludf.DUMMYFUNCTION("""COMPUTED_VALUE"""),"NULL")</f>
        <v>NULL</v>
      </c>
      <c r="J63" s="43" t="str">
        <f>IFERROR(__xludf.DUMMYFUNCTION("""COMPUTED_VALUE"""),"""2026-05-20T22:59:43.420Z""")</f>
        <v>"2026-05-20T22:59:43.420Z"</v>
      </c>
      <c r="K63" s="43" t="str">
        <f>IFERROR(__xludf.DUMMYFUNCTION("""COMPUTED_VALUE"""),"""2026-05-20T22:35:21.497Z""")</f>
        <v>"2026-05-20T22:35:21.497Z"</v>
      </c>
      <c r="L63" s="43" t="str">
        <f>IFERROR(__xludf.DUMMYFUNCTION("""COMPUTED_VALUE"""),"""2026-05-20T22:59:43.420Z""")</f>
        <v>"2026-05-20T22:59:43.420Z"</v>
      </c>
      <c r="M63" s="43" t="str">
        <f>IFERROR(__xludf.DUMMYFUNCTION("""COMPUTED_VALUE"""),"e7175f74-f5c9-41f7-9c77-dc3be8341fbf")</f>
        <v>e7175f74-f5c9-41f7-9c77-dc3be8341fbf</v>
      </c>
      <c r="N63" s="43" t="str">
        <f>IFERROR(__xludf.DUMMYFUNCTION("""COMPUTED_VALUE"""),"cacf4da3-cd8d-402b-a1e9-f3ad3e7f11bf")</f>
        <v>cacf4da3-cd8d-402b-a1e9-f3ad3e7f11bf</v>
      </c>
      <c r="O63" s="43" t="str">
        <f>IFERROR(__xludf.DUMMYFUNCTION("""COMPUTED_VALUE"""),"{}")</f>
        <v>{}</v>
      </c>
      <c r="P63" s="43" t="str">
        <f>IFERROR(__xludf.DUMMYFUNCTION("""COMPUTED_VALUE"""),"training_review")</f>
        <v>training_review</v>
      </c>
      <c r="Q63" s="43" t="str">
        <f>IFERROR(__xludf.DUMMYFUNCTION("""COMPUTED_VALUE"""),"sheets-training")</f>
        <v>sheets-training</v>
      </c>
      <c r="R6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6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63" s="43" t="str">
        <f>IFERROR(__xludf.DUMMYFUNCTION("""COMPUTED_VALUE"""),"train yourself!")</f>
        <v>train yourself!</v>
      </c>
      <c r="V63" s="110" t="str">
        <f>IFERROR(__xludf.DUMMYFUNCTION("""COMPUTED_VALUE"""),"https://tsipprd.blob.core.windows.net/tsip-files/imports/cb09ba27-c93f-488d-a521-1acfca174929/1779316481981_input.xlsx?sv=2026-02-06&amp;se=2026-05-23T14%3A15%3A04Z&amp;sr=b&amp;sp=r&amp;sig=aAZ6WfxslRn7mgf5IV%2BGwTtlQ8VTqxg9fEnsNdRjgYo%3D")</f>
        <v>https://tsipprd.blob.core.windows.net/tsip-files/imports/cb09ba27-c93f-488d-a521-1acfca174929/1779316481981_input.xlsx?sv=2026-02-06&amp;se=2026-05-23T14%3A15%3A04Z&amp;sr=b&amp;sp=r&amp;sig=aAZ6WfxslRn7mgf5IV%2BGwTtlQ8VTqxg9fEnsNdRjgYo%3D</v>
      </c>
      <c r="W63" s="110" t="str">
        <f>IFERROR(__xludf.DUMMYFUNCTION("""COMPUTED_VALUE"""),"https://tsipprd.blob.core.windows.net/tsip-files/imports/cb09ba27-c93f-488d-a521-1acfca174929/1779316482562_output.xlsx?sv=2026-02-06&amp;se=2026-05-23T14%3A15%3A04Z&amp;sr=b&amp;sp=r&amp;sig=yoZAvN65Qpjmrte7cN2%2B5GxGGRoxovedk41mYqi5rso%3D")</f>
        <v>https://tsipprd.blob.core.windows.net/tsip-files/imports/cb09ba27-c93f-488d-a521-1acfca174929/1779316482562_output.xlsx?sv=2026-02-06&amp;se=2026-05-23T14%3A15%3A04Z&amp;sr=b&amp;sp=r&amp;sig=yoZAvN65Qpjmrte7cN2%2B5GxGGRoxovedk41mYqi5rso%3D</v>
      </c>
      <c r="X63" s="43" t="str">
        <f>IFERROR(__xludf.DUMMYFUNCTION("""COMPUTED_VALUE"""),"success")</f>
        <v>success</v>
      </c>
      <c r="Y63" s="43">
        <f>IFERROR(__xludf.DUMMYFUNCTION("""COMPUTED_VALUE"""),2.0)</f>
        <v>2</v>
      </c>
      <c r="Z6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63" s="43" t="str">
        <f>IFERROR(__xludf.DUMMYFUNCTION("""COMPUTED_VALUE"""),"success")</f>
        <v>success</v>
      </c>
    </row>
    <row r="64">
      <c r="A64" s="110" t="str">
        <f t="shared" si="1"/>
        <v>www.tsip.ai/claim/605053db-cfdd-4b95-9484-aa07b268091a</v>
      </c>
      <c r="B64" s="43" t="str">
        <f>IFERROR(__xludf.DUMMYFUNCTION("""COMPUTED_VALUE"""),"605053db-cfdd-4b95-9484-aa07b268091a")</f>
        <v>605053db-cfdd-4b95-9484-aa07b268091a</v>
      </c>
      <c r="C64" s="43" t="str">
        <f>IFERROR(__xludf.DUMMYFUNCTION("""COMPUTED_VALUE"""),"sheets-training")</f>
        <v>sheets-training</v>
      </c>
      <c r="D64" s="43">
        <f>IFERROR(__xludf.DUMMYFUNCTION("""COMPUTED_VALUE"""),3.0)</f>
        <v>3</v>
      </c>
      <c r="E64" s="43" t="str">
        <f>IFERROR(__xludf.DUMMYFUNCTION("""COMPUTED_VALUE"""),"training_review")</f>
        <v>training_review</v>
      </c>
      <c r="F64" s="43" t="str">
        <f>IFERROR(__xludf.DUMMYFUNCTION("""COMPUTED_VALUE"""),"cb09ba27-c93f-488d-a521-1acfca174929")</f>
        <v>cb09ba27-c93f-488d-a521-1acfca174929</v>
      </c>
      <c r="G64" s="43" t="str">
        <f>IFERROR(__xludf.DUMMYFUNCTION("""COMPUTED_VALUE"""),"NULL")</f>
        <v>NULL</v>
      </c>
      <c r="H64" s="43" t="str">
        <f>IFERROR(__xludf.DUMMYFUNCTION("""COMPUTED_VALUE"""),"""2026-05-21T14:02:29.173Z""")</f>
        <v>"2026-05-21T14:02:29.173Z"</v>
      </c>
      <c r="I64" s="43" t="str">
        <f>IFERROR(__xludf.DUMMYFUNCTION("""COMPUTED_VALUE"""),"NULL")</f>
        <v>NULL</v>
      </c>
      <c r="J64" s="43" t="str">
        <f>IFERROR(__xludf.DUMMYFUNCTION("""COMPUTED_VALUE"""),"NULL")</f>
        <v>NULL</v>
      </c>
      <c r="K64" s="43" t="str">
        <f>IFERROR(__xludf.DUMMYFUNCTION("""COMPUTED_VALUE"""),"""2026-05-20T23:00:23.981Z""")</f>
        <v>"2026-05-20T23:00:23.981Z"</v>
      </c>
      <c r="L64" s="43" t="str">
        <f>IFERROR(__xludf.DUMMYFUNCTION("""COMPUTED_VALUE"""),"""2026-05-21T14:02:29.173Z""")</f>
        <v>"2026-05-21T14:02:29.173Z"</v>
      </c>
      <c r="M64" s="43" t="str">
        <f>IFERROR(__xludf.DUMMYFUNCTION("""COMPUTED_VALUE"""),"3d8c7583-3bd7-40ad-b63e-202ddf2da8dc")</f>
        <v>3d8c7583-3bd7-40ad-b63e-202ddf2da8dc</v>
      </c>
      <c r="N64" s="43" t="str">
        <f>IFERROR(__xludf.DUMMYFUNCTION("""COMPUTED_VALUE"""),"cacf4da3-cd8d-402b-a1e9-f3ad3e7f11bf")</f>
        <v>cacf4da3-cd8d-402b-a1e9-f3ad3e7f11bf</v>
      </c>
      <c r="O64" s="43" t="str">
        <f>IFERROR(__xludf.DUMMYFUNCTION("""COMPUTED_VALUE"""),"{}")</f>
        <v>{}</v>
      </c>
      <c r="P64" s="43" t="str">
        <f>IFERROR(__xludf.DUMMYFUNCTION("""COMPUTED_VALUE"""),"training_review")</f>
        <v>training_review</v>
      </c>
      <c r="Q64" s="43" t="str">
        <f>IFERROR(__xludf.DUMMYFUNCTION("""COMPUTED_VALUE"""),"sheets-training")</f>
        <v>sheets-training</v>
      </c>
      <c r="R64"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64"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4"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64"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64" s="110" t="str">
        <f>IFERROR(__xludf.DUMMYFUNCTION("""COMPUTED_VALUE"""),"https://tsipprd.blob.core.windows.net/tsip-files/3d8c7583-3bd7-40ad-b63e-202ddf2da8dc/605053db-cfdd-4b95-9484-aa07b268091a/1779371958046_meridian_2f6c9c82-25de-4eeb-b1cd-f762a1ab5947_input_workbook__1_.xlsx?sv=2026-02-06&amp;se=2026-05-23T14%3A30%3A03Z&amp;sr=b&amp;s"&amp;"p=r&amp;sig=sZSozw9POeOVHwdOt5yFPHACXn1YzkXD%2BxhORkVx4K0%3D")</f>
        <v>https://tsipprd.blob.core.windows.net/tsip-files/3d8c7583-3bd7-40ad-b63e-202ddf2da8dc/605053db-cfdd-4b95-9484-aa07b268091a/1779371958046_meridian_2f6c9c82-25de-4eeb-b1cd-f762a1ab5947_input_workbook__1_.xlsx?sv=2026-02-06&amp;se=2026-05-23T14%3A30%3A03Z&amp;sr=b&amp;sp=r&amp;sig=sZSozw9POeOVHwdOt5yFPHACXn1YzkXD%2BxhORkVx4K0%3D</v>
      </c>
      <c r="W64" s="110" t="str">
        <f>IFERROR(__xludf.DUMMYFUNCTION("""COMPUTED_VALUE"""),"https://tsipprd.blob.core.windows.net/tsip-files/3d8c7583-3bd7-40ad-b63e-202ddf2da8dc/605053db-cfdd-4b95-9484-aa07b268091a/1779371966454_meridian_2f6c9c82-25de-4eeb-b1cd-f762a1ab5947_output_workbook__1_.xlsx?sv=2026-02-06&amp;se=2026-05-23T14%3A30%3A03Z&amp;sr=b&amp;"&amp;"sp=r&amp;sig=FlS5CDmnKVILzh1IoANq%2FnGdbw8bsRUkM0sJSESxksM%3D")</f>
        <v>https://tsipprd.blob.core.windows.net/tsip-files/3d8c7583-3bd7-40ad-b63e-202ddf2da8dc/605053db-cfdd-4b95-9484-aa07b268091a/1779371966454_meridian_2f6c9c82-25de-4eeb-b1cd-f762a1ab5947_output_workbook__1_.xlsx?sv=2026-02-06&amp;se=2026-05-23T14%3A30%3A03Z&amp;sr=b&amp;sp=r&amp;sig=FlS5CDmnKVILzh1IoANq%2FnGdbw8bsRUkM0sJSESxksM%3D</v>
      </c>
      <c r="X64" s="43" t="str">
        <f>IFERROR(__xludf.DUMMYFUNCTION("""COMPUTED_VALUE"""),"success")</f>
        <v>success</v>
      </c>
      <c r="Y64" s="43">
        <f>IFERROR(__xludf.DUMMYFUNCTION("""COMPUTED_VALUE"""),2.0)</f>
        <v>2</v>
      </c>
      <c r="Z64"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64" s="43" t="str">
        <f>IFERROR(__xludf.DUMMYFUNCTION("""COMPUTED_VALUE"""),"success")</f>
        <v>success</v>
      </c>
    </row>
    <row r="65">
      <c r="A65" s="110" t="str">
        <f t="shared" si="1"/>
        <v>www.tsip.ai/claim/1c8f6062-9e4e-4485-9f8c-7107b036222c</v>
      </c>
      <c r="B65" s="43" t="str">
        <f>IFERROR(__xludf.DUMMYFUNCTION("""COMPUTED_VALUE"""),"1c8f6062-9e4e-4485-9f8c-7107b036222c")</f>
        <v>1c8f6062-9e4e-4485-9f8c-7107b036222c</v>
      </c>
      <c r="C65" s="43" t="str">
        <f>IFERROR(__xludf.DUMMYFUNCTION("""COMPUTED_VALUE"""),"sheets-training")</f>
        <v>sheets-training</v>
      </c>
      <c r="D65" s="43">
        <f>IFERROR(__xludf.DUMMYFUNCTION("""COMPUTED_VALUE"""),3.0)</f>
        <v>3</v>
      </c>
      <c r="E65" s="43" t="str">
        <f>IFERROR(__xludf.DUMMYFUNCTION("""COMPUTED_VALUE"""),"training_review")</f>
        <v>training_review</v>
      </c>
      <c r="F65" s="43" t="str">
        <f>IFERROR(__xludf.DUMMYFUNCTION("""COMPUTED_VALUE"""),"cb09ba27-c93f-488d-a521-1acfca174929")</f>
        <v>cb09ba27-c93f-488d-a521-1acfca174929</v>
      </c>
      <c r="G65" s="43" t="str">
        <f>IFERROR(__xludf.DUMMYFUNCTION("""COMPUTED_VALUE"""),"NULL")</f>
        <v>NULL</v>
      </c>
      <c r="H65" s="43" t="str">
        <f>IFERROR(__xludf.DUMMYFUNCTION("""COMPUTED_VALUE"""),"""2026-05-20T22:38:16.156Z""")</f>
        <v>"2026-05-20T22:38:16.156Z"</v>
      </c>
      <c r="I65" s="43" t="str">
        <f>IFERROR(__xludf.DUMMYFUNCTION("""COMPUTED_VALUE"""),"NULL")</f>
        <v>NULL</v>
      </c>
      <c r="J65" s="43" t="str">
        <f>IFERROR(__xludf.DUMMYFUNCTION("""COMPUTED_VALUE"""),"""2026-05-20T22:59:43.420Z""")</f>
        <v>"2026-05-20T22:59:43.420Z"</v>
      </c>
      <c r="K65" s="43" t="str">
        <f>IFERROR(__xludf.DUMMYFUNCTION("""COMPUTED_VALUE"""),"""2026-05-20T22:35:21.497Z""")</f>
        <v>"2026-05-20T22:35:21.497Z"</v>
      </c>
      <c r="L65" s="43" t="str">
        <f>IFERROR(__xludf.DUMMYFUNCTION("""COMPUTED_VALUE"""),"""2026-05-20T22:59:43.420Z""")</f>
        <v>"2026-05-20T22:59:43.420Z"</v>
      </c>
      <c r="M65" s="43" t="str">
        <f>IFERROR(__xludf.DUMMYFUNCTION("""COMPUTED_VALUE"""),"e7175f74-f5c9-41f7-9c77-dc3be8341fbf")</f>
        <v>e7175f74-f5c9-41f7-9c77-dc3be8341fbf</v>
      </c>
      <c r="N65" s="43" t="str">
        <f>IFERROR(__xludf.DUMMYFUNCTION("""COMPUTED_VALUE"""),"cacf4da3-cd8d-402b-a1e9-f3ad3e7f11bf")</f>
        <v>cacf4da3-cd8d-402b-a1e9-f3ad3e7f11bf</v>
      </c>
      <c r="O65" s="43" t="str">
        <f>IFERROR(__xludf.DUMMYFUNCTION("""COMPUTED_VALUE"""),"{}")</f>
        <v>{}</v>
      </c>
      <c r="P65" s="43" t="str">
        <f>IFERROR(__xludf.DUMMYFUNCTION("""COMPUTED_VALUE"""),"training_review")</f>
        <v>training_review</v>
      </c>
      <c r="Q65" s="43" t="str">
        <f>IFERROR(__xludf.DUMMYFUNCTION("""COMPUTED_VALUE"""),"sheets-training")</f>
        <v>sheets-training</v>
      </c>
      <c r="R6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6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65" s="43" t="str">
        <f>IFERROR(__xludf.DUMMYFUNCTION("""COMPUTED_VALUE"""),"train yourself!")</f>
        <v>train yourself!</v>
      </c>
      <c r="V65" s="110" t="str">
        <f>IFERROR(__xludf.DUMMYFUNCTION("""COMPUTED_VALUE"""),"https://tsipprd.blob.core.windows.net/tsip-files/imports/cb09ba27-c93f-488d-a521-1acfca174929/1779316481981_input.xlsx?sv=2026-02-06&amp;se=2026-05-23T14%3A30%3A03Z&amp;sr=b&amp;sp=r&amp;sig=Y5uXunwPExnEaU6p%2BEy2f91z26Rmb%2B3n3WWOWLEJlaA%3D")</f>
        <v>https://tsipprd.blob.core.windows.net/tsip-files/imports/cb09ba27-c93f-488d-a521-1acfca174929/1779316481981_input.xlsx?sv=2026-02-06&amp;se=2026-05-23T14%3A30%3A03Z&amp;sr=b&amp;sp=r&amp;sig=Y5uXunwPExnEaU6p%2BEy2f91z26Rmb%2B3n3WWOWLEJlaA%3D</v>
      </c>
      <c r="W65" s="110" t="str">
        <f>IFERROR(__xludf.DUMMYFUNCTION("""COMPUTED_VALUE"""),"https://tsipprd.blob.core.windows.net/tsip-files/imports/cb09ba27-c93f-488d-a521-1acfca174929/1779316482562_output.xlsx?sv=2026-02-06&amp;se=2026-05-23T14%3A30%3A03Z&amp;sr=b&amp;sp=r&amp;sig=%2Bp%2BHCjhyz4xTLRG2YvxxxJCVYBTw7VNoCTr7Oo4VDoQ%3D")</f>
        <v>https://tsipprd.blob.core.windows.net/tsip-files/imports/cb09ba27-c93f-488d-a521-1acfca174929/1779316482562_output.xlsx?sv=2026-02-06&amp;se=2026-05-23T14%3A30%3A03Z&amp;sr=b&amp;sp=r&amp;sig=%2Bp%2BHCjhyz4xTLRG2YvxxxJCVYBTw7VNoCTr7Oo4VDoQ%3D</v>
      </c>
      <c r="X65" s="43" t="str">
        <f>IFERROR(__xludf.DUMMYFUNCTION("""COMPUTED_VALUE"""),"success")</f>
        <v>success</v>
      </c>
      <c r="Y65" s="43">
        <f>IFERROR(__xludf.DUMMYFUNCTION("""COMPUTED_VALUE"""),2.0)</f>
        <v>2</v>
      </c>
      <c r="Z6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65" s="43" t="str">
        <f>IFERROR(__xludf.DUMMYFUNCTION("""COMPUTED_VALUE"""),"success")</f>
        <v>success</v>
      </c>
    </row>
    <row r="66">
      <c r="A66" s="110" t="str">
        <f t="shared" si="1"/>
        <v>www.tsip.ai/claim/605053db-cfdd-4b95-9484-aa07b268091a</v>
      </c>
      <c r="B66" s="43" t="str">
        <f>IFERROR(__xludf.DUMMYFUNCTION("""COMPUTED_VALUE"""),"605053db-cfdd-4b95-9484-aa07b268091a")</f>
        <v>605053db-cfdd-4b95-9484-aa07b268091a</v>
      </c>
      <c r="C66" s="43" t="str">
        <f>IFERROR(__xludf.DUMMYFUNCTION("""COMPUTED_VALUE"""),"sheets-training")</f>
        <v>sheets-training</v>
      </c>
      <c r="D66" s="43">
        <f>IFERROR(__xludf.DUMMYFUNCTION("""COMPUTED_VALUE"""),3.0)</f>
        <v>3</v>
      </c>
      <c r="E66" s="43" t="str">
        <f>IFERROR(__xludf.DUMMYFUNCTION("""COMPUTED_VALUE"""),"training_review")</f>
        <v>training_review</v>
      </c>
      <c r="F66" s="43" t="str">
        <f>IFERROR(__xludf.DUMMYFUNCTION("""COMPUTED_VALUE"""),"cb09ba27-c93f-488d-a521-1acfca174929")</f>
        <v>cb09ba27-c93f-488d-a521-1acfca174929</v>
      </c>
      <c r="G66" s="43" t="str">
        <f>IFERROR(__xludf.DUMMYFUNCTION("""COMPUTED_VALUE"""),"NULL")</f>
        <v>NULL</v>
      </c>
      <c r="H66" s="43" t="str">
        <f>IFERROR(__xludf.DUMMYFUNCTION("""COMPUTED_VALUE"""),"""2026-05-21T14:02:29.173Z""")</f>
        <v>"2026-05-21T14:02:29.173Z"</v>
      </c>
      <c r="I66" s="43" t="str">
        <f>IFERROR(__xludf.DUMMYFUNCTION("""COMPUTED_VALUE"""),"NULL")</f>
        <v>NULL</v>
      </c>
      <c r="J66" s="43" t="str">
        <f>IFERROR(__xludf.DUMMYFUNCTION("""COMPUTED_VALUE"""),"NULL")</f>
        <v>NULL</v>
      </c>
      <c r="K66" s="43" t="str">
        <f>IFERROR(__xludf.DUMMYFUNCTION("""COMPUTED_VALUE"""),"""2026-05-20T23:00:23.981Z""")</f>
        <v>"2026-05-20T23:00:23.981Z"</v>
      </c>
      <c r="L66" s="43" t="str">
        <f>IFERROR(__xludf.DUMMYFUNCTION("""COMPUTED_VALUE"""),"""2026-05-21T14:02:29.173Z""")</f>
        <v>"2026-05-21T14:02:29.173Z"</v>
      </c>
      <c r="M66" s="43" t="str">
        <f>IFERROR(__xludf.DUMMYFUNCTION("""COMPUTED_VALUE"""),"3d8c7583-3bd7-40ad-b63e-202ddf2da8dc")</f>
        <v>3d8c7583-3bd7-40ad-b63e-202ddf2da8dc</v>
      </c>
      <c r="N66" s="43" t="str">
        <f>IFERROR(__xludf.DUMMYFUNCTION("""COMPUTED_VALUE"""),"cacf4da3-cd8d-402b-a1e9-f3ad3e7f11bf")</f>
        <v>cacf4da3-cd8d-402b-a1e9-f3ad3e7f11bf</v>
      </c>
      <c r="O66" s="43" t="str">
        <f>IFERROR(__xludf.DUMMYFUNCTION("""COMPUTED_VALUE"""),"{}")</f>
        <v>{}</v>
      </c>
      <c r="P66" s="43" t="str">
        <f>IFERROR(__xludf.DUMMYFUNCTION("""COMPUTED_VALUE"""),"training_review")</f>
        <v>training_review</v>
      </c>
      <c r="Q66" s="43" t="str">
        <f>IFERROR(__xludf.DUMMYFUNCTION("""COMPUTED_VALUE"""),"sheets-training")</f>
        <v>sheets-training</v>
      </c>
      <c r="R66"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66"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6"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66"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66" s="110" t="str">
        <f>IFERROR(__xludf.DUMMYFUNCTION("""COMPUTED_VALUE"""),"https://tsipprd.blob.core.windows.net/tsip-files/3d8c7583-3bd7-40ad-b63e-202ddf2da8dc/605053db-cfdd-4b95-9484-aa07b268091a/1779371958046_meridian_2f6c9c82-25de-4eeb-b1cd-f762a1ab5947_input_workbook__1_.xlsx?sv=2026-02-06&amp;se=2026-05-23T14%3A45%3A01Z&amp;sr=b&amp;s"&amp;"p=r&amp;sig=QpN3v0wfsxmstrZYqwMSFxMEhijp52VumcVALQiYXKg%3D")</f>
        <v>https://tsipprd.blob.core.windows.net/tsip-files/3d8c7583-3bd7-40ad-b63e-202ddf2da8dc/605053db-cfdd-4b95-9484-aa07b268091a/1779371958046_meridian_2f6c9c82-25de-4eeb-b1cd-f762a1ab5947_input_workbook__1_.xlsx?sv=2026-02-06&amp;se=2026-05-23T14%3A45%3A01Z&amp;sr=b&amp;sp=r&amp;sig=QpN3v0wfsxmstrZYqwMSFxMEhijp52VumcVALQiYXKg%3D</v>
      </c>
      <c r="W66" s="110" t="str">
        <f>IFERROR(__xludf.DUMMYFUNCTION("""COMPUTED_VALUE"""),"https://tsipprd.blob.core.windows.net/tsip-files/3d8c7583-3bd7-40ad-b63e-202ddf2da8dc/605053db-cfdd-4b95-9484-aa07b268091a/1779371966454_meridian_2f6c9c82-25de-4eeb-b1cd-f762a1ab5947_output_workbook__1_.xlsx?sv=2026-02-06&amp;se=2026-05-23T14%3A45%3A01Z&amp;sr=b&amp;"&amp;"sp=r&amp;sig=b%2FZ%2BhjubO3sIhhBdXn5w%2FKizcYY3JjAmOD%2FHN5fXsO0%3D")</f>
        <v>https://tsipprd.blob.core.windows.net/tsip-files/3d8c7583-3bd7-40ad-b63e-202ddf2da8dc/605053db-cfdd-4b95-9484-aa07b268091a/1779371966454_meridian_2f6c9c82-25de-4eeb-b1cd-f762a1ab5947_output_workbook__1_.xlsx?sv=2026-02-06&amp;se=2026-05-23T14%3A45%3A01Z&amp;sr=b&amp;sp=r&amp;sig=b%2FZ%2BhjubO3sIhhBdXn5w%2FKizcYY3JjAmOD%2FHN5fXsO0%3D</v>
      </c>
      <c r="X66" s="43" t="str">
        <f>IFERROR(__xludf.DUMMYFUNCTION("""COMPUTED_VALUE"""),"success")</f>
        <v>success</v>
      </c>
      <c r="Y66" s="43">
        <f>IFERROR(__xludf.DUMMYFUNCTION("""COMPUTED_VALUE"""),2.0)</f>
        <v>2</v>
      </c>
      <c r="Z66"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66" s="43" t="str">
        <f>IFERROR(__xludf.DUMMYFUNCTION("""COMPUTED_VALUE"""),"success")</f>
        <v>success</v>
      </c>
    </row>
    <row r="67">
      <c r="A67" s="110" t="str">
        <f t="shared" si="1"/>
        <v>www.tsip.ai/claim/1c8f6062-9e4e-4485-9f8c-7107b036222c</v>
      </c>
      <c r="B67" s="43" t="str">
        <f>IFERROR(__xludf.DUMMYFUNCTION("""COMPUTED_VALUE"""),"1c8f6062-9e4e-4485-9f8c-7107b036222c")</f>
        <v>1c8f6062-9e4e-4485-9f8c-7107b036222c</v>
      </c>
      <c r="C67" s="43" t="str">
        <f>IFERROR(__xludf.DUMMYFUNCTION("""COMPUTED_VALUE"""),"sheets-training")</f>
        <v>sheets-training</v>
      </c>
      <c r="D67" s="43">
        <f>IFERROR(__xludf.DUMMYFUNCTION("""COMPUTED_VALUE"""),3.0)</f>
        <v>3</v>
      </c>
      <c r="E67" s="43" t="str">
        <f>IFERROR(__xludf.DUMMYFUNCTION("""COMPUTED_VALUE"""),"training_review")</f>
        <v>training_review</v>
      </c>
      <c r="F67" s="43" t="str">
        <f>IFERROR(__xludf.DUMMYFUNCTION("""COMPUTED_VALUE"""),"cb09ba27-c93f-488d-a521-1acfca174929")</f>
        <v>cb09ba27-c93f-488d-a521-1acfca174929</v>
      </c>
      <c r="G67" s="43" t="str">
        <f>IFERROR(__xludf.DUMMYFUNCTION("""COMPUTED_VALUE"""),"NULL")</f>
        <v>NULL</v>
      </c>
      <c r="H67" s="43" t="str">
        <f>IFERROR(__xludf.DUMMYFUNCTION("""COMPUTED_VALUE"""),"""2026-05-20T22:38:16.156Z""")</f>
        <v>"2026-05-20T22:38:16.156Z"</v>
      </c>
      <c r="I67" s="43" t="str">
        <f>IFERROR(__xludf.DUMMYFUNCTION("""COMPUTED_VALUE"""),"NULL")</f>
        <v>NULL</v>
      </c>
      <c r="J67" s="43" t="str">
        <f>IFERROR(__xludf.DUMMYFUNCTION("""COMPUTED_VALUE"""),"""2026-05-20T22:59:43.420Z""")</f>
        <v>"2026-05-20T22:59:43.420Z"</v>
      </c>
      <c r="K67" s="43" t="str">
        <f>IFERROR(__xludf.DUMMYFUNCTION("""COMPUTED_VALUE"""),"""2026-05-20T22:35:21.497Z""")</f>
        <v>"2026-05-20T22:35:21.497Z"</v>
      </c>
      <c r="L67" s="43" t="str">
        <f>IFERROR(__xludf.DUMMYFUNCTION("""COMPUTED_VALUE"""),"""2026-05-20T22:59:43.420Z""")</f>
        <v>"2026-05-20T22:59:43.420Z"</v>
      </c>
      <c r="M67" s="43" t="str">
        <f>IFERROR(__xludf.DUMMYFUNCTION("""COMPUTED_VALUE"""),"e7175f74-f5c9-41f7-9c77-dc3be8341fbf")</f>
        <v>e7175f74-f5c9-41f7-9c77-dc3be8341fbf</v>
      </c>
      <c r="N67" s="43" t="str">
        <f>IFERROR(__xludf.DUMMYFUNCTION("""COMPUTED_VALUE"""),"cacf4da3-cd8d-402b-a1e9-f3ad3e7f11bf")</f>
        <v>cacf4da3-cd8d-402b-a1e9-f3ad3e7f11bf</v>
      </c>
      <c r="O67" s="43" t="str">
        <f>IFERROR(__xludf.DUMMYFUNCTION("""COMPUTED_VALUE"""),"{}")</f>
        <v>{}</v>
      </c>
      <c r="P67" s="43" t="str">
        <f>IFERROR(__xludf.DUMMYFUNCTION("""COMPUTED_VALUE"""),"training_review")</f>
        <v>training_review</v>
      </c>
      <c r="Q67" s="43" t="str">
        <f>IFERROR(__xludf.DUMMYFUNCTION("""COMPUTED_VALUE"""),"sheets-training")</f>
        <v>sheets-training</v>
      </c>
      <c r="R6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6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67" s="43" t="str">
        <f>IFERROR(__xludf.DUMMYFUNCTION("""COMPUTED_VALUE"""),"train yourself!")</f>
        <v>train yourself!</v>
      </c>
      <c r="V67" s="110" t="str">
        <f>IFERROR(__xludf.DUMMYFUNCTION("""COMPUTED_VALUE"""),"https://tsipprd.blob.core.windows.net/tsip-files/imports/cb09ba27-c93f-488d-a521-1acfca174929/1779316481981_input.xlsx?sv=2026-02-06&amp;se=2026-05-23T14%3A45%3A01Z&amp;sr=b&amp;sp=r&amp;sig=D4urhqUK1nB9req7z%2FZ8wdMgMH8%2FsnJt8tz9ODhMBFc%3D")</f>
        <v>https://tsipprd.blob.core.windows.net/tsip-files/imports/cb09ba27-c93f-488d-a521-1acfca174929/1779316481981_input.xlsx?sv=2026-02-06&amp;se=2026-05-23T14%3A45%3A01Z&amp;sr=b&amp;sp=r&amp;sig=D4urhqUK1nB9req7z%2FZ8wdMgMH8%2FsnJt8tz9ODhMBFc%3D</v>
      </c>
      <c r="W67" s="110" t="str">
        <f>IFERROR(__xludf.DUMMYFUNCTION("""COMPUTED_VALUE"""),"https://tsipprd.blob.core.windows.net/tsip-files/imports/cb09ba27-c93f-488d-a521-1acfca174929/1779316482562_output.xlsx?sv=2026-02-06&amp;se=2026-05-23T14%3A45%3A01Z&amp;sr=b&amp;sp=r&amp;sig=WHOigVAm9mC5rC3adTVQjAT%2B3pmGk%2FwEfkd%2BJ7wEkYQ%3D")</f>
        <v>https://tsipprd.blob.core.windows.net/tsip-files/imports/cb09ba27-c93f-488d-a521-1acfca174929/1779316482562_output.xlsx?sv=2026-02-06&amp;se=2026-05-23T14%3A45%3A01Z&amp;sr=b&amp;sp=r&amp;sig=WHOigVAm9mC5rC3adTVQjAT%2B3pmGk%2FwEfkd%2BJ7wEkYQ%3D</v>
      </c>
      <c r="X67" s="43" t="str">
        <f>IFERROR(__xludf.DUMMYFUNCTION("""COMPUTED_VALUE"""),"success")</f>
        <v>success</v>
      </c>
      <c r="Y67" s="43">
        <f>IFERROR(__xludf.DUMMYFUNCTION("""COMPUTED_VALUE"""),2.0)</f>
        <v>2</v>
      </c>
      <c r="Z6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67" s="43" t="str">
        <f>IFERROR(__xludf.DUMMYFUNCTION("""COMPUTED_VALUE"""),"success")</f>
        <v>success</v>
      </c>
    </row>
    <row r="68">
      <c r="A68" s="110" t="str">
        <f t="shared" si="1"/>
        <v>www.tsip.ai/claim/605053db-cfdd-4b95-9484-aa07b268091a</v>
      </c>
      <c r="B68" s="43" t="str">
        <f>IFERROR(__xludf.DUMMYFUNCTION("""COMPUTED_VALUE"""),"605053db-cfdd-4b95-9484-aa07b268091a")</f>
        <v>605053db-cfdd-4b95-9484-aa07b268091a</v>
      </c>
      <c r="C68" s="43" t="str">
        <f>IFERROR(__xludf.DUMMYFUNCTION("""COMPUTED_VALUE"""),"sheets-training")</f>
        <v>sheets-training</v>
      </c>
      <c r="D68" s="43">
        <f>IFERROR(__xludf.DUMMYFUNCTION("""COMPUTED_VALUE"""),3.0)</f>
        <v>3</v>
      </c>
      <c r="E68" s="43" t="str">
        <f>IFERROR(__xludf.DUMMYFUNCTION("""COMPUTED_VALUE"""),"training_review")</f>
        <v>training_review</v>
      </c>
      <c r="F68" s="43" t="str">
        <f>IFERROR(__xludf.DUMMYFUNCTION("""COMPUTED_VALUE"""),"cb09ba27-c93f-488d-a521-1acfca174929")</f>
        <v>cb09ba27-c93f-488d-a521-1acfca174929</v>
      </c>
      <c r="G68" s="43" t="str">
        <f>IFERROR(__xludf.DUMMYFUNCTION("""COMPUTED_VALUE"""),"NULL")</f>
        <v>NULL</v>
      </c>
      <c r="H68" s="43" t="str">
        <f>IFERROR(__xludf.DUMMYFUNCTION("""COMPUTED_VALUE"""),"""2026-05-21T14:02:29.173Z""")</f>
        <v>"2026-05-21T14:02:29.173Z"</v>
      </c>
      <c r="I68" s="43" t="str">
        <f>IFERROR(__xludf.DUMMYFUNCTION("""COMPUTED_VALUE"""),"NULL")</f>
        <v>NULL</v>
      </c>
      <c r="J68" s="43" t="str">
        <f>IFERROR(__xludf.DUMMYFUNCTION("""COMPUTED_VALUE"""),"NULL")</f>
        <v>NULL</v>
      </c>
      <c r="K68" s="43" t="str">
        <f>IFERROR(__xludf.DUMMYFUNCTION("""COMPUTED_VALUE"""),"""2026-05-20T23:00:23.981Z""")</f>
        <v>"2026-05-20T23:00:23.981Z"</v>
      </c>
      <c r="L68" s="43" t="str">
        <f>IFERROR(__xludf.DUMMYFUNCTION("""COMPUTED_VALUE"""),"""2026-05-21T14:02:29.173Z""")</f>
        <v>"2026-05-21T14:02:29.173Z"</v>
      </c>
      <c r="M68" s="43" t="str">
        <f>IFERROR(__xludf.DUMMYFUNCTION("""COMPUTED_VALUE"""),"3d8c7583-3bd7-40ad-b63e-202ddf2da8dc")</f>
        <v>3d8c7583-3bd7-40ad-b63e-202ddf2da8dc</v>
      </c>
      <c r="N68" s="43" t="str">
        <f>IFERROR(__xludf.DUMMYFUNCTION("""COMPUTED_VALUE"""),"cacf4da3-cd8d-402b-a1e9-f3ad3e7f11bf")</f>
        <v>cacf4da3-cd8d-402b-a1e9-f3ad3e7f11bf</v>
      </c>
      <c r="O68" s="43" t="str">
        <f>IFERROR(__xludf.DUMMYFUNCTION("""COMPUTED_VALUE"""),"{}")</f>
        <v>{}</v>
      </c>
      <c r="P68" s="43" t="str">
        <f>IFERROR(__xludf.DUMMYFUNCTION("""COMPUTED_VALUE"""),"training_review")</f>
        <v>training_review</v>
      </c>
      <c r="Q68" s="43" t="str">
        <f>IFERROR(__xludf.DUMMYFUNCTION("""COMPUTED_VALUE"""),"sheets-training")</f>
        <v>sheets-training</v>
      </c>
      <c r="R68"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68"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8"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68"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68" s="110" t="str">
        <f>IFERROR(__xludf.DUMMYFUNCTION("""COMPUTED_VALUE"""),"https://tsipprd.blob.core.windows.net/tsip-files/3d8c7583-3bd7-40ad-b63e-202ddf2da8dc/605053db-cfdd-4b95-9484-aa07b268091a/1779371958046_meridian_2f6c9c82-25de-4eeb-b1cd-f762a1ab5947_input_workbook__1_.xlsx?sv=2026-02-06&amp;se=2026-05-23T15%3A00%3A02Z&amp;sr=b&amp;s"&amp;"p=r&amp;sig=Z13lnvZl16wOQhJGc7DbWnYwa%2Fp40ZFjQkZiOZECYNw%3D")</f>
        <v>https://tsipprd.blob.core.windows.net/tsip-files/3d8c7583-3bd7-40ad-b63e-202ddf2da8dc/605053db-cfdd-4b95-9484-aa07b268091a/1779371958046_meridian_2f6c9c82-25de-4eeb-b1cd-f762a1ab5947_input_workbook__1_.xlsx?sv=2026-02-06&amp;se=2026-05-23T15%3A00%3A02Z&amp;sr=b&amp;sp=r&amp;sig=Z13lnvZl16wOQhJGc7DbWnYwa%2Fp40ZFjQkZiOZECYNw%3D</v>
      </c>
      <c r="W68" s="110" t="str">
        <f>IFERROR(__xludf.DUMMYFUNCTION("""COMPUTED_VALUE"""),"https://tsipprd.blob.core.windows.net/tsip-files/3d8c7583-3bd7-40ad-b63e-202ddf2da8dc/605053db-cfdd-4b95-9484-aa07b268091a/1779371966454_meridian_2f6c9c82-25de-4eeb-b1cd-f762a1ab5947_output_workbook__1_.xlsx?sv=2026-02-06&amp;se=2026-05-23T15%3A00%3A02Z&amp;sr=b&amp;"&amp;"sp=r&amp;sig=Xxu4GSC5YKjJ6nCqv%2FQnz%2BPLDksIh28r8lByfGqghCk%3D")</f>
        <v>https://tsipprd.blob.core.windows.net/tsip-files/3d8c7583-3bd7-40ad-b63e-202ddf2da8dc/605053db-cfdd-4b95-9484-aa07b268091a/1779371966454_meridian_2f6c9c82-25de-4eeb-b1cd-f762a1ab5947_output_workbook__1_.xlsx?sv=2026-02-06&amp;se=2026-05-23T15%3A00%3A02Z&amp;sr=b&amp;sp=r&amp;sig=Xxu4GSC5YKjJ6nCqv%2FQnz%2BPLDksIh28r8lByfGqghCk%3D</v>
      </c>
      <c r="X68" s="43" t="str">
        <f>IFERROR(__xludf.DUMMYFUNCTION("""COMPUTED_VALUE"""),"success")</f>
        <v>success</v>
      </c>
      <c r="Y68" s="43">
        <f>IFERROR(__xludf.DUMMYFUNCTION("""COMPUTED_VALUE"""),2.0)</f>
        <v>2</v>
      </c>
      <c r="Z68"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68" s="43" t="str">
        <f>IFERROR(__xludf.DUMMYFUNCTION("""COMPUTED_VALUE"""),"success")</f>
        <v>success</v>
      </c>
    </row>
    <row r="69">
      <c r="A69" s="110" t="str">
        <f t="shared" si="1"/>
        <v>www.tsip.ai/claim/1c8f6062-9e4e-4485-9f8c-7107b036222c</v>
      </c>
      <c r="B69" s="43" t="str">
        <f>IFERROR(__xludf.DUMMYFUNCTION("""COMPUTED_VALUE"""),"1c8f6062-9e4e-4485-9f8c-7107b036222c")</f>
        <v>1c8f6062-9e4e-4485-9f8c-7107b036222c</v>
      </c>
      <c r="C69" s="43" t="str">
        <f>IFERROR(__xludf.DUMMYFUNCTION("""COMPUTED_VALUE"""),"sheets-training")</f>
        <v>sheets-training</v>
      </c>
      <c r="D69" s="43">
        <f>IFERROR(__xludf.DUMMYFUNCTION("""COMPUTED_VALUE"""),3.0)</f>
        <v>3</v>
      </c>
      <c r="E69" s="43" t="str">
        <f>IFERROR(__xludf.DUMMYFUNCTION("""COMPUTED_VALUE"""),"training_review")</f>
        <v>training_review</v>
      </c>
      <c r="F69" s="43" t="str">
        <f>IFERROR(__xludf.DUMMYFUNCTION("""COMPUTED_VALUE"""),"cb09ba27-c93f-488d-a521-1acfca174929")</f>
        <v>cb09ba27-c93f-488d-a521-1acfca174929</v>
      </c>
      <c r="G69" s="43" t="str">
        <f>IFERROR(__xludf.DUMMYFUNCTION("""COMPUTED_VALUE"""),"NULL")</f>
        <v>NULL</v>
      </c>
      <c r="H69" s="43" t="str">
        <f>IFERROR(__xludf.DUMMYFUNCTION("""COMPUTED_VALUE"""),"""2026-05-20T22:38:16.156Z""")</f>
        <v>"2026-05-20T22:38:16.156Z"</v>
      </c>
      <c r="I69" s="43" t="str">
        <f>IFERROR(__xludf.DUMMYFUNCTION("""COMPUTED_VALUE"""),"NULL")</f>
        <v>NULL</v>
      </c>
      <c r="J69" s="43" t="str">
        <f>IFERROR(__xludf.DUMMYFUNCTION("""COMPUTED_VALUE"""),"""2026-05-20T22:59:43.420Z""")</f>
        <v>"2026-05-20T22:59:43.420Z"</v>
      </c>
      <c r="K69" s="43" t="str">
        <f>IFERROR(__xludf.DUMMYFUNCTION("""COMPUTED_VALUE"""),"""2026-05-20T22:35:21.497Z""")</f>
        <v>"2026-05-20T22:35:21.497Z"</v>
      </c>
      <c r="L69" s="43" t="str">
        <f>IFERROR(__xludf.DUMMYFUNCTION("""COMPUTED_VALUE"""),"""2026-05-20T22:59:43.420Z""")</f>
        <v>"2026-05-20T22:59:43.420Z"</v>
      </c>
      <c r="M69" s="43" t="str">
        <f>IFERROR(__xludf.DUMMYFUNCTION("""COMPUTED_VALUE"""),"e7175f74-f5c9-41f7-9c77-dc3be8341fbf")</f>
        <v>e7175f74-f5c9-41f7-9c77-dc3be8341fbf</v>
      </c>
      <c r="N69" s="43" t="str">
        <f>IFERROR(__xludf.DUMMYFUNCTION("""COMPUTED_VALUE"""),"cacf4da3-cd8d-402b-a1e9-f3ad3e7f11bf")</f>
        <v>cacf4da3-cd8d-402b-a1e9-f3ad3e7f11bf</v>
      </c>
      <c r="O69" s="43" t="str">
        <f>IFERROR(__xludf.DUMMYFUNCTION("""COMPUTED_VALUE"""),"{}")</f>
        <v>{}</v>
      </c>
      <c r="P69" s="43" t="str">
        <f>IFERROR(__xludf.DUMMYFUNCTION("""COMPUTED_VALUE"""),"training_review")</f>
        <v>training_review</v>
      </c>
      <c r="Q69" s="43" t="str">
        <f>IFERROR(__xludf.DUMMYFUNCTION("""COMPUTED_VALUE"""),"sheets-training")</f>
        <v>sheets-training</v>
      </c>
      <c r="R6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6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6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69" s="43" t="str">
        <f>IFERROR(__xludf.DUMMYFUNCTION("""COMPUTED_VALUE"""),"train yourself!")</f>
        <v>train yourself!</v>
      </c>
      <c r="V69" s="110" t="str">
        <f>IFERROR(__xludf.DUMMYFUNCTION("""COMPUTED_VALUE"""),"https://tsipprd.blob.core.windows.net/tsip-files/imports/cb09ba27-c93f-488d-a521-1acfca174929/1779316481981_input.xlsx?sv=2026-02-06&amp;se=2026-05-23T15%3A00%3A02Z&amp;sr=b&amp;sp=r&amp;sig=rNiTjd7%2F3OZf2TyutMdYDoqOCzKJfKqIg5q%2BogqAfnw%3D")</f>
        <v>https://tsipprd.blob.core.windows.net/tsip-files/imports/cb09ba27-c93f-488d-a521-1acfca174929/1779316481981_input.xlsx?sv=2026-02-06&amp;se=2026-05-23T15%3A00%3A02Z&amp;sr=b&amp;sp=r&amp;sig=rNiTjd7%2F3OZf2TyutMdYDoqOCzKJfKqIg5q%2BogqAfnw%3D</v>
      </c>
      <c r="W69" s="110" t="str">
        <f>IFERROR(__xludf.DUMMYFUNCTION("""COMPUTED_VALUE"""),"https://tsipprd.blob.core.windows.net/tsip-files/imports/cb09ba27-c93f-488d-a521-1acfca174929/1779316482562_output.xlsx?sv=2026-02-06&amp;se=2026-05-23T15%3A00%3A02Z&amp;sr=b&amp;sp=r&amp;sig=TiMZZenK6KXd0y4GqtqympRT8VwXpXqtQbuqeUaZ%2FAw%3D")</f>
        <v>https://tsipprd.blob.core.windows.net/tsip-files/imports/cb09ba27-c93f-488d-a521-1acfca174929/1779316482562_output.xlsx?sv=2026-02-06&amp;se=2026-05-23T15%3A00%3A02Z&amp;sr=b&amp;sp=r&amp;sig=TiMZZenK6KXd0y4GqtqympRT8VwXpXqtQbuqeUaZ%2FAw%3D</v>
      </c>
      <c r="X69" s="43" t="str">
        <f>IFERROR(__xludf.DUMMYFUNCTION("""COMPUTED_VALUE"""),"success")</f>
        <v>success</v>
      </c>
      <c r="Y69" s="43">
        <f>IFERROR(__xludf.DUMMYFUNCTION("""COMPUTED_VALUE"""),2.0)</f>
        <v>2</v>
      </c>
      <c r="Z6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69" s="43" t="str">
        <f>IFERROR(__xludf.DUMMYFUNCTION("""COMPUTED_VALUE"""),"success")</f>
        <v>success</v>
      </c>
    </row>
    <row r="70">
      <c r="A70" s="110" t="str">
        <f t="shared" si="1"/>
        <v>www.tsip.ai/claim/605053db-cfdd-4b95-9484-aa07b268091a</v>
      </c>
      <c r="B70" s="43" t="str">
        <f>IFERROR(__xludf.DUMMYFUNCTION("""COMPUTED_VALUE"""),"605053db-cfdd-4b95-9484-aa07b268091a")</f>
        <v>605053db-cfdd-4b95-9484-aa07b268091a</v>
      </c>
      <c r="C70" s="43" t="str">
        <f>IFERROR(__xludf.DUMMYFUNCTION("""COMPUTED_VALUE"""),"sheets-training")</f>
        <v>sheets-training</v>
      </c>
      <c r="D70" s="43">
        <f>IFERROR(__xludf.DUMMYFUNCTION("""COMPUTED_VALUE"""),3.0)</f>
        <v>3</v>
      </c>
      <c r="E70" s="43" t="str">
        <f>IFERROR(__xludf.DUMMYFUNCTION("""COMPUTED_VALUE"""),"training_review")</f>
        <v>training_review</v>
      </c>
      <c r="F70" s="43" t="str">
        <f>IFERROR(__xludf.DUMMYFUNCTION("""COMPUTED_VALUE"""),"cb09ba27-c93f-488d-a521-1acfca174929")</f>
        <v>cb09ba27-c93f-488d-a521-1acfca174929</v>
      </c>
      <c r="G70" s="43" t="str">
        <f>IFERROR(__xludf.DUMMYFUNCTION("""COMPUTED_VALUE"""),"NULL")</f>
        <v>NULL</v>
      </c>
      <c r="H70" s="43" t="str">
        <f>IFERROR(__xludf.DUMMYFUNCTION("""COMPUTED_VALUE"""),"""2026-05-21T14:02:29.173Z""")</f>
        <v>"2026-05-21T14:02:29.173Z"</v>
      </c>
      <c r="I70" s="43" t="str">
        <f>IFERROR(__xludf.DUMMYFUNCTION("""COMPUTED_VALUE"""),"NULL")</f>
        <v>NULL</v>
      </c>
      <c r="J70" s="43" t="str">
        <f>IFERROR(__xludf.DUMMYFUNCTION("""COMPUTED_VALUE"""),"NULL")</f>
        <v>NULL</v>
      </c>
      <c r="K70" s="43" t="str">
        <f>IFERROR(__xludf.DUMMYFUNCTION("""COMPUTED_VALUE"""),"""2026-05-20T23:00:23.981Z""")</f>
        <v>"2026-05-20T23:00:23.981Z"</v>
      </c>
      <c r="L70" s="43" t="str">
        <f>IFERROR(__xludf.DUMMYFUNCTION("""COMPUTED_VALUE"""),"""2026-05-21T14:02:29.173Z""")</f>
        <v>"2026-05-21T14:02:29.173Z"</v>
      </c>
      <c r="M70" s="43" t="str">
        <f>IFERROR(__xludf.DUMMYFUNCTION("""COMPUTED_VALUE"""),"3d8c7583-3bd7-40ad-b63e-202ddf2da8dc")</f>
        <v>3d8c7583-3bd7-40ad-b63e-202ddf2da8dc</v>
      </c>
      <c r="N70" s="43" t="str">
        <f>IFERROR(__xludf.DUMMYFUNCTION("""COMPUTED_VALUE"""),"cacf4da3-cd8d-402b-a1e9-f3ad3e7f11bf")</f>
        <v>cacf4da3-cd8d-402b-a1e9-f3ad3e7f11bf</v>
      </c>
      <c r="O70" s="43" t="str">
        <f>IFERROR(__xludf.DUMMYFUNCTION("""COMPUTED_VALUE"""),"{}")</f>
        <v>{}</v>
      </c>
      <c r="P70" s="43" t="str">
        <f>IFERROR(__xludf.DUMMYFUNCTION("""COMPUTED_VALUE"""),"training_review")</f>
        <v>training_review</v>
      </c>
      <c r="Q70" s="43" t="str">
        <f>IFERROR(__xludf.DUMMYFUNCTION("""COMPUTED_VALUE"""),"sheets-training")</f>
        <v>sheets-training</v>
      </c>
      <c r="R70"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70"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0"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70"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70" s="110" t="str">
        <f>IFERROR(__xludf.DUMMYFUNCTION("""COMPUTED_VALUE"""),"https://tsipprd.blob.core.windows.net/tsip-files/3d8c7583-3bd7-40ad-b63e-202ddf2da8dc/605053db-cfdd-4b95-9484-aa07b268091a/1779371958046_meridian_2f6c9c82-25de-4eeb-b1cd-f762a1ab5947_input_workbook__1_.xlsx?sv=2026-02-06&amp;se=2026-05-23T15%3A15%3A01Z&amp;sr=b&amp;s"&amp;"p=r&amp;sig=hCogbWCyA2kiVCYdBj3o6sTvlJ0OxNkoQTgRRT%2BM%2Foo%3D")</f>
        <v>https://tsipprd.blob.core.windows.net/tsip-files/3d8c7583-3bd7-40ad-b63e-202ddf2da8dc/605053db-cfdd-4b95-9484-aa07b268091a/1779371958046_meridian_2f6c9c82-25de-4eeb-b1cd-f762a1ab5947_input_workbook__1_.xlsx?sv=2026-02-06&amp;se=2026-05-23T15%3A15%3A01Z&amp;sr=b&amp;sp=r&amp;sig=hCogbWCyA2kiVCYdBj3o6sTvlJ0OxNkoQTgRRT%2BM%2Foo%3D</v>
      </c>
      <c r="W70" s="110" t="str">
        <f>IFERROR(__xludf.DUMMYFUNCTION("""COMPUTED_VALUE"""),"https://tsipprd.blob.core.windows.net/tsip-files/3d8c7583-3bd7-40ad-b63e-202ddf2da8dc/605053db-cfdd-4b95-9484-aa07b268091a/1779371966454_meridian_2f6c9c82-25de-4eeb-b1cd-f762a1ab5947_output_workbook__1_.xlsx?sv=2026-02-06&amp;se=2026-05-23T15%3A15%3A01Z&amp;sr=b&amp;"&amp;"sp=r&amp;sig=1D6ygPkOSP3hl6CT07EUPz0ID%2F9BLqV2BFV5TRgIPhg%3D")</f>
        <v>https://tsipprd.blob.core.windows.net/tsip-files/3d8c7583-3bd7-40ad-b63e-202ddf2da8dc/605053db-cfdd-4b95-9484-aa07b268091a/1779371966454_meridian_2f6c9c82-25de-4eeb-b1cd-f762a1ab5947_output_workbook__1_.xlsx?sv=2026-02-06&amp;se=2026-05-23T15%3A15%3A01Z&amp;sr=b&amp;sp=r&amp;sig=1D6ygPkOSP3hl6CT07EUPz0ID%2F9BLqV2BFV5TRgIPhg%3D</v>
      </c>
      <c r="X70" s="43" t="str">
        <f>IFERROR(__xludf.DUMMYFUNCTION("""COMPUTED_VALUE"""),"success")</f>
        <v>success</v>
      </c>
      <c r="Y70" s="43">
        <f>IFERROR(__xludf.DUMMYFUNCTION("""COMPUTED_VALUE"""),2.0)</f>
        <v>2</v>
      </c>
      <c r="Z70"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70" s="43" t="str">
        <f>IFERROR(__xludf.DUMMYFUNCTION("""COMPUTED_VALUE"""),"success")</f>
        <v>success</v>
      </c>
    </row>
    <row r="71">
      <c r="A71" s="110" t="str">
        <f t="shared" si="1"/>
        <v>www.tsip.ai/claim/1c8f6062-9e4e-4485-9f8c-7107b036222c</v>
      </c>
      <c r="B71" s="43" t="str">
        <f>IFERROR(__xludf.DUMMYFUNCTION("""COMPUTED_VALUE"""),"1c8f6062-9e4e-4485-9f8c-7107b036222c")</f>
        <v>1c8f6062-9e4e-4485-9f8c-7107b036222c</v>
      </c>
      <c r="C71" s="43" t="str">
        <f>IFERROR(__xludf.DUMMYFUNCTION("""COMPUTED_VALUE"""),"sheets-training")</f>
        <v>sheets-training</v>
      </c>
      <c r="D71" s="43">
        <f>IFERROR(__xludf.DUMMYFUNCTION("""COMPUTED_VALUE"""),3.0)</f>
        <v>3</v>
      </c>
      <c r="E71" s="43" t="str">
        <f>IFERROR(__xludf.DUMMYFUNCTION("""COMPUTED_VALUE"""),"training_review")</f>
        <v>training_review</v>
      </c>
      <c r="F71" s="43" t="str">
        <f>IFERROR(__xludf.DUMMYFUNCTION("""COMPUTED_VALUE"""),"cb09ba27-c93f-488d-a521-1acfca174929")</f>
        <v>cb09ba27-c93f-488d-a521-1acfca174929</v>
      </c>
      <c r="G71" s="43" t="str">
        <f>IFERROR(__xludf.DUMMYFUNCTION("""COMPUTED_VALUE"""),"NULL")</f>
        <v>NULL</v>
      </c>
      <c r="H71" s="43" t="str">
        <f>IFERROR(__xludf.DUMMYFUNCTION("""COMPUTED_VALUE"""),"""2026-05-20T22:38:16.156Z""")</f>
        <v>"2026-05-20T22:38:16.156Z"</v>
      </c>
      <c r="I71" s="43" t="str">
        <f>IFERROR(__xludf.DUMMYFUNCTION("""COMPUTED_VALUE"""),"NULL")</f>
        <v>NULL</v>
      </c>
      <c r="J71" s="43" t="str">
        <f>IFERROR(__xludf.DUMMYFUNCTION("""COMPUTED_VALUE"""),"""2026-05-20T22:59:43.420Z""")</f>
        <v>"2026-05-20T22:59:43.420Z"</v>
      </c>
      <c r="K71" s="43" t="str">
        <f>IFERROR(__xludf.DUMMYFUNCTION("""COMPUTED_VALUE"""),"""2026-05-20T22:35:21.497Z""")</f>
        <v>"2026-05-20T22:35:21.497Z"</v>
      </c>
      <c r="L71" s="43" t="str">
        <f>IFERROR(__xludf.DUMMYFUNCTION("""COMPUTED_VALUE"""),"""2026-05-20T22:59:43.420Z""")</f>
        <v>"2026-05-20T22:59:43.420Z"</v>
      </c>
      <c r="M71" s="43" t="str">
        <f>IFERROR(__xludf.DUMMYFUNCTION("""COMPUTED_VALUE"""),"e7175f74-f5c9-41f7-9c77-dc3be8341fbf")</f>
        <v>e7175f74-f5c9-41f7-9c77-dc3be8341fbf</v>
      </c>
      <c r="N71" s="43" t="str">
        <f>IFERROR(__xludf.DUMMYFUNCTION("""COMPUTED_VALUE"""),"cacf4da3-cd8d-402b-a1e9-f3ad3e7f11bf")</f>
        <v>cacf4da3-cd8d-402b-a1e9-f3ad3e7f11bf</v>
      </c>
      <c r="O71" s="43" t="str">
        <f>IFERROR(__xludf.DUMMYFUNCTION("""COMPUTED_VALUE"""),"{}")</f>
        <v>{}</v>
      </c>
      <c r="P71" s="43" t="str">
        <f>IFERROR(__xludf.DUMMYFUNCTION("""COMPUTED_VALUE"""),"training_review")</f>
        <v>training_review</v>
      </c>
      <c r="Q71" s="43" t="str">
        <f>IFERROR(__xludf.DUMMYFUNCTION("""COMPUTED_VALUE"""),"sheets-training")</f>
        <v>sheets-training</v>
      </c>
      <c r="R7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7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71" s="43" t="str">
        <f>IFERROR(__xludf.DUMMYFUNCTION("""COMPUTED_VALUE"""),"train yourself!")</f>
        <v>train yourself!</v>
      </c>
      <c r="V71" s="110" t="str">
        <f>IFERROR(__xludf.DUMMYFUNCTION("""COMPUTED_VALUE"""),"https://tsipprd.blob.core.windows.net/tsip-files/imports/cb09ba27-c93f-488d-a521-1acfca174929/1779316481981_input.xlsx?sv=2026-02-06&amp;se=2026-05-23T15%3A15%3A01Z&amp;sr=b&amp;sp=r&amp;sig=NJxFlwxOr01619Vi7wOHCSFNWMfak3%2FhOG3%2B8LLc9WI%3D")</f>
        <v>https://tsipprd.blob.core.windows.net/tsip-files/imports/cb09ba27-c93f-488d-a521-1acfca174929/1779316481981_input.xlsx?sv=2026-02-06&amp;se=2026-05-23T15%3A15%3A01Z&amp;sr=b&amp;sp=r&amp;sig=NJxFlwxOr01619Vi7wOHCSFNWMfak3%2FhOG3%2B8LLc9WI%3D</v>
      </c>
      <c r="W71" s="110" t="str">
        <f>IFERROR(__xludf.DUMMYFUNCTION("""COMPUTED_VALUE"""),"https://tsipprd.blob.core.windows.net/tsip-files/imports/cb09ba27-c93f-488d-a521-1acfca174929/1779316482562_output.xlsx?sv=2026-02-06&amp;se=2026-05-23T15%3A15%3A01Z&amp;sr=b&amp;sp=r&amp;sig=r2CHzq3NevlBRDF%2B9szqWNELxzDpMwfo8KtemmCLgpo%3D")</f>
        <v>https://tsipprd.blob.core.windows.net/tsip-files/imports/cb09ba27-c93f-488d-a521-1acfca174929/1779316482562_output.xlsx?sv=2026-02-06&amp;se=2026-05-23T15%3A15%3A01Z&amp;sr=b&amp;sp=r&amp;sig=r2CHzq3NevlBRDF%2B9szqWNELxzDpMwfo8KtemmCLgpo%3D</v>
      </c>
      <c r="X71" s="43" t="str">
        <f>IFERROR(__xludf.DUMMYFUNCTION("""COMPUTED_VALUE"""),"success")</f>
        <v>success</v>
      </c>
      <c r="Y71" s="43">
        <f>IFERROR(__xludf.DUMMYFUNCTION("""COMPUTED_VALUE"""),2.0)</f>
        <v>2</v>
      </c>
      <c r="Z7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71" s="43" t="str">
        <f>IFERROR(__xludf.DUMMYFUNCTION("""COMPUTED_VALUE"""),"success")</f>
        <v>success</v>
      </c>
    </row>
    <row r="72">
      <c r="A72" s="110" t="str">
        <f t="shared" si="1"/>
        <v>www.tsip.ai/claim/605053db-cfdd-4b95-9484-aa07b268091a</v>
      </c>
      <c r="B72" s="43" t="str">
        <f>IFERROR(__xludf.DUMMYFUNCTION("""COMPUTED_VALUE"""),"605053db-cfdd-4b95-9484-aa07b268091a")</f>
        <v>605053db-cfdd-4b95-9484-aa07b268091a</v>
      </c>
      <c r="C72" s="43" t="str">
        <f>IFERROR(__xludf.DUMMYFUNCTION("""COMPUTED_VALUE"""),"sheets-training")</f>
        <v>sheets-training</v>
      </c>
      <c r="D72" s="43">
        <f>IFERROR(__xludf.DUMMYFUNCTION("""COMPUTED_VALUE"""),3.0)</f>
        <v>3</v>
      </c>
      <c r="E72" s="43" t="str">
        <f>IFERROR(__xludf.DUMMYFUNCTION("""COMPUTED_VALUE"""),"training_review")</f>
        <v>training_review</v>
      </c>
      <c r="F72" s="43" t="str">
        <f>IFERROR(__xludf.DUMMYFUNCTION("""COMPUTED_VALUE"""),"cb09ba27-c93f-488d-a521-1acfca174929")</f>
        <v>cb09ba27-c93f-488d-a521-1acfca174929</v>
      </c>
      <c r="G72" s="43" t="str">
        <f>IFERROR(__xludf.DUMMYFUNCTION("""COMPUTED_VALUE"""),"NULL")</f>
        <v>NULL</v>
      </c>
      <c r="H72" s="43" t="str">
        <f>IFERROR(__xludf.DUMMYFUNCTION("""COMPUTED_VALUE"""),"""2026-05-21T14:02:29.173Z""")</f>
        <v>"2026-05-21T14:02:29.173Z"</v>
      </c>
      <c r="I72" s="43" t="str">
        <f>IFERROR(__xludf.DUMMYFUNCTION("""COMPUTED_VALUE"""),"NULL")</f>
        <v>NULL</v>
      </c>
      <c r="J72" s="43" t="str">
        <f>IFERROR(__xludf.DUMMYFUNCTION("""COMPUTED_VALUE"""),"NULL")</f>
        <v>NULL</v>
      </c>
      <c r="K72" s="43" t="str">
        <f>IFERROR(__xludf.DUMMYFUNCTION("""COMPUTED_VALUE"""),"""2026-05-20T23:00:23.981Z""")</f>
        <v>"2026-05-20T23:00:23.981Z"</v>
      </c>
      <c r="L72" s="43" t="str">
        <f>IFERROR(__xludf.DUMMYFUNCTION("""COMPUTED_VALUE"""),"""2026-05-21T14:02:29.173Z""")</f>
        <v>"2026-05-21T14:02:29.173Z"</v>
      </c>
      <c r="M72" s="43" t="str">
        <f>IFERROR(__xludf.DUMMYFUNCTION("""COMPUTED_VALUE"""),"3d8c7583-3bd7-40ad-b63e-202ddf2da8dc")</f>
        <v>3d8c7583-3bd7-40ad-b63e-202ddf2da8dc</v>
      </c>
      <c r="N72" s="43" t="str">
        <f>IFERROR(__xludf.DUMMYFUNCTION("""COMPUTED_VALUE"""),"cacf4da3-cd8d-402b-a1e9-f3ad3e7f11bf")</f>
        <v>cacf4da3-cd8d-402b-a1e9-f3ad3e7f11bf</v>
      </c>
      <c r="O72" s="43" t="str">
        <f>IFERROR(__xludf.DUMMYFUNCTION("""COMPUTED_VALUE"""),"{}")</f>
        <v>{}</v>
      </c>
      <c r="P72" s="43" t="str">
        <f>IFERROR(__xludf.DUMMYFUNCTION("""COMPUTED_VALUE"""),"training_review")</f>
        <v>training_review</v>
      </c>
      <c r="Q72" s="43" t="str">
        <f>IFERROR(__xludf.DUMMYFUNCTION("""COMPUTED_VALUE"""),"sheets-training")</f>
        <v>sheets-training</v>
      </c>
      <c r="R72"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72"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2"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72"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72" s="110" t="str">
        <f>IFERROR(__xludf.DUMMYFUNCTION("""COMPUTED_VALUE"""),"https://tsipprd.blob.core.windows.net/tsip-files/3d8c7583-3bd7-40ad-b63e-202ddf2da8dc/605053db-cfdd-4b95-9484-aa07b268091a/1779371958046_meridian_2f6c9c82-25de-4eeb-b1cd-f762a1ab5947_input_workbook__1_.xlsx?sv=2026-02-06&amp;se=2026-05-23T15%3A30%3A02Z&amp;sr=b&amp;s"&amp;"p=r&amp;sig=sxKziThFgOhGf%2FgEZwZN%2BcRdYiPzKinSdS0y6pW9KAM%3D")</f>
        <v>https://tsipprd.blob.core.windows.net/tsip-files/3d8c7583-3bd7-40ad-b63e-202ddf2da8dc/605053db-cfdd-4b95-9484-aa07b268091a/1779371958046_meridian_2f6c9c82-25de-4eeb-b1cd-f762a1ab5947_input_workbook__1_.xlsx?sv=2026-02-06&amp;se=2026-05-23T15%3A30%3A02Z&amp;sr=b&amp;sp=r&amp;sig=sxKziThFgOhGf%2FgEZwZN%2BcRdYiPzKinSdS0y6pW9KAM%3D</v>
      </c>
      <c r="W72" s="110" t="str">
        <f>IFERROR(__xludf.DUMMYFUNCTION("""COMPUTED_VALUE"""),"https://tsipprd.blob.core.windows.net/tsip-files/3d8c7583-3bd7-40ad-b63e-202ddf2da8dc/605053db-cfdd-4b95-9484-aa07b268091a/1779371966454_meridian_2f6c9c82-25de-4eeb-b1cd-f762a1ab5947_output_workbook__1_.xlsx?sv=2026-02-06&amp;se=2026-05-23T15%3A30%3A02Z&amp;sr=b&amp;"&amp;"sp=r&amp;sig=FZCv9K1NbVP%2FSe%2FmEXyE2CxKTCZioyLc7bSwcNcY%2BGM%3D")</f>
        <v>https://tsipprd.blob.core.windows.net/tsip-files/3d8c7583-3bd7-40ad-b63e-202ddf2da8dc/605053db-cfdd-4b95-9484-aa07b268091a/1779371966454_meridian_2f6c9c82-25de-4eeb-b1cd-f762a1ab5947_output_workbook__1_.xlsx?sv=2026-02-06&amp;se=2026-05-23T15%3A30%3A02Z&amp;sr=b&amp;sp=r&amp;sig=FZCv9K1NbVP%2FSe%2FmEXyE2CxKTCZioyLc7bSwcNcY%2BGM%3D</v>
      </c>
      <c r="X72" s="43" t="str">
        <f>IFERROR(__xludf.DUMMYFUNCTION("""COMPUTED_VALUE"""),"success")</f>
        <v>success</v>
      </c>
      <c r="Y72" s="43">
        <f>IFERROR(__xludf.DUMMYFUNCTION("""COMPUTED_VALUE"""),2.0)</f>
        <v>2</v>
      </c>
      <c r="Z72"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72" s="43" t="str">
        <f>IFERROR(__xludf.DUMMYFUNCTION("""COMPUTED_VALUE"""),"success")</f>
        <v>success</v>
      </c>
    </row>
    <row r="73">
      <c r="A73" s="110" t="str">
        <f t="shared" si="1"/>
        <v>www.tsip.ai/claim/1c8f6062-9e4e-4485-9f8c-7107b036222c</v>
      </c>
      <c r="B73" s="43" t="str">
        <f>IFERROR(__xludf.DUMMYFUNCTION("""COMPUTED_VALUE"""),"1c8f6062-9e4e-4485-9f8c-7107b036222c")</f>
        <v>1c8f6062-9e4e-4485-9f8c-7107b036222c</v>
      </c>
      <c r="C73" s="43" t="str">
        <f>IFERROR(__xludf.DUMMYFUNCTION("""COMPUTED_VALUE"""),"sheets-training")</f>
        <v>sheets-training</v>
      </c>
      <c r="D73" s="43">
        <f>IFERROR(__xludf.DUMMYFUNCTION("""COMPUTED_VALUE"""),3.0)</f>
        <v>3</v>
      </c>
      <c r="E73" s="43" t="str">
        <f>IFERROR(__xludf.DUMMYFUNCTION("""COMPUTED_VALUE"""),"training_review")</f>
        <v>training_review</v>
      </c>
      <c r="F73" s="43" t="str">
        <f>IFERROR(__xludf.DUMMYFUNCTION("""COMPUTED_VALUE"""),"cb09ba27-c93f-488d-a521-1acfca174929")</f>
        <v>cb09ba27-c93f-488d-a521-1acfca174929</v>
      </c>
      <c r="G73" s="43" t="str">
        <f>IFERROR(__xludf.DUMMYFUNCTION("""COMPUTED_VALUE"""),"NULL")</f>
        <v>NULL</v>
      </c>
      <c r="H73" s="43" t="str">
        <f>IFERROR(__xludf.DUMMYFUNCTION("""COMPUTED_VALUE"""),"""2026-05-20T22:38:16.156Z""")</f>
        <v>"2026-05-20T22:38:16.156Z"</v>
      </c>
      <c r="I73" s="43" t="str">
        <f>IFERROR(__xludf.DUMMYFUNCTION("""COMPUTED_VALUE"""),"NULL")</f>
        <v>NULL</v>
      </c>
      <c r="J73" s="43" t="str">
        <f>IFERROR(__xludf.DUMMYFUNCTION("""COMPUTED_VALUE"""),"""2026-05-20T22:59:43.420Z""")</f>
        <v>"2026-05-20T22:59:43.420Z"</v>
      </c>
      <c r="K73" s="43" t="str">
        <f>IFERROR(__xludf.DUMMYFUNCTION("""COMPUTED_VALUE"""),"""2026-05-20T22:35:21.497Z""")</f>
        <v>"2026-05-20T22:35:21.497Z"</v>
      </c>
      <c r="L73" s="43" t="str">
        <f>IFERROR(__xludf.DUMMYFUNCTION("""COMPUTED_VALUE"""),"""2026-05-20T22:59:43.420Z""")</f>
        <v>"2026-05-20T22:59:43.420Z"</v>
      </c>
      <c r="M73" s="43" t="str">
        <f>IFERROR(__xludf.DUMMYFUNCTION("""COMPUTED_VALUE"""),"e7175f74-f5c9-41f7-9c77-dc3be8341fbf")</f>
        <v>e7175f74-f5c9-41f7-9c77-dc3be8341fbf</v>
      </c>
      <c r="N73" s="43" t="str">
        <f>IFERROR(__xludf.DUMMYFUNCTION("""COMPUTED_VALUE"""),"cacf4da3-cd8d-402b-a1e9-f3ad3e7f11bf")</f>
        <v>cacf4da3-cd8d-402b-a1e9-f3ad3e7f11bf</v>
      </c>
      <c r="O73" s="43" t="str">
        <f>IFERROR(__xludf.DUMMYFUNCTION("""COMPUTED_VALUE"""),"{}")</f>
        <v>{}</v>
      </c>
      <c r="P73" s="43" t="str">
        <f>IFERROR(__xludf.DUMMYFUNCTION("""COMPUTED_VALUE"""),"training_review")</f>
        <v>training_review</v>
      </c>
      <c r="Q73" s="43" t="str">
        <f>IFERROR(__xludf.DUMMYFUNCTION("""COMPUTED_VALUE"""),"sheets-training")</f>
        <v>sheets-training</v>
      </c>
      <c r="R7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7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73" s="43" t="str">
        <f>IFERROR(__xludf.DUMMYFUNCTION("""COMPUTED_VALUE"""),"train yourself!")</f>
        <v>train yourself!</v>
      </c>
      <c r="V73" s="110" t="str">
        <f>IFERROR(__xludf.DUMMYFUNCTION("""COMPUTED_VALUE"""),"https://tsipprd.blob.core.windows.net/tsip-files/imports/cb09ba27-c93f-488d-a521-1acfca174929/1779316481981_input.xlsx?sv=2026-02-06&amp;se=2026-05-23T15%3A30%3A01Z&amp;sr=b&amp;sp=r&amp;sig=gdi%2BJDR7lhUw7cdqrnJGbz%2BgVd51t5y218VrtrArSTg%3D")</f>
        <v>https://tsipprd.blob.core.windows.net/tsip-files/imports/cb09ba27-c93f-488d-a521-1acfca174929/1779316481981_input.xlsx?sv=2026-02-06&amp;se=2026-05-23T15%3A30%3A01Z&amp;sr=b&amp;sp=r&amp;sig=gdi%2BJDR7lhUw7cdqrnJGbz%2BgVd51t5y218VrtrArSTg%3D</v>
      </c>
      <c r="W73" s="110" t="str">
        <f>IFERROR(__xludf.DUMMYFUNCTION("""COMPUTED_VALUE"""),"https://tsipprd.blob.core.windows.net/tsip-files/imports/cb09ba27-c93f-488d-a521-1acfca174929/1779316482562_output.xlsx?sv=2026-02-06&amp;se=2026-05-23T15%3A30%3A01Z&amp;sr=b&amp;sp=r&amp;sig=2itcHzXpIR4eOA5oYIPkOCA56grJGF8hL1Lm3u8UFf0%3D")</f>
        <v>https://tsipprd.blob.core.windows.net/tsip-files/imports/cb09ba27-c93f-488d-a521-1acfca174929/1779316482562_output.xlsx?sv=2026-02-06&amp;se=2026-05-23T15%3A30%3A01Z&amp;sr=b&amp;sp=r&amp;sig=2itcHzXpIR4eOA5oYIPkOCA56grJGF8hL1Lm3u8UFf0%3D</v>
      </c>
      <c r="X73" s="43" t="str">
        <f>IFERROR(__xludf.DUMMYFUNCTION("""COMPUTED_VALUE"""),"success")</f>
        <v>success</v>
      </c>
      <c r="Y73" s="43">
        <f>IFERROR(__xludf.DUMMYFUNCTION("""COMPUTED_VALUE"""),2.0)</f>
        <v>2</v>
      </c>
      <c r="Z7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73" s="43" t="str">
        <f>IFERROR(__xludf.DUMMYFUNCTION("""COMPUTED_VALUE"""),"success")</f>
        <v>success</v>
      </c>
    </row>
    <row r="74">
      <c r="A74" s="110" t="str">
        <f t="shared" si="1"/>
        <v>www.tsip.ai/claim/605053db-cfdd-4b95-9484-aa07b268091a</v>
      </c>
      <c r="B74" s="43" t="str">
        <f>IFERROR(__xludf.DUMMYFUNCTION("""COMPUTED_VALUE"""),"605053db-cfdd-4b95-9484-aa07b268091a")</f>
        <v>605053db-cfdd-4b95-9484-aa07b268091a</v>
      </c>
      <c r="C74" s="43" t="str">
        <f>IFERROR(__xludf.DUMMYFUNCTION("""COMPUTED_VALUE"""),"sheets-training")</f>
        <v>sheets-training</v>
      </c>
      <c r="D74" s="43">
        <f>IFERROR(__xludf.DUMMYFUNCTION("""COMPUTED_VALUE"""),3.0)</f>
        <v>3</v>
      </c>
      <c r="E74" s="43" t="str">
        <f>IFERROR(__xludf.DUMMYFUNCTION("""COMPUTED_VALUE"""),"training_review")</f>
        <v>training_review</v>
      </c>
      <c r="F74" s="43" t="str">
        <f>IFERROR(__xludf.DUMMYFUNCTION("""COMPUTED_VALUE"""),"cb09ba27-c93f-488d-a521-1acfca174929")</f>
        <v>cb09ba27-c93f-488d-a521-1acfca174929</v>
      </c>
      <c r="G74" s="43" t="str">
        <f>IFERROR(__xludf.DUMMYFUNCTION("""COMPUTED_VALUE"""),"NULL")</f>
        <v>NULL</v>
      </c>
      <c r="H74" s="43" t="str">
        <f>IFERROR(__xludf.DUMMYFUNCTION("""COMPUTED_VALUE"""),"""2026-05-21T14:02:29.173Z""")</f>
        <v>"2026-05-21T14:02:29.173Z"</v>
      </c>
      <c r="I74" s="43" t="str">
        <f>IFERROR(__xludf.DUMMYFUNCTION("""COMPUTED_VALUE"""),"NULL")</f>
        <v>NULL</v>
      </c>
      <c r="J74" s="43" t="str">
        <f>IFERROR(__xludf.DUMMYFUNCTION("""COMPUTED_VALUE"""),"NULL")</f>
        <v>NULL</v>
      </c>
      <c r="K74" s="43" t="str">
        <f>IFERROR(__xludf.DUMMYFUNCTION("""COMPUTED_VALUE"""),"""2026-05-20T23:00:23.981Z""")</f>
        <v>"2026-05-20T23:00:23.981Z"</v>
      </c>
      <c r="L74" s="43" t="str">
        <f>IFERROR(__xludf.DUMMYFUNCTION("""COMPUTED_VALUE"""),"""2026-05-21T14:02:29.173Z""")</f>
        <v>"2026-05-21T14:02:29.173Z"</v>
      </c>
      <c r="M74" s="43" t="str">
        <f>IFERROR(__xludf.DUMMYFUNCTION("""COMPUTED_VALUE"""),"3d8c7583-3bd7-40ad-b63e-202ddf2da8dc")</f>
        <v>3d8c7583-3bd7-40ad-b63e-202ddf2da8dc</v>
      </c>
      <c r="N74" s="43" t="str">
        <f>IFERROR(__xludf.DUMMYFUNCTION("""COMPUTED_VALUE"""),"cacf4da3-cd8d-402b-a1e9-f3ad3e7f11bf")</f>
        <v>cacf4da3-cd8d-402b-a1e9-f3ad3e7f11bf</v>
      </c>
      <c r="O74" s="43" t="str">
        <f>IFERROR(__xludf.DUMMYFUNCTION("""COMPUTED_VALUE"""),"{}")</f>
        <v>{}</v>
      </c>
      <c r="P74" s="43" t="str">
        <f>IFERROR(__xludf.DUMMYFUNCTION("""COMPUTED_VALUE"""),"training_review")</f>
        <v>training_review</v>
      </c>
      <c r="Q74" s="43" t="str">
        <f>IFERROR(__xludf.DUMMYFUNCTION("""COMPUTED_VALUE"""),"sheets-training")</f>
        <v>sheets-training</v>
      </c>
      <c r="R74"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74"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4"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74"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74" s="110" t="str">
        <f>IFERROR(__xludf.DUMMYFUNCTION("""COMPUTED_VALUE"""),"https://tsipprd.blob.core.windows.net/tsip-files/3d8c7583-3bd7-40ad-b63e-202ddf2da8dc/605053db-cfdd-4b95-9484-aa07b268091a/1779371958046_meridian_2f6c9c82-25de-4eeb-b1cd-f762a1ab5947_input_workbook__1_.xlsx?sv=2026-02-06&amp;se=2026-05-23T15%3A45%3A01Z&amp;sr=b&amp;s"&amp;"p=r&amp;sig=5jAWu6FzTo4V8S6Hqo6NShj7AbCb72rC%2BOHM5nyuBmg%3D")</f>
        <v>https://tsipprd.blob.core.windows.net/tsip-files/3d8c7583-3bd7-40ad-b63e-202ddf2da8dc/605053db-cfdd-4b95-9484-aa07b268091a/1779371958046_meridian_2f6c9c82-25de-4eeb-b1cd-f762a1ab5947_input_workbook__1_.xlsx?sv=2026-02-06&amp;se=2026-05-23T15%3A45%3A01Z&amp;sr=b&amp;sp=r&amp;sig=5jAWu6FzTo4V8S6Hqo6NShj7AbCb72rC%2BOHM5nyuBmg%3D</v>
      </c>
      <c r="W74" s="110" t="str">
        <f>IFERROR(__xludf.DUMMYFUNCTION("""COMPUTED_VALUE"""),"https://tsipprd.blob.core.windows.net/tsip-files/3d8c7583-3bd7-40ad-b63e-202ddf2da8dc/605053db-cfdd-4b95-9484-aa07b268091a/1779371966454_meridian_2f6c9c82-25de-4eeb-b1cd-f762a1ab5947_output_workbook__1_.xlsx?sv=2026-02-06&amp;se=2026-05-23T15%3A45%3A01Z&amp;sr=b&amp;"&amp;"sp=r&amp;sig=CweGjb5jxYd%2F4CTJT9EjLr2X4ebqqM7JoSxDfwA8OFQ%3D")</f>
        <v>https://tsipprd.blob.core.windows.net/tsip-files/3d8c7583-3bd7-40ad-b63e-202ddf2da8dc/605053db-cfdd-4b95-9484-aa07b268091a/1779371966454_meridian_2f6c9c82-25de-4eeb-b1cd-f762a1ab5947_output_workbook__1_.xlsx?sv=2026-02-06&amp;se=2026-05-23T15%3A45%3A01Z&amp;sr=b&amp;sp=r&amp;sig=CweGjb5jxYd%2F4CTJT9EjLr2X4ebqqM7JoSxDfwA8OFQ%3D</v>
      </c>
      <c r="X74" s="43" t="str">
        <f>IFERROR(__xludf.DUMMYFUNCTION("""COMPUTED_VALUE"""),"success")</f>
        <v>success</v>
      </c>
      <c r="Y74" s="43">
        <f>IFERROR(__xludf.DUMMYFUNCTION("""COMPUTED_VALUE"""),2.0)</f>
        <v>2</v>
      </c>
      <c r="Z74"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74" s="43" t="str">
        <f>IFERROR(__xludf.DUMMYFUNCTION("""COMPUTED_VALUE"""),"success")</f>
        <v>success</v>
      </c>
    </row>
    <row r="75">
      <c r="A75" s="110" t="str">
        <f t="shared" si="1"/>
        <v>www.tsip.ai/claim/1c8f6062-9e4e-4485-9f8c-7107b036222c</v>
      </c>
      <c r="B75" s="43" t="str">
        <f>IFERROR(__xludf.DUMMYFUNCTION("""COMPUTED_VALUE"""),"1c8f6062-9e4e-4485-9f8c-7107b036222c")</f>
        <v>1c8f6062-9e4e-4485-9f8c-7107b036222c</v>
      </c>
      <c r="C75" s="43" t="str">
        <f>IFERROR(__xludf.DUMMYFUNCTION("""COMPUTED_VALUE"""),"sheets-training")</f>
        <v>sheets-training</v>
      </c>
      <c r="D75" s="43">
        <f>IFERROR(__xludf.DUMMYFUNCTION("""COMPUTED_VALUE"""),3.0)</f>
        <v>3</v>
      </c>
      <c r="E75" s="43" t="str">
        <f>IFERROR(__xludf.DUMMYFUNCTION("""COMPUTED_VALUE"""),"training_review")</f>
        <v>training_review</v>
      </c>
      <c r="F75" s="43" t="str">
        <f>IFERROR(__xludf.DUMMYFUNCTION("""COMPUTED_VALUE"""),"cb09ba27-c93f-488d-a521-1acfca174929")</f>
        <v>cb09ba27-c93f-488d-a521-1acfca174929</v>
      </c>
      <c r="G75" s="43" t="str">
        <f>IFERROR(__xludf.DUMMYFUNCTION("""COMPUTED_VALUE"""),"NULL")</f>
        <v>NULL</v>
      </c>
      <c r="H75" s="43" t="str">
        <f>IFERROR(__xludf.DUMMYFUNCTION("""COMPUTED_VALUE"""),"""2026-05-20T22:38:16.156Z""")</f>
        <v>"2026-05-20T22:38:16.156Z"</v>
      </c>
      <c r="I75" s="43" t="str">
        <f>IFERROR(__xludf.DUMMYFUNCTION("""COMPUTED_VALUE"""),"NULL")</f>
        <v>NULL</v>
      </c>
      <c r="J75" s="43" t="str">
        <f>IFERROR(__xludf.DUMMYFUNCTION("""COMPUTED_VALUE"""),"""2026-05-20T22:59:43.420Z""")</f>
        <v>"2026-05-20T22:59:43.420Z"</v>
      </c>
      <c r="K75" s="43" t="str">
        <f>IFERROR(__xludf.DUMMYFUNCTION("""COMPUTED_VALUE"""),"""2026-05-20T22:35:21.497Z""")</f>
        <v>"2026-05-20T22:35:21.497Z"</v>
      </c>
      <c r="L75" s="43" t="str">
        <f>IFERROR(__xludf.DUMMYFUNCTION("""COMPUTED_VALUE"""),"""2026-05-20T22:59:43.420Z""")</f>
        <v>"2026-05-20T22:59:43.420Z"</v>
      </c>
      <c r="M75" s="43" t="str">
        <f>IFERROR(__xludf.DUMMYFUNCTION("""COMPUTED_VALUE"""),"e7175f74-f5c9-41f7-9c77-dc3be8341fbf")</f>
        <v>e7175f74-f5c9-41f7-9c77-dc3be8341fbf</v>
      </c>
      <c r="N75" s="43" t="str">
        <f>IFERROR(__xludf.DUMMYFUNCTION("""COMPUTED_VALUE"""),"cacf4da3-cd8d-402b-a1e9-f3ad3e7f11bf")</f>
        <v>cacf4da3-cd8d-402b-a1e9-f3ad3e7f11bf</v>
      </c>
      <c r="O75" s="43" t="str">
        <f>IFERROR(__xludf.DUMMYFUNCTION("""COMPUTED_VALUE"""),"{}")</f>
        <v>{}</v>
      </c>
      <c r="P75" s="43" t="str">
        <f>IFERROR(__xludf.DUMMYFUNCTION("""COMPUTED_VALUE"""),"training_review")</f>
        <v>training_review</v>
      </c>
      <c r="Q75" s="43" t="str">
        <f>IFERROR(__xludf.DUMMYFUNCTION("""COMPUTED_VALUE"""),"sheets-training")</f>
        <v>sheets-training</v>
      </c>
      <c r="R7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7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75" s="43" t="str">
        <f>IFERROR(__xludf.DUMMYFUNCTION("""COMPUTED_VALUE"""),"train yourself!")</f>
        <v>train yourself!</v>
      </c>
      <c r="V75" s="110" t="str">
        <f>IFERROR(__xludf.DUMMYFUNCTION("""COMPUTED_VALUE"""),"https://tsipprd.blob.core.windows.net/tsip-files/imports/cb09ba27-c93f-488d-a521-1acfca174929/1779316481981_input.xlsx?sv=2026-02-06&amp;se=2026-05-23T15%3A45%3A01Z&amp;sr=b&amp;sp=r&amp;sig=BGnhqQlEpTBR4ajSh81XG3%2FUv88BTmbl1w68ZHXX6RA%3D")</f>
        <v>https://tsipprd.blob.core.windows.net/tsip-files/imports/cb09ba27-c93f-488d-a521-1acfca174929/1779316481981_input.xlsx?sv=2026-02-06&amp;se=2026-05-23T15%3A45%3A01Z&amp;sr=b&amp;sp=r&amp;sig=BGnhqQlEpTBR4ajSh81XG3%2FUv88BTmbl1w68ZHXX6RA%3D</v>
      </c>
      <c r="W75" s="110" t="str">
        <f>IFERROR(__xludf.DUMMYFUNCTION("""COMPUTED_VALUE"""),"https://tsipprd.blob.core.windows.net/tsip-files/imports/cb09ba27-c93f-488d-a521-1acfca174929/1779316482562_output.xlsx?sv=2026-02-06&amp;se=2026-05-23T15%3A45%3A01Z&amp;sr=b&amp;sp=r&amp;sig=EIx4oxXia%2BBtwL8Zu061eBzO1C4h2yeqo05lqFQ4T54%3D")</f>
        <v>https://tsipprd.blob.core.windows.net/tsip-files/imports/cb09ba27-c93f-488d-a521-1acfca174929/1779316482562_output.xlsx?sv=2026-02-06&amp;se=2026-05-23T15%3A45%3A01Z&amp;sr=b&amp;sp=r&amp;sig=EIx4oxXia%2BBtwL8Zu061eBzO1C4h2yeqo05lqFQ4T54%3D</v>
      </c>
      <c r="X75" s="43" t="str">
        <f>IFERROR(__xludf.DUMMYFUNCTION("""COMPUTED_VALUE"""),"success")</f>
        <v>success</v>
      </c>
      <c r="Y75" s="43">
        <f>IFERROR(__xludf.DUMMYFUNCTION("""COMPUTED_VALUE"""),2.0)</f>
        <v>2</v>
      </c>
      <c r="Z7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75" s="43" t="str">
        <f>IFERROR(__xludf.DUMMYFUNCTION("""COMPUTED_VALUE"""),"success")</f>
        <v>success</v>
      </c>
    </row>
    <row r="76">
      <c r="A76" s="110" t="str">
        <f t="shared" si="1"/>
        <v>www.tsip.ai/claim/605053db-cfdd-4b95-9484-aa07b268091a</v>
      </c>
      <c r="B76" s="43" t="str">
        <f>IFERROR(__xludf.DUMMYFUNCTION("""COMPUTED_VALUE"""),"605053db-cfdd-4b95-9484-aa07b268091a")</f>
        <v>605053db-cfdd-4b95-9484-aa07b268091a</v>
      </c>
      <c r="C76" s="43" t="str">
        <f>IFERROR(__xludf.DUMMYFUNCTION("""COMPUTED_VALUE"""),"sheets-training")</f>
        <v>sheets-training</v>
      </c>
      <c r="D76" s="43">
        <f>IFERROR(__xludf.DUMMYFUNCTION("""COMPUTED_VALUE"""),3.0)</f>
        <v>3</v>
      </c>
      <c r="E76" s="43" t="str">
        <f>IFERROR(__xludf.DUMMYFUNCTION("""COMPUTED_VALUE"""),"training_review")</f>
        <v>training_review</v>
      </c>
      <c r="F76" s="43" t="str">
        <f>IFERROR(__xludf.DUMMYFUNCTION("""COMPUTED_VALUE"""),"cb09ba27-c93f-488d-a521-1acfca174929")</f>
        <v>cb09ba27-c93f-488d-a521-1acfca174929</v>
      </c>
      <c r="G76" s="43" t="str">
        <f>IFERROR(__xludf.DUMMYFUNCTION("""COMPUTED_VALUE"""),"NULL")</f>
        <v>NULL</v>
      </c>
      <c r="H76" s="43" t="str">
        <f>IFERROR(__xludf.DUMMYFUNCTION("""COMPUTED_VALUE"""),"""2026-05-21T14:02:29.173Z""")</f>
        <v>"2026-05-21T14:02:29.173Z"</v>
      </c>
      <c r="I76" s="43" t="str">
        <f>IFERROR(__xludf.DUMMYFUNCTION("""COMPUTED_VALUE"""),"NULL")</f>
        <v>NULL</v>
      </c>
      <c r="J76" s="43" t="str">
        <f>IFERROR(__xludf.DUMMYFUNCTION("""COMPUTED_VALUE"""),"NULL")</f>
        <v>NULL</v>
      </c>
      <c r="K76" s="43" t="str">
        <f>IFERROR(__xludf.DUMMYFUNCTION("""COMPUTED_VALUE"""),"""2026-05-20T23:00:23.981Z""")</f>
        <v>"2026-05-20T23:00:23.981Z"</v>
      </c>
      <c r="L76" s="43" t="str">
        <f>IFERROR(__xludf.DUMMYFUNCTION("""COMPUTED_VALUE"""),"""2026-05-21T14:02:29.173Z""")</f>
        <v>"2026-05-21T14:02:29.173Z"</v>
      </c>
      <c r="M76" s="43" t="str">
        <f>IFERROR(__xludf.DUMMYFUNCTION("""COMPUTED_VALUE"""),"3d8c7583-3bd7-40ad-b63e-202ddf2da8dc")</f>
        <v>3d8c7583-3bd7-40ad-b63e-202ddf2da8dc</v>
      </c>
      <c r="N76" s="43" t="str">
        <f>IFERROR(__xludf.DUMMYFUNCTION("""COMPUTED_VALUE"""),"cacf4da3-cd8d-402b-a1e9-f3ad3e7f11bf")</f>
        <v>cacf4da3-cd8d-402b-a1e9-f3ad3e7f11bf</v>
      </c>
      <c r="O76" s="43" t="str">
        <f>IFERROR(__xludf.DUMMYFUNCTION("""COMPUTED_VALUE"""),"{}")</f>
        <v>{}</v>
      </c>
      <c r="P76" s="43" t="str">
        <f>IFERROR(__xludf.DUMMYFUNCTION("""COMPUTED_VALUE"""),"training_review")</f>
        <v>training_review</v>
      </c>
      <c r="Q76" s="43" t="str">
        <f>IFERROR(__xludf.DUMMYFUNCTION("""COMPUTED_VALUE"""),"sheets-training")</f>
        <v>sheets-training</v>
      </c>
      <c r="R76"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76"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6"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76"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76" s="110" t="str">
        <f>IFERROR(__xludf.DUMMYFUNCTION("""COMPUTED_VALUE"""),"https://tsipprd.blob.core.windows.net/tsip-files/3d8c7583-3bd7-40ad-b63e-202ddf2da8dc/605053db-cfdd-4b95-9484-aa07b268091a/1779371958046_meridian_2f6c9c82-25de-4eeb-b1cd-f762a1ab5947_input_workbook__1_.xlsx?sv=2026-02-06&amp;se=2026-05-23T16%3A00%3A02Z&amp;sr=b&amp;s"&amp;"p=r&amp;sig=gG6cSlUUR2zHJa4ZuZgKKnZBq7JUfjMmODO%2FXBZtUj0%3D")</f>
        <v>https://tsipprd.blob.core.windows.net/tsip-files/3d8c7583-3bd7-40ad-b63e-202ddf2da8dc/605053db-cfdd-4b95-9484-aa07b268091a/1779371958046_meridian_2f6c9c82-25de-4eeb-b1cd-f762a1ab5947_input_workbook__1_.xlsx?sv=2026-02-06&amp;se=2026-05-23T16%3A00%3A02Z&amp;sr=b&amp;sp=r&amp;sig=gG6cSlUUR2zHJa4ZuZgKKnZBq7JUfjMmODO%2FXBZtUj0%3D</v>
      </c>
      <c r="W76" s="110" t="str">
        <f>IFERROR(__xludf.DUMMYFUNCTION("""COMPUTED_VALUE"""),"https://tsipprd.blob.core.windows.net/tsip-files/3d8c7583-3bd7-40ad-b63e-202ddf2da8dc/605053db-cfdd-4b95-9484-aa07b268091a/1779371966454_meridian_2f6c9c82-25de-4eeb-b1cd-f762a1ab5947_output_workbook__1_.xlsx?sv=2026-02-06&amp;se=2026-05-23T16%3A00%3A02Z&amp;sr=b&amp;"&amp;"sp=r&amp;sig=R0Y6fcwKUOm80o6fpbavn2d94wUSLa2aZcceklUOvn8%3D")</f>
        <v>https://tsipprd.blob.core.windows.net/tsip-files/3d8c7583-3bd7-40ad-b63e-202ddf2da8dc/605053db-cfdd-4b95-9484-aa07b268091a/1779371966454_meridian_2f6c9c82-25de-4eeb-b1cd-f762a1ab5947_output_workbook__1_.xlsx?sv=2026-02-06&amp;se=2026-05-23T16%3A00%3A02Z&amp;sr=b&amp;sp=r&amp;sig=R0Y6fcwKUOm80o6fpbavn2d94wUSLa2aZcceklUOvn8%3D</v>
      </c>
      <c r="X76" s="43" t="str">
        <f>IFERROR(__xludf.DUMMYFUNCTION("""COMPUTED_VALUE"""),"success")</f>
        <v>success</v>
      </c>
      <c r="Y76" s="43">
        <f>IFERROR(__xludf.DUMMYFUNCTION("""COMPUTED_VALUE"""),2.0)</f>
        <v>2</v>
      </c>
      <c r="Z76"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76" s="43" t="str">
        <f>IFERROR(__xludf.DUMMYFUNCTION("""COMPUTED_VALUE"""),"success")</f>
        <v>success</v>
      </c>
    </row>
    <row r="77">
      <c r="A77" s="110" t="str">
        <f t="shared" si="1"/>
        <v>www.tsip.ai/claim/1c8f6062-9e4e-4485-9f8c-7107b036222c</v>
      </c>
      <c r="B77" s="43" t="str">
        <f>IFERROR(__xludf.DUMMYFUNCTION("""COMPUTED_VALUE"""),"1c8f6062-9e4e-4485-9f8c-7107b036222c")</f>
        <v>1c8f6062-9e4e-4485-9f8c-7107b036222c</v>
      </c>
      <c r="C77" s="43" t="str">
        <f>IFERROR(__xludf.DUMMYFUNCTION("""COMPUTED_VALUE"""),"sheets-training")</f>
        <v>sheets-training</v>
      </c>
      <c r="D77" s="43">
        <f>IFERROR(__xludf.DUMMYFUNCTION("""COMPUTED_VALUE"""),3.0)</f>
        <v>3</v>
      </c>
      <c r="E77" s="43" t="str">
        <f>IFERROR(__xludf.DUMMYFUNCTION("""COMPUTED_VALUE"""),"training_review")</f>
        <v>training_review</v>
      </c>
      <c r="F77" s="43" t="str">
        <f>IFERROR(__xludf.DUMMYFUNCTION("""COMPUTED_VALUE"""),"cb09ba27-c93f-488d-a521-1acfca174929")</f>
        <v>cb09ba27-c93f-488d-a521-1acfca174929</v>
      </c>
      <c r="G77" s="43" t="str">
        <f>IFERROR(__xludf.DUMMYFUNCTION("""COMPUTED_VALUE"""),"NULL")</f>
        <v>NULL</v>
      </c>
      <c r="H77" s="43" t="str">
        <f>IFERROR(__xludf.DUMMYFUNCTION("""COMPUTED_VALUE"""),"""2026-05-20T22:38:16.156Z""")</f>
        <v>"2026-05-20T22:38:16.156Z"</v>
      </c>
      <c r="I77" s="43" t="str">
        <f>IFERROR(__xludf.DUMMYFUNCTION("""COMPUTED_VALUE"""),"NULL")</f>
        <v>NULL</v>
      </c>
      <c r="J77" s="43" t="str">
        <f>IFERROR(__xludf.DUMMYFUNCTION("""COMPUTED_VALUE"""),"""2026-05-20T22:59:43.420Z""")</f>
        <v>"2026-05-20T22:59:43.420Z"</v>
      </c>
      <c r="K77" s="43" t="str">
        <f>IFERROR(__xludf.DUMMYFUNCTION("""COMPUTED_VALUE"""),"""2026-05-20T22:35:21.497Z""")</f>
        <v>"2026-05-20T22:35:21.497Z"</v>
      </c>
      <c r="L77" s="43" t="str">
        <f>IFERROR(__xludf.DUMMYFUNCTION("""COMPUTED_VALUE"""),"""2026-05-20T22:59:43.420Z""")</f>
        <v>"2026-05-20T22:59:43.420Z"</v>
      </c>
      <c r="M77" s="43" t="str">
        <f>IFERROR(__xludf.DUMMYFUNCTION("""COMPUTED_VALUE"""),"e7175f74-f5c9-41f7-9c77-dc3be8341fbf")</f>
        <v>e7175f74-f5c9-41f7-9c77-dc3be8341fbf</v>
      </c>
      <c r="N77" s="43" t="str">
        <f>IFERROR(__xludf.DUMMYFUNCTION("""COMPUTED_VALUE"""),"cacf4da3-cd8d-402b-a1e9-f3ad3e7f11bf")</f>
        <v>cacf4da3-cd8d-402b-a1e9-f3ad3e7f11bf</v>
      </c>
      <c r="O77" s="43" t="str">
        <f>IFERROR(__xludf.DUMMYFUNCTION("""COMPUTED_VALUE"""),"{}")</f>
        <v>{}</v>
      </c>
      <c r="P77" s="43" t="str">
        <f>IFERROR(__xludf.DUMMYFUNCTION("""COMPUTED_VALUE"""),"training_review")</f>
        <v>training_review</v>
      </c>
      <c r="Q77" s="43" t="str">
        <f>IFERROR(__xludf.DUMMYFUNCTION("""COMPUTED_VALUE"""),"sheets-training")</f>
        <v>sheets-training</v>
      </c>
      <c r="R7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7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77" s="43" t="str">
        <f>IFERROR(__xludf.DUMMYFUNCTION("""COMPUTED_VALUE"""),"train yourself!")</f>
        <v>train yourself!</v>
      </c>
      <c r="V77" s="110" t="str">
        <f>IFERROR(__xludf.DUMMYFUNCTION("""COMPUTED_VALUE"""),"https://tsipprd.blob.core.windows.net/tsip-files/imports/cb09ba27-c93f-488d-a521-1acfca174929/1779316481981_input.xlsx?sv=2026-02-06&amp;se=2026-05-23T16%3A00%3A02Z&amp;sr=b&amp;sp=r&amp;sig=k02y0k1SRUvfUu15Giy8N0IPubR6YZFT7vDxP3M5MM4%3D")</f>
        <v>https://tsipprd.blob.core.windows.net/tsip-files/imports/cb09ba27-c93f-488d-a521-1acfca174929/1779316481981_input.xlsx?sv=2026-02-06&amp;se=2026-05-23T16%3A00%3A02Z&amp;sr=b&amp;sp=r&amp;sig=k02y0k1SRUvfUu15Giy8N0IPubR6YZFT7vDxP3M5MM4%3D</v>
      </c>
      <c r="W77" s="110" t="str">
        <f>IFERROR(__xludf.DUMMYFUNCTION("""COMPUTED_VALUE"""),"https://tsipprd.blob.core.windows.net/tsip-files/imports/cb09ba27-c93f-488d-a521-1acfca174929/1779316482562_output.xlsx?sv=2026-02-06&amp;se=2026-05-23T16%3A00%3A02Z&amp;sr=b&amp;sp=r&amp;sig=2Z8bWg62hgYs1CWogmZW8qDjozDMKFVv7sn3bFAzgCc%3D")</f>
        <v>https://tsipprd.blob.core.windows.net/tsip-files/imports/cb09ba27-c93f-488d-a521-1acfca174929/1779316482562_output.xlsx?sv=2026-02-06&amp;se=2026-05-23T16%3A00%3A02Z&amp;sr=b&amp;sp=r&amp;sig=2Z8bWg62hgYs1CWogmZW8qDjozDMKFVv7sn3bFAzgCc%3D</v>
      </c>
      <c r="X77" s="43" t="str">
        <f>IFERROR(__xludf.DUMMYFUNCTION("""COMPUTED_VALUE"""),"success")</f>
        <v>success</v>
      </c>
      <c r="Y77" s="43">
        <f>IFERROR(__xludf.DUMMYFUNCTION("""COMPUTED_VALUE"""),2.0)</f>
        <v>2</v>
      </c>
      <c r="Z7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77" s="43" t="str">
        <f>IFERROR(__xludf.DUMMYFUNCTION("""COMPUTED_VALUE"""),"success")</f>
        <v>success</v>
      </c>
    </row>
    <row r="78">
      <c r="A78" s="110" t="str">
        <f t="shared" si="1"/>
        <v>www.tsip.ai/claim/605053db-cfdd-4b95-9484-aa07b268091a</v>
      </c>
      <c r="B78" s="43" t="str">
        <f>IFERROR(__xludf.DUMMYFUNCTION("""COMPUTED_VALUE"""),"605053db-cfdd-4b95-9484-aa07b268091a")</f>
        <v>605053db-cfdd-4b95-9484-aa07b268091a</v>
      </c>
      <c r="C78" s="43" t="str">
        <f>IFERROR(__xludf.DUMMYFUNCTION("""COMPUTED_VALUE"""),"sheets-training")</f>
        <v>sheets-training</v>
      </c>
      <c r="D78" s="43">
        <f>IFERROR(__xludf.DUMMYFUNCTION("""COMPUTED_VALUE"""),3.0)</f>
        <v>3</v>
      </c>
      <c r="E78" s="43" t="str">
        <f>IFERROR(__xludf.DUMMYFUNCTION("""COMPUTED_VALUE"""),"training_review")</f>
        <v>training_review</v>
      </c>
      <c r="F78" s="43" t="str">
        <f>IFERROR(__xludf.DUMMYFUNCTION("""COMPUTED_VALUE"""),"cb09ba27-c93f-488d-a521-1acfca174929")</f>
        <v>cb09ba27-c93f-488d-a521-1acfca174929</v>
      </c>
      <c r="G78" s="43" t="str">
        <f>IFERROR(__xludf.DUMMYFUNCTION("""COMPUTED_VALUE"""),"NULL")</f>
        <v>NULL</v>
      </c>
      <c r="H78" s="43" t="str">
        <f>IFERROR(__xludf.DUMMYFUNCTION("""COMPUTED_VALUE"""),"""2026-05-21T14:02:29.173Z""")</f>
        <v>"2026-05-21T14:02:29.173Z"</v>
      </c>
      <c r="I78" s="43" t="str">
        <f>IFERROR(__xludf.DUMMYFUNCTION("""COMPUTED_VALUE"""),"NULL")</f>
        <v>NULL</v>
      </c>
      <c r="J78" s="43" t="str">
        <f>IFERROR(__xludf.DUMMYFUNCTION("""COMPUTED_VALUE"""),"NULL")</f>
        <v>NULL</v>
      </c>
      <c r="K78" s="43" t="str">
        <f>IFERROR(__xludf.DUMMYFUNCTION("""COMPUTED_VALUE"""),"""2026-05-20T23:00:23.981Z""")</f>
        <v>"2026-05-20T23:00:23.981Z"</v>
      </c>
      <c r="L78" s="43" t="str">
        <f>IFERROR(__xludf.DUMMYFUNCTION("""COMPUTED_VALUE"""),"""2026-05-21T14:02:29.173Z""")</f>
        <v>"2026-05-21T14:02:29.173Z"</v>
      </c>
      <c r="M78" s="43" t="str">
        <f>IFERROR(__xludf.DUMMYFUNCTION("""COMPUTED_VALUE"""),"3d8c7583-3bd7-40ad-b63e-202ddf2da8dc")</f>
        <v>3d8c7583-3bd7-40ad-b63e-202ddf2da8dc</v>
      </c>
      <c r="N78" s="43" t="str">
        <f>IFERROR(__xludf.DUMMYFUNCTION("""COMPUTED_VALUE"""),"cacf4da3-cd8d-402b-a1e9-f3ad3e7f11bf")</f>
        <v>cacf4da3-cd8d-402b-a1e9-f3ad3e7f11bf</v>
      </c>
      <c r="O78" s="43" t="str">
        <f>IFERROR(__xludf.DUMMYFUNCTION("""COMPUTED_VALUE"""),"{}")</f>
        <v>{}</v>
      </c>
      <c r="P78" s="43" t="str">
        <f>IFERROR(__xludf.DUMMYFUNCTION("""COMPUTED_VALUE"""),"training_review")</f>
        <v>training_review</v>
      </c>
      <c r="Q78" s="43" t="str">
        <f>IFERROR(__xludf.DUMMYFUNCTION("""COMPUTED_VALUE"""),"sheets-training")</f>
        <v>sheets-training</v>
      </c>
      <c r="R78"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78"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8"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78"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78" s="110" t="str">
        <f>IFERROR(__xludf.DUMMYFUNCTION("""COMPUTED_VALUE"""),"https://tsipprd.blob.core.windows.net/tsip-files/3d8c7583-3bd7-40ad-b63e-202ddf2da8dc/605053db-cfdd-4b95-9484-aa07b268091a/1779371958046_meridian_2f6c9c82-25de-4eeb-b1cd-f762a1ab5947_input_workbook__1_.xlsx?sv=2026-02-06&amp;se=2026-05-23T16%3A15%3A07Z&amp;sr=b&amp;s"&amp;"p=r&amp;sig=IMpRgEpqU%2FcvCaIyPd%2B9nOhczmGx3HBbFyhWx7G%2B2F0%3D")</f>
        <v>https://tsipprd.blob.core.windows.net/tsip-files/3d8c7583-3bd7-40ad-b63e-202ddf2da8dc/605053db-cfdd-4b95-9484-aa07b268091a/1779371958046_meridian_2f6c9c82-25de-4eeb-b1cd-f762a1ab5947_input_workbook__1_.xlsx?sv=2026-02-06&amp;se=2026-05-23T16%3A15%3A07Z&amp;sr=b&amp;sp=r&amp;sig=IMpRgEpqU%2FcvCaIyPd%2B9nOhczmGx3HBbFyhWx7G%2B2F0%3D</v>
      </c>
      <c r="W78" s="110" t="str">
        <f>IFERROR(__xludf.DUMMYFUNCTION("""COMPUTED_VALUE"""),"https://tsipprd.blob.core.windows.net/tsip-files/3d8c7583-3bd7-40ad-b63e-202ddf2da8dc/605053db-cfdd-4b95-9484-aa07b268091a/1779371966454_meridian_2f6c9c82-25de-4eeb-b1cd-f762a1ab5947_output_workbook__1_.xlsx?sv=2026-02-06&amp;se=2026-05-23T16%3A15%3A07Z&amp;sr=b&amp;"&amp;"sp=r&amp;sig=7nTGi%2FadoqoM3907IPDoyf%2Ft86cdYwFU%2BN1pMQVzhRU%3D")</f>
        <v>https://tsipprd.blob.core.windows.net/tsip-files/3d8c7583-3bd7-40ad-b63e-202ddf2da8dc/605053db-cfdd-4b95-9484-aa07b268091a/1779371966454_meridian_2f6c9c82-25de-4eeb-b1cd-f762a1ab5947_output_workbook__1_.xlsx?sv=2026-02-06&amp;se=2026-05-23T16%3A15%3A07Z&amp;sr=b&amp;sp=r&amp;sig=7nTGi%2FadoqoM3907IPDoyf%2Ft86cdYwFU%2BN1pMQVzhRU%3D</v>
      </c>
      <c r="X78" s="43" t="str">
        <f>IFERROR(__xludf.DUMMYFUNCTION("""COMPUTED_VALUE"""),"success")</f>
        <v>success</v>
      </c>
      <c r="Y78" s="43">
        <f>IFERROR(__xludf.DUMMYFUNCTION("""COMPUTED_VALUE"""),2.0)</f>
        <v>2</v>
      </c>
      <c r="Z78"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78" s="43" t="str">
        <f>IFERROR(__xludf.DUMMYFUNCTION("""COMPUTED_VALUE"""),"success")</f>
        <v>success</v>
      </c>
    </row>
    <row r="79">
      <c r="A79" s="110" t="str">
        <f t="shared" si="1"/>
        <v>www.tsip.ai/claim/1c8f6062-9e4e-4485-9f8c-7107b036222c</v>
      </c>
      <c r="B79" s="43" t="str">
        <f>IFERROR(__xludf.DUMMYFUNCTION("""COMPUTED_VALUE"""),"1c8f6062-9e4e-4485-9f8c-7107b036222c")</f>
        <v>1c8f6062-9e4e-4485-9f8c-7107b036222c</v>
      </c>
      <c r="C79" s="43" t="str">
        <f>IFERROR(__xludf.DUMMYFUNCTION("""COMPUTED_VALUE"""),"sheets-training")</f>
        <v>sheets-training</v>
      </c>
      <c r="D79" s="43">
        <f>IFERROR(__xludf.DUMMYFUNCTION("""COMPUTED_VALUE"""),3.0)</f>
        <v>3</v>
      </c>
      <c r="E79" s="43" t="str">
        <f>IFERROR(__xludf.DUMMYFUNCTION("""COMPUTED_VALUE"""),"training_review")</f>
        <v>training_review</v>
      </c>
      <c r="F79" s="43" t="str">
        <f>IFERROR(__xludf.DUMMYFUNCTION("""COMPUTED_VALUE"""),"cb09ba27-c93f-488d-a521-1acfca174929")</f>
        <v>cb09ba27-c93f-488d-a521-1acfca174929</v>
      </c>
      <c r="G79" s="43" t="str">
        <f>IFERROR(__xludf.DUMMYFUNCTION("""COMPUTED_VALUE"""),"NULL")</f>
        <v>NULL</v>
      </c>
      <c r="H79" s="43" t="str">
        <f>IFERROR(__xludf.DUMMYFUNCTION("""COMPUTED_VALUE"""),"""2026-05-20T22:38:16.156Z""")</f>
        <v>"2026-05-20T22:38:16.156Z"</v>
      </c>
      <c r="I79" s="43" t="str">
        <f>IFERROR(__xludf.DUMMYFUNCTION("""COMPUTED_VALUE"""),"NULL")</f>
        <v>NULL</v>
      </c>
      <c r="J79" s="43" t="str">
        <f>IFERROR(__xludf.DUMMYFUNCTION("""COMPUTED_VALUE"""),"""2026-05-20T22:59:43.420Z""")</f>
        <v>"2026-05-20T22:59:43.420Z"</v>
      </c>
      <c r="K79" s="43" t="str">
        <f>IFERROR(__xludf.DUMMYFUNCTION("""COMPUTED_VALUE"""),"""2026-05-20T22:35:21.497Z""")</f>
        <v>"2026-05-20T22:35:21.497Z"</v>
      </c>
      <c r="L79" s="43" t="str">
        <f>IFERROR(__xludf.DUMMYFUNCTION("""COMPUTED_VALUE"""),"""2026-05-20T22:59:43.420Z""")</f>
        <v>"2026-05-20T22:59:43.420Z"</v>
      </c>
      <c r="M79" s="43" t="str">
        <f>IFERROR(__xludf.DUMMYFUNCTION("""COMPUTED_VALUE"""),"e7175f74-f5c9-41f7-9c77-dc3be8341fbf")</f>
        <v>e7175f74-f5c9-41f7-9c77-dc3be8341fbf</v>
      </c>
      <c r="N79" s="43" t="str">
        <f>IFERROR(__xludf.DUMMYFUNCTION("""COMPUTED_VALUE"""),"cacf4da3-cd8d-402b-a1e9-f3ad3e7f11bf")</f>
        <v>cacf4da3-cd8d-402b-a1e9-f3ad3e7f11bf</v>
      </c>
      <c r="O79" s="43" t="str">
        <f>IFERROR(__xludf.DUMMYFUNCTION("""COMPUTED_VALUE"""),"{}")</f>
        <v>{}</v>
      </c>
      <c r="P79" s="43" t="str">
        <f>IFERROR(__xludf.DUMMYFUNCTION("""COMPUTED_VALUE"""),"training_review")</f>
        <v>training_review</v>
      </c>
      <c r="Q79" s="43" t="str">
        <f>IFERROR(__xludf.DUMMYFUNCTION("""COMPUTED_VALUE"""),"sheets-training")</f>
        <v>sheets-training</v>
      </c>
      <c r="R7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7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7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79" s="43" t="str">
        <f>IFERROR(__xludf.DUMMYFUNCTION("""COMPUTED_VALUE"""),"train yourself!")</f>
        <v>train yourself!</v>
      </c>
      <c r="V79" s="110" t="str">
        <f>IFERROR(__xludf.DUMMYFUNCTION("""COMPUTED_VALUE"""),"https://tsipprd.blob.core.windows.net/tsip-files/imports/cb09ba27-c93f-488d-a521-1acfca174929/1779316481981_input.xlsx?sv=2026-02-06&amp;se=2026-05-23T16%3A15%3A08Z&amp;sr=b&amp;sp=r&amp;sig=FqWDO6U6gkn1B1ZEza2ILDehbT7ZEvvyugKdiTyX1vA%3D")</f>
        <v>https://tsipprd.blob.core.windows.net/tsip-files/imports/cb09ba27-c93f-488d-a521-1acfca174929/1779316481981_input.xlsx?sv=2026-02-06&amp;se=2026-05-23T16%3A15%3A08Z&amp;sr=b&amp;sp=r&amp;sig=FqWDO6U6gkn1B1ZEza2ILDehbT7ZEvvyugKdiTyX1vA%3D</v>
      </c>
      <c r="W79" s="110" t="str">
        <f>IFERROR(__xludf.DUMMYFUNCTION("""COMPUTED_VALUE"""),"https://tsipprd.blob.core.windows.net/tsip-files/imports/cb09ba27-c93f-488d-a521-1acfca174929/1779316482562_output.xlsx?sv=2026-02-06&amp;se=2026-05-23T16%3A15%3A08Z&amp;sr=b&amp;sp=r&amp;sig=PKnBcSMDa9u9D%2FSAd7K6Q4jxOCEexjscVLWQfRddeWc%3D")</f>
        <v>https://tsipprd.blob.core.windows.net/tsip-files/imports/cb09ba27-c93f-488d-a521-1acfca174929/1779316482562_output.xlsx?sv=2026-02-06&amp;se=2026-05-23T16%3A15%3A08Z&amp;sr=b&amp;sp=r&amp;sig=PKnBcSMDa9u9D%2FSAd7K6Q4jxOCEexjscVLWQfRddeWc%3D</v>
      </c>
      <c r="X79" s="43" t="str">
        <f>IFERROR(__xludf.DUMMYFUNCTION("""COMPUTED_VALUE"""),"success")</f>
        <v>success</v>
      </c>
      <c r="Y79" s="43">
        <f>IFERROR(__xludf.DUMMYFUNCTION("""COMPUTED_VALUE"""),2.0)</f>
        <v>2</v>
      </c>
      <c r="Z7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79" s="43" t="str">
        <f>IFERROR(__xludf.DUMMYFUNCTION("""COMPUTED_VALUE"""),"success")</f>
        <v>success</v>
      </c>
    </row>
    <row r="80">
      <c r="A80" s="110" t="str">
        <f t="shared" si="1"/>
        <v>www.tsip.ai/claim/605053db-cfdd-4b95-9484-aa07b268091a</v>
      </c>
      <c r="B80" s="43" t="str">
        <f>IFERROR(__xludf.DUMMYFUNCTION("""COMPUTED_VALUE"""),"605053db-cfdd-4b95-9484-aa07b268091a")</f>
        <v>605053db-cfdd-4b95-9484-aa07b268091a</v>
      </c>
      <c r="C80" s="43" t="str">
        <f>IFERROR(__xludf.DUMMYFUNCTION("""COMPUTED_VALUE"""),"sheets-training")</f>
        <v>sheets-training</v>
      </c>
      <c r="D80" s="43">
        <f>IFERROR(__xludf.DUMMYFUNCTION("""COMPUTED_VALUE"""),3.0)</f>
        <v>3</v>
      </c>
      <c r="E80" s="43" t="str">
        <f>IFERROR(__xludf.DUMMYFUNCTION("""COMPUTED_VALUE"""),"training_review")</f>
        <v>training_review</v>
      </c>
      <c r="F80" s="43" t="str">
        <f>IFERROR(__xludf.DUMMYFUNCTION("""COMPUTED_VALUE"""),"cb09ba27-c93f-488d-a521-1acfca174929")</f>
        <v>cb09ba27-c93f-488d-a521-1acfca174929</v>
      </c>
      <c r="G80" s="43" t="str">
        <f>IFERROR(__xludf.DUMMYFUNCTION("""COMPUTED_VALUE"""),"NULL")</f>
        <v>NULL</v>
      </c>
      <c r="H80" s="43" t="str">
        <f>IFERROR(__xludf.DUMMYFUNCTION("""COMPUTED_VALUE"""),"""2026-05-21T14:02:29.173Z""")</f>
        <v>"2026-05-21T14:02:29.173Z"</v>
      </c>
      <c r="I80" s="43" t="str">
        <f>IFERROR(__xludf.DUMMYFUNCTION("""COMPUTED_VALUE"""),"NULL")</f>
        <v>NULL</v>
      </c>
      <c r="J80" s="43" t="str">
        <f>IFERROR(__xludf.DUMMYFUNCTION("""COMPUTED_VALUE"""),"NULL")</f>
        <v>NULL</v>
      </c>
      <c r="K80" s="43" t="str">
        <f>IFERROR(__xludf.DUMMYFUNCTION("""COMPUTED_VALUE"""),"""2026-05-20T23:00:23.981Z""")</f>
        <v>"2026-05-20T23:00:23.981Z"</v>
      </c>
      <c r="L80" s="43" t="str">
        <f>IFERROR(__xludf.DUMMYFUNCTION("""COMPUTED_VALUE"""),"""2026-05-21T14:02:29.173Z""")</f>
        <v>"2026-05-21T14:02:29.173Z"</v>
      </c>
      <c r="M80" s="43" t="str">
        <f>IFERROR(__xludf.DUMMYFUNCTION("""COMPUTED_VALUE"""),"3d8c7583-3bd7-40ad-b63e-202ddf2da8dc")</f>
        <v>3d8c7583-3bd7-40ad-b63e-202ddf2da8dc</v>
      </c>
      <c r="N80" s="43" t="str">
        <f>IFERROR(__xludf.DUMMYFUNCTION("""COMPUTED_VALUE"""),"cacf4da3-cd8d-402b-a1e9-f3ad3e7f11bf")</f>
        <v>cacf4da3-cd8d-402b-a1e9-f3ad3e7f11bf</v>
      </c>
      <c r="O80" s="43" t="str">
        <f>IFERROR(__xludf.DUMMYFUNCTION("""COMPUTED_VALUE"""),"{}")</f>
        <v>{}</v>
      </c>
      <c r="P80" s="43" t="str">
        <f>IFERROR(__xludf.DUMMYFUNCTION("""COMPUTED_VALUE"""),"training_review")</f>
        <v>training_review</v>
      </c>
      <c r="Q80" s="43" t="str">
        <f>IFERROR(__xludf.DUMMYFUNCTION("""COMPUTED_VALUE"""),"sheets-training")</f>
        <v>sheets-training</v>
      </c>
      <c r="R80"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80"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0"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80"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80" s="110" t="str">
        <f>IFERROR(__xludf.DUMMYFUNCTION("""COMPUTED_VALUE"""),"https://tsipprd.blob.core.windows.net/tsip-files/3d8c7583-3bd7-40ad-b63e-202ddf2da8dc/605053db-cfdd-4b95-9484-aa07b268091a/1779371958046_meridian_2f6c9c82-25de-4eeb-b1cd-f762a1ab5947_input_workbook__1_.xlsx?sv=2026-02-06&amp;se=2026-05-23T16%3A30%3A02Z&amp;sr=b&amp;s"&amp;"p=r&amp;sig=r6g5OGHFOLs0Bi9jQg6bJdhcYjEdSMHNv%2F2aHofTIlY%3D")</f>
        <v>https://tsipprd.blob.core.windows.net/tsip-files/3d8c7583-3bd7-40ad-b63e-202ddf2da8dc/605053db-cfdd-4b95-9484-aa07b268091a/1779371958046_meridian_2f6c9c82-25de-4eeb-b1cd-f762a1ab5947_input_workbook__1_.xlsx?sv=2026-02-06&amp;se=2026-05-23T16%3A30%3A02Z&amp;sr=b&amp;sp=r&amp;sig=r6g5OGHFOLs0Bi9jQg6bJdhcYjEdSMHNv%2F2aHofTIlY%3D</v>
      </c>
      <c r="W80" s="110" t="str">
        <f>IFERROR(__xludf.DUMMYFUNCTION("""COMPUTED_VALUE"""),"https://tsipprd.blob.core.windows.net/tsip-files/3d8c7583-3bd7-40ad-b63e-202ddf2da8dc/605053db-cfdd-4b95-9484-aa07b268091a/1779371966454_meridian_2f6c9c82-25de-4eeb-b1cd-f762a1ab5947_output_workbook__1_.xlsx?sv=2026-02-06&amp;se=2026-05-23T16%3A30%3A02Z&amp;sr=b&amp;"&amp;"sp=r&amp;sig=A9NKLVC1Chrf7t3LxljhQcWeutm%2BZ3rHR3NZ0zohrsc%3D")</f>
        <v>https://tsipprd.blob.core.windows.net/tsip-files/3d8c7583-3bd7-40ad-b63e-202ddf2da8dc/605053db-cfdd-4b95-9484-aa07b268091a/1779371966454_meridian_2f6c9c82-25de-4eeb-b1cd-f762a1ab5947_output_workbook__1_.xlsx?sv=2026-02-06&amp;se=2026-05-23T16%3A30%3A02Z&amp;sr=b&amp;sp=r&amp;sig=A9NKLVC1Chrf7t3LxljhQcWeutm%2BZ3rHR3NZ0zohrsc%3D</v>
      </c>
      <c r="X80" s="43" t="str">
        <f>IFERROR(__xludf.DUMMYFUNCTION("""COMPUTED_VALUE"""),"success")</f>
        <v>success</v>
      </c>
      <c r="Y80" s="43">
        <f>IFERROR(__xludf.DUMMYFUNCTION("""COMPUTED_VALUE"""),2.0)</f>
        <v>2</v>
      </c>
      <c r="Z80"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80" s="43" t="str">
        <f>IFERROR(__xludf.DUMMYFUNCTION("""COMPUTED_VALUE"""),"success")</f>
        <v>success</v>
      </c>
    </row>
    <row r="81">
      <c r="A81" s="110" t="str">
        <f t="shared" si="1"/>
        <v>www.tsip.ai/claim/1c8f6062-9e4e-4485-9f8c-7107b036222c</v>
      </c>
      <c r="B81" s="43" t="str">
        <f>IFERROR(__xludf.DUMMYFUNCTION("""COMPUTED_VALUE"""),"1c8f6062-9e4e-4485-9f8c-7107b036222c")</f>
        <v>1c8f6062-9e4e-4485-9f8c-7107b036222c</v>
      </c>
      <c r="C81" s="43" t="str">
        <f>IFERROR(__xludf.DUMMYFUNCTION("""COMPUTED_VALUE"""),"sheets-training")</f>
        <v>sheets-training</v>
      </c>
      <c r="D81" s="43">
        <f>IFERROR(__xludf.DUMMYFUNCTION("""COMPUTED_VALUE"""),3.0)</f>
        <v>3</v>
      </c>
      <c r="E81" s="43" t="str">
        <f>IFERROR(__xludf.DUMMYFUNCTION("""COMPUTED_VALUE"""),"training_review")</f>
        <v>training_review</v>
      </c>
      <c r="F81" s="43" t="str">
        <f>IFERROR(__xludf.DUMMYFUNCTION("""COMPUTED_VALUE"""),"cb09ba27-c93f-488d-a521-1acfca174929")</f>
        <v>cb09ba27-c93f-488d-a521-1acfca174929</v>
      </c>
      <c r="G81" s="43" t="str">
        <f>IFERROR(__xludf.DUMMYFUNCTION("""COMPUTED_VALUE"""),"NULL")</f>
        <v>NULL</v>
      </c>
      <c r="H81" s="43" t="str">
        <f>IFERROR(__xludf.DUMMYFUNCTION("""COMPUTED_VALUE"""),"""2026-05-20T22:38:16.156Z""")</f>
        <v>"2026-05-20T22:38:16.156Z"</v>
      </c>
      <c r="I81" s="43" t="str">
        <f>IFERROR(__xludf.DUMMYFUNCTION("""COMPUTED_VALUE"""),"NULL")</f>
        <v>NULL</v>
      </c>
      <c r="J81" s="43" t="str">
        <f>IFERROR(__xludf.DUMMYFUNCTION("""COMPUTED_VALUE"""),"""2026-05-20T22:59:43.420Z""")</f>
        <v>"2026-05-20T22:59:43.420Z"</v>
      </c>
      <c r="K81" s="43" t="str">
        <f>IFERROR(__xludf.DUMMYFUNCTION("""COMPUTED_VALUE"""),"""2026-05-20T22:35:21.497Z""")</f>
        <v>"2026-05-20T22:35:21.497Z"</v>
      </c>
      <c r="L81" s="43" t="str">
        <f>IFERROR(__xludf.DUMMYFUNCTION("""COMPUTED_VALUE"""),"""2026-05-20T22:59:43.420Z""")</f>
        <v>"2026-05-20T22:59:43.420Z"</v>
      </c>
      <c r="M81" s="43" t="str">
        <f>IFERROR(__xludf.DUMMYFUNCTION("""COMPUTED_VALUE"""),"e7175f74-f5c9-41f7-9c77-dc3be8341fbf")</f>
        <v>e7175f74-f5c9-41f7-9c77-dc3be8341fbf</v>
      </c>
      <c r="N81" s="43" t="str">
        <f>IFERROR(__xludf.DUMMYFUNCTION("""COMPUTED_VALUE"""),"cacf4da3-cd8d-402b-a1e9-f3ad3e7f11bf")</f>
        <v>cacf4da3-cd8d-402b-a1e9-f3ad3e7f11bf</v>
      </c>
      <c r="O81" s="43" t="str">
        <f>IFERROR(__xludf.DUMMYFUNCTION("""COMPUTED_VALUE"""),"{}")</f>
        <v>{}</v>
      </c>
      <c r="P81" s="43" t="str">
        <f>IFERROR(__xludf.DUMMYFUNCTION("""COMPUTED_VALUE"""),"training_review")</f>
        <v>training_review</v>
      </c>
      <c r="Q81" s="43" t="str">
        <f>IFERROR(__xludf.DUMMYFUNCTION("""COMPUTED_VALUE"""),"sheets-training")</f>
        <v>sheets-training</v>
      </c>
      <c r="R8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8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81" s="43" t="str">
        <f>IFERROR(__xludf.DUMMYFUNCTION("""COMPUTED_VALUE"""),"train yourself!")</f>
        <v>train yourself!</v>
      </c>
      <c r="V81" s="110" t="str">
        <f>IFERROR(__xludf.DUMMYFUNCTION("""COMPUTED_VALUE"""),"https://tsipprd.blob.core.windows.net/tsip-files/imports/cb09ba27-c93f-488d-a521-1acfca174929/1779316481981_input.xlsx?sv=2026-02-06&amp;se=2026-05-23T16%3A30%3A02Z&amp;sr=b&amp;sp=r&amp;sig=iRESVDxPPB1Qh0RJFwpSAHfEA4BuMvBLZzT2%2BFzlh3Y%3D")</f>
        <v>https://tsipprd.blob.core.windows.net/tsip-files/imports/cb09ba27-c93f-488d-a521-1acfca174929/1779316481981_input.xlsx?sv=2026-02-06&amp;se=2026-05-23T16%3A30%3A02Z&amp;sr=b&amp;sp=r&amp;sig=iRESVDxPPB1Qh0RJFwpSAHfEA4BuMvBLZzT2%2BFzlh3Y%3D</v>
      </c>
      <c r="W81" s="110" t="str">
        <f>IFERROR(__xludf.DUMMYFUNCTION("""COMPUTED_VALUE"""),"https://tsipprd.blob.core.windows.net/tsip-files/imports/cb09ba27-c93f-488d-a521-1acfca174929/1779316482562_output.xlsx?sv=2026-02-06&amp;se=2026-05-23T16%3A30%3A02Z&amp;sr=b&amp;sp=r&amp;sig=W6Ng8rHtoio2%2BgzObjti5RM8PTfvt5grYH4NKNHqCdA%3D")</f>
        <v>https://tsipprd.blob.core.windows.net/tsip-files/imports/cb09ba27-c93f-488d-a521-1acfca174929/1779316482562_output.xlsx?sv=2026-02-06&amp;se=2026-05-23T16%3A30%3A02Z&amp;sr=b&amp;sp=r&amp;sig=W6Ng8rHtoio2%2BgzObjti5RM8PTfvt5grYH4NKNHqCdA%3D</v>
      </c>
      <c r="X81" s="43" t="str">
        <f>IFERROR(__xludf.DUMMYFUNCTION("""COMPUTED_VALUE"""),"success")</f>
        <v>success</v>
      </c>
      <c r="Y81" s="43">
        <f>IFERROR(__xludf.DUMMYFUNCTION("""COMPUTED_VALUE"""),2.0)</f>
        <v>2</v>
      </c>
      <c r="Z8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81" s="43" t="str">
        <f>IFERROR(__xludf.DUMMYFUNCTION("""COMPUTED_VALUE"""),"success")</f>
        <v>success</v>
      </c>
    </row>
    <row r="82">
      <c r="A82" s="110" t="str">
        <f t="shared" si="1"/>
        <v>www.tsip.ai/claim/605053db-cfdd-4b95-9484-aa07b268091a</v>
      </c>
      <c r="B82" s="43" t="str">
        <f>IFERROR(__xludf.DUMMYFUNCTION("""COMPUTED_VALUE"""),"605053db-cfdd-4b95-9484-aa07b268091a")</f>
        <v>605053db-cfdd-4b95-9484-aa07b268091a</v>
      </c>
      <c r="C82" s="43" t="str">
        <f>IFERROR(__xludf.DUMMYFUNCTION("""COMPUTED_VALUE"""),"sheets-training")</f>
        <v>sheets-training</v>
      </c>
      <c r="D82" s="43">
        <f>IFERROR(__xludf.DUMMYFUNCTION("""COMPUTED_VALUE"""),3.0)</f>
        <v>3</v>
      </c>
      <c r="E82" s="43" t="str">
        <f>IFERROR(__xludf.DUMMYFUNCTION("""COMPUTED_VALUE"""),"training_review")</f>
        <v>training_review</v>
      </c>
      <c r="F82" s="43" t="str">
        <f>IFERROR(__xludf.DUMMYFUNCTION("""COMPUTED_VALUE"""),"cb09ba27-c93f-488d-a521-1acfca174929")</f>
        <v>cb09ba27-c93f-488d-a521-1acfca174929</v>
      </c>
      <c r="G82" s="43" t="str">
        <f>IFERROR(__xludf.DUMMYFUNCTION("""COMPUTED_VALUE"""),"NULL")</f>
        <v>NULL</v>
      </c>
      <c r="H82" s="43" t="str">
        <f>IFERROR(__xludf.DUMMYFUNCTION("""COMPUTED_VALUE"""),"""2026-05-21T14:02:29.173Z""")</f>
        <v>"2026-05-21T14:02:29.173Z"</v>
      </c>
      <c r="I82" s="43" t="str">
        <f>IFERROR(__xludf.DUMMYFUNCTION("""COMPUTED_VALUE"""),"NULL")</f>
        <v>NULL</v>
      </c>
      <c r="J82" s="43" t="str">
        <f>IFERROR(__xludf.DUMMYFUNCTION("""COMPUTED_VALUE"""),"NULL")</f>
        <v>NULL</v>
      </c>
      <c r="K82" s="43" t="str">
        <f>IFERROR(__xludf.DUMMYFUNCTION("""COMPUTED_VALUE"""),"""2026-05-20T23:00:23.981Z""")</f>
        <v>"2026-05-20T23:00:23.981Z"</v>
      </c>
      <c r="L82" s="43" t="str">
        <f>IFERROR(__xludf.DUMMYFUNCTION("""COMPUTED_VALUE"""),"""2026-05-21T14:02:29.173Z""")</f>
        <v>"2026-05-21T14:02:29.173Z"</v>
      </c>
      <c r="M82" s="43" t="str">
        <f>IFERROR(__xludf.DUMMYFUNCTION("""COMPUTED_VALUE"""),"3d8c7583-3bd7-40ad-b63e-202ddf2da8dc")</f>
        <v>3d8c7583-3bd7-40ad-b63e-202ddf2da8dc</v>
      </c>
      <c r="N82" s="43" t="str">
        <f>IFERROR(__xludf.DUMMYFUNCTION("""COMPUTED_VALUE"""),"cacf4da3-cd8d-402b-a1e9-f3ad3e7f11bf")</f>
        <v>cacf4da3-cd8d-402b-a1e9-f3ad3e7f11bf</v>
      </c>
      <c r="O82" s="43" t="str">
        <f>IFERROR(__xludf.DUMMYFUNCTION("""COMPUTED_VALUE"""),"{}")</f>
        <v>{}</v>
      </c>
      <c r="P82" s="43" t="str">
        <f>IFERROR(__xludf.DUMMYFUNCTION("""COMPUTED_VALUE"""),"training_review")</f>
        <v>training_review</v>
      </c>
      <c r="Q82" s="43" t="str">
        <f>IFERROR(__xludf.DUMMYFUNCTION("""COMPUTED_VALUE"""),"sheets-training")</f>
        <v>sheets-training</v>
      </c>
      <c r="R82"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82"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2"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82"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82" s="110" t="str">
        <f>IFERROR(__xludf.DUMMYFUNCTION("""COMPUTED_VALUE"""),"https://tsipprd.blob.core.windows.net/tsip-files/3d8c7583-3bd7-40ad-b63e-202ddf2da8dc/605053db-cfdd-4b95-9484-aa07b268091a/1779371958046_meridian_2f6c9c82-25de-4eeb-b1cd-f762a1ab5947_input_workbook__1_.xlsx?sv=2026-02-06&amp;se=2026-05-23T16%3A45%3A01Z&amp;sr=b&amp;s"&amp;"p=r&amp;sig=32HAQMbshcl427vdXMFtz%2F9P4qixkZdD7Aibj0dVYFM%3D")</f>
        <v>https://tsipprd.blob.core.windows.net/tsip-files/3d8c7583-3bd7-40ad-b63e-202ddf2da8dc/605053db-cfdd-4b95-9484-aa07b268091a/1779371958046_meridian_2f6c9c82-25de-4eeb-b1cd-f762a1ab5947_input_workbook__1_.xlsx?sv=2026-02-06&amp;se=2026-05-23T16%3A45%3A01Z&amp;sr=b&amp;sp=r&amp;sig=32HAQMbshcl427vdXMFtz%2F9P4qixkZdD7Aibj0dVYFM%3D</v>
      </c>
      <c r="W82" s="110" t="str">
        <f>IFERROR(__xludf.DUMMYFUNCTION("""COMPUTED_VALUE"""),"https://tsipprd.blob.core.windows.net/tsip-files/3d8c7583-3bd7-40ad-b63e-202ddf2da8dc/605053db-cfdd-4b95-9484-aa07b268091a/1779371966454_meridian_2f6c9c82-25de-4eeb-b1cd-f762a1ab5947_output_workbook__1_.xlsx?sv=2026-02-06&amp;se=2026-05-23T16%3A45%3A01Z&amp;sr=b&amp;"&amp;"sp=r&amp;sig=4K9BOYkyWfVStU9SRVt64qp0LpEudTPBFw09vJwAwBU%3D")</f>
        <v>https://tsipprd.blob.core.windows.net/tsip-files/3d8c7583-3bd7-40ad-b63e-202ddf2da8dc/605053db-cfdd-4b95-9484-aa07b268091a/1779371966454_meridian_2f6c9c82-25de-4eeb-b1cd-f762a1ab5947_output_workbook__1_.xlsx?sv=2026-02-06&amp;se=2026-05-23T16%3A45%3A01Z&amp;sr=b&amp;sp=r&amp;sig=4K9BOYkyWfVStU9SRVt64qp0LpEudTPBFw09vJwAwBU%3D</v>
      </c>
      <c r="X82" s="43" t="str">
        <f>IFERROR(__xludf.DUMMYFUNCTION("""COMPUTED_VALUE"""),"success")</f>
        <v>success</v>
      </c>
      <c r="Y82" s="43">
        <f>IFERROR(__xludf.DUMMYFUNCTION("""COMPUTED_VALUE"""),2.0)</f>
        <v>2</v>
      </c>
      <c r="Z82"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82" s="43" t="str">
        <f>IFERROR(__xludf.DUMMYFUNCTION("""COMPUTED_VALUE"""),"success")</f>
        <v>success</v>
      </c>
    </row>
    <row r="83">
      <c r="A83" s="110" t="str">
        <f t="shared" si="1"/>
        <v>www.tsip.ai/claim/1c8f6062-9e4e-4485-9f8c-7107b036222c</v>
      </c>
      <c r="B83" s="43" t="str">
        <f>IFERROR(__xludf.DUMMYFUNCTION("""COMPUTED_VALUE"""),"1c8f6062-9e4e-4485-9f8c-7107b036222c")</f>
        <v>1c8f6062-9e4e-4485-9f8c-7107b036222c</v>
      </c>
      <c r="C83" s="43" t="str">
        <f>IFERROR(__xludf.DUMMYFUNCTION("""COMPUTED_VALUE"""),"sheets-training")</f>
        <v>sheets-training</v>
      </c>
      <c r="D83" s="43">
        <f>IFERROR(__xludf.DUMMYFUNCTION("""COMPUTED_VALUE"""),3.0)</f>
        <v>3</v>
      </c>
      <c r="E83" s="43" t="str">
        <f>IFERROR(__xludf.DUMMYFUNCTION("""COMPUTED_VALUE"""),"training_review")</f>
        <v>training_review</v>
      </c>
      <c r="F83" s="43" t="str">
        <f>IFERROR(__xludf.DUMMYFUNCTION("""COMPUTED_VALUE"""),"cb09ba27-c93f-488d-a521-1acfca174929")</f>
        <v>cb09ba27-c93f-488d-a521-1acfca174929</v>
      </c>
      <c r="G83" s="43" t="str">
        <f>IFERROR(__xludf.DUMMYFUNCTION("""COMPUTED_VALUE"""),"NULL")</f>
        <v>NULL</v>
      </c>
      <c r="H83" s="43" t="str">
        <f>IFERROR(__xludf.DUMMYFUNCTION("""COMPUTED_VALUE"""),"""2026-05-20T22:38:16.156Z""")</f>
        <v>"2026-05-20T22:38:16.156Z"</v>
      </c>
      <c r="I83" s="43" t="str">
        <f>IFERROR(__xludf.DUMMYFUNCTION("""COMPUTED_VALUE"""),"NULL")</f>
        <v>NULL</v>
      </c>
      <c r="J83" s="43" t="str">
        <f>IFERROR(__xludf.DUMMYFUNCTION("""COMPUTED_VALUE"""),"""2026-05-20T22:59:43.420Z""")</f>
        <v>"2026-05-20T22:59:43.420Z"</v>
      </c>
      <c r="K83" s="43" t="str">
        <f>IFERROR(__xludf.DUMMYFUNCTION("""COMPUTED_VALUE"""),"""2026-05-20T22:35:21.497Z""")</f>
        <v>"2026-05-20T22:35:21.497Z"</v>
      </c>
      <c r="L83" s="43" t="str">
        <f>IFERROR(__xludf.DUMMYFUNCTION("""COMPUTED_VALUE"""),"""2026-05-20T22:59:43.420Z""")</f>
        <v>"2026-05-20T22:59:43.420Z"</v>
      </c>
      <c r="M83" s="43" t="str">
        <f>IFERROR(__xludf.DUMMYFUNCTION("""COMPUTED_VALUE"""),"e7175f74-f5c9-41f7-9c77-dc3be8341fbf")</f>
        <v>e7175f74-f5c9-41f7-9c77-dc3be8341fbf</v>
      </c>
      <c r="N83" s="43" t="str">
        <f>IFERROR(__xludf.DUMMYFUNCTION("""COMPUTED_VALUE"""),"cacf4da3-cd8d-402b-a1e9-f3ad3e7f11bf")</f>
        <v>cacf4da3-cd8d-402b-a1e9-f3ad3e7f11bf</v>
      </c>
      <c r="O83" s="43" t="str">
        <f>IFERROR(__xludf.DUMMYFUNCTION("""COMPUTED_VALUE"""),"{}")</f>
        <v>{}</v>
      </c>
      <c r="P83" s="43" t="str">
        <f>IFERROR(__xludf.DUMMYFUNCTION("""COMPUTED_VALUE"""),"training_review")</f>
        <v>training_review</v>
      </c>
      <c r="Q83" s="43" t="str">
        <f>IFERROR(__xludf.DUMMYFUNCTION("""COMPUTED_VALUE"""),"sheets-training")</f>
        <v>sheets-training</v>
      </c>
      <c r="R8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8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83" s="43" t="str">
        <f>IFERROR(__xludf.DUMMYFUNCTION("""COMPUTED_VALUE"""),"train yourself!")</f>
        <v>train yourself!</v>
      </c>
      <c r="V83" s="110" t="str">
        <f>IFERROR(__xludf.DUMMYFUNCTION("""COMPUTED_VALUE"""),"https://tsipprd.blob.core.windows.net/tsip-files/imports/cb09ba27-c93f-488d-a521-1acfca174929/1779316481981_input.xlsx?sv=2026-02-06&amp;se=2026-05-23T16%3A45%3A01Z&amp;sr=b&amp;sp=r&amp;sig=S%2BA7ColYGAfFmrH2tcmL1sFPZmQ8iiAm2vutd1MQchk%3D")</f>
        <v>https://tsipprd.blob.core.windows.net/tsip-files/imports/cb09ba27-c93f-488d-a521-1acfca174929/1779316481981_input.xlsx?sv=2026-02-06&amp;se=2026-05-23T16%3A45%3A01Z&amp;sr=b&amp;sp=r&amp;sig=S%2BA7ColYGAfFmrH2tcmL1sFPZmQ8iiAm2vutd1MQchk%3D</v>
      </c>
      <c r="W83" s="110" t="str">
        <f>IFERROR(__xludf.DUMMYFUNCTION("""COMPUTED_VALUE"""),"https://tsipprd.blob.core.windows.net/tsip-files/imports/cb09ba27-c93f-488d-a521-1acfca174929/1779316482562_output.xlsx?sv=2026-02-06&amp;se=2026-05-23T16%3A45%3A01Z&amp;sr=b&amp;sp=r&amp;sig=yoxSLmym38wcY9mcAKpZoCRWWPzWjfrq0BJL7DuUwDo%3D")</f>
        <v>https://tsipprd.blob.core.windows.net/tsip-files/imports/cb09ba27-c93f-488d-a521-1acfca174929/1779316482562_output.xlsx?sv=2026-02-06&amp;se=2026-05-23T16%3A45%3A01Z&amp;sr=b&amp;sp=r&amp;sig=yoxSLmym38wcY9mcAKpZoCRWWPzWjfrq0BJL7DuUwDo%3D</v>
      </c>
      <c r="X83" s="43" t="str">
        <f>IFERROR(__xludf.DUMMYFUNCTION("""COMPUTED_VALUE"""),"success")</f>
        <v>success</v>
      </c>
      <c r="Y83" s="43">
        <f>IFERROR(__xludf.DUMMYFUNCTION("""COMPUTED_VALUE"""),2.0)</f>
        <v>2</v>
      </c>
      <c r="Z8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83" s="43" t="str">
        <f>IFERROR(__xludf.DUMMYFUNCTION("""COMPUTED_VALUE"""),"success")</f>
        <v>success</v>
      </c>
    </row>
    <row r="84">
      <c r="A84" s="110" t="str">
        <f t="shared" si="1"/>
        <v>www.tsip.ai/claim/605053db-cfdd-4b95-9484-aa07b268091a</v>
      </c>
      <c r="B84" s="43" t="str">
        <f>IFERROR(__xludf.DUMMYFUNCTION("""COMPUTED_VALUE"""),"605053db-cfdd-4b95-9484-aa07b268091a")</f>
        <v>605053db-cfdd-4b95-9484-aa07b268091a</v>
      </c>
      <c r="C84" s="43" t="str">
        <f>IFERROR(__xludf.DUMMYFUNCTION("""COMPUTED_VALUE"""),"sheets-training")</f>
        <v>sheets-training</v>
      </c>
      <c r="D84" s="43">
        <f>IFERROR(__xludf.DUMMYFUNCTION("""COMPUTED_VALUE"""),3.0)</f>
        <v>3</v>
      </c>
      <c r="E84" s="43" t="str">
        <f>IFERROR(__xludf.DUMMYFUNCTION("""COMPUTED_VALUE"""),"training_review")</f>
        <v>training_review</v>
      </c>
      <c r="F84" s="43" t="str">
        <f>IFERROR(__xludf.DUMMYFUNCTION("""COMPUTED_VALUE"""),"cb09ba27-c93f-488d-a521-1acfca174929")</f>
        <v>cb09ba27-c93f-488d-a521-1acfca174929</v>
      </c>
      <c r="G84" s="43" t="str">
        <f>IFERROR(__xludf.DUMMYFUNCTION("""COMPUTED_VALUE"""),"NULL")</f>
        <v>NULL</v>
      </c>
      <c r="H84" s="43" t="str">
        <f>IFERROR(__xludf.DUMMYFUNCTION("""COMPUTED_VALUE"""),"""2026-05-21T14:02:29.173Z""")</f>
        <v>"2026-05-21T14:02:29.173Z"</v>
      </c>
      <c r="I84" s="43" t="str">
        <f>IFERROR(__xludf.DUMMYFUNCTION("""COMPUTED_VALUE"""),"NULL")</f>
        <v>NULL</v>
      </c>
      <c r="J84" s="43" t="str">
        <f>IFERROR(__xludf.DUMMYFUNCTION("""COMPUTED_VALUE"""),"NULL")</f>
        <v>NULL</v>
      </c>
      <c r="K84" s="43" t="str">
        <f>IFERROR(__xludf.DUMMYFUNCTION("""COMPUTED_VALUE"""),"""2026-05-20T23:00:23.981Z""")</f>
        <v>"2026-05-20T23:00:23.981Z"</v>
      </c>
      <c r="L84" s="43" t="str">
        <f>IFERROR(__xludf.DUMMYFUNCTION("""COMPUTED_VALUE"""),"""2026-05-21T14:02:29.173Z""")</f>
        <v>"2026-05-21T14:02:29.173Z"</v>
      </c>
      <c r="M84" s="43" t="str">
        <f>IFERROR(__xludf.DUMMYFUNCTION("""COMPUTED_VALUE"""),"3d8c7583-3bd7-40ad-b63e-202ddf2da8dc")</f>
        <v>3d8c7583-3bd7-40ad-b63e-202ddf2da8dc</v>
      </c>
      <c r="N84" s="43" t="str">
        <f>IFERROR(__xludf.DUMMYFUNCTION("""COMPUTED_VALUE"""),"cacf4da3-cd8d-402b-a1e9-f3ad3e7f11bf")</f>
        <v>cacf4da3-cd8d-402b-a1e9-f3ad3e7f11bf</v>
      </c>
      <c r="O84" s="43" t="str">
        <f>IFERROR(__xludf.DUMMYFUNCTION("""COMPUTED_VALUE"""),"{}")</f>
        <v>{}</v>
      </c>
      <c r="P84" s="43" t="str">
        <f>IFERROR(__xludf.DUMMYFUNCTION("""COMPUTED_VALUE"""),"training_review")</f>
        <v>training_review</v>
      </c>
      <c r="Q84" s="43" t="str">
        <f>IFERROR(__xludf.DUMMYFUNCTION("""COMPUTED_VALUE"""),"sheets-training")</f>
        <v>sheets-training</v>
      </c>
      <c r="R84"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84"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4"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84"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84" s="110" t="str">
        <f>IFERROR(__xludf.DUMMYFUNCTION("""COMPUTED_VALUE"""),"https://tsipprd.blob.core.windows.net/tsip-files/3d8c7583-3bd7-40ad-b63e-202ddf2da8dc/605053db-cfdd-4b95-9484-aa07b268091a/1779371958046_meridian_2f6c9c82-25de-4eeb-b1cd-f762a1ab5947_input_workbook__1_.xlsx?sv=2026-02-06&amp;se=2026-05-23T17%3A00%3A02Z&amp;sr=b&amp;s"&amp;"p=r&amp;sig=AhFJPqDm4jynpk8BiVLhXBPbDwaoCPmPoAkyP0IGtBw%3D")</f>
        <v>https://tsipprd.blob.core.windows.net/tsip-files/3d8c7583-3bd7-40ad-b63e-202ddf2da8dc/605053db-cfdd-4b95-9484-aa07b268091a/1779371958046_meridian_2f6c9c82-25de-4eeb-b1cd-f762a1ab5947_input_workbook__1_.xlsx?sv=2026-02-06&amp;se=2026-05-23T17%3A00%3A02Z&amp;sr=b&amp;sp=r&amp;sig=AhFJPqDm4jynpk8BiVLhXBPbDwaoCPmPoAkyP0IGtBw%3D</v>
      </c>
      <c r="W84" s="110" t="str">
        <f>IFERROR(__xludf.DUMMYFUNCTION("""COMPUTED_VALUE"""),"https://tsipprd.blob.core.windows.net/tsip-files/3d8c7583-3bd7-40ad-b63e-202ddf2da8dc/605053db-cfdd-4b95-9484-aa07b268091a/1779371966454_meridian_2f6c9c82-25de-4eeb-b1cd-f762a1ab5947_output_workbook__1_.xlsx?sv=2026-02-06&amp;se=2026-05-23T17%3A00%3A02Z&amp;sr=b&amp;"&amp;"sp=r&amp;sig=rVehQRNecx6VwIN%2FBtxZBNYNNtqtsLrQLpllJNcoh2s%3D")</f>
        <v>https://tsipprd.blob.core.windows.net/tsip-files/3d8c7583-3bd7-40ad-b63e-202ddf2da8dc/605053db-cfdd-4b95-9484-aa07b268091a/1779371966454_meridian_2f6c9c82-25de-4eeb-b1cd-f762a1ab5947_output_workbook__1_.xlsx?sv=2026-02-06&amp;se=2026-05-23T17%3A00%3A02Z&amp;sr=b&amp;sp=r&amp;sig=rVehQRNecx6VwIN%2FBtxZBNYNNtqtsLrQLpllJNcoh2s%3D</v>
      </c>
      <c r="X84" s="43" t="str">
        <f>IFERROR(__xludf.DUMMYFUNCTION("""COMPUTED_VALUE"""),"success")</f>
        <v>success</v>
      </c>
      <c r="Y84" s="43">
        <f>IFERROR(__xludf.DUMMYFUNCTION("""COMPUTED_VALUE"""),2.0)</f>
        <v>2</v>
      </c>
      <c r="Z84"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84" s="43" t="str">
        <f>IFERROR(__xludf.DUMMYFUNCTION("""COMPUTED_VALUE"""),"success")</f>
        <v>success</v>
      </c>
    </row>
    <row r="85">
      <c r="A85" s="110" t="str">
        <f t="shared" si="1"/>
        <v>www.tsip.ai/claim/1c8f6062-9e4e-4485-9f8c-7107b036222c</v>
      </c>
      <c r="B85" s="43" t="str">
        <f>IFERROR(__xludf.DUMMYFUNCTION("""COMPUTED_VALUE"""),"1c8f6062-9e4e-4485-9f8c-7107b036222c")</f>
        <v>1c8f6062-9e4e-4485-9f8c-7107b036222c</v>
      </c>
      <c r="C85" s="43" t="str">
        <f>IFERROR(__xludf.DUMMYFUNCTION("""COMPUTED_VALUE"""),"sheets-training")</f>
        <v>sheets-training</v>
      </c>
      <c r="D85" s="43">
        <f>IFERROR(__xludf.DUMMYFUNCTION("""COMPUTED_VALUE"""),3.0)</f>
        <v>3</v>
      </c>
      <c r="E85" s="43" t="str">
        <f>IFERROR(__xludf.DUMMYFUNCTION("""COMPUTED_VALUE"""),"training_review")</f>
        <v>training_review</v>
      </c>
      <c r="F85" s="43" t="str">
        <f>IFERROR(__xludf.DUMMYFUNCTION("""COMPUTED_VALUE"""),"cb09ba27-c93f-488d-a521-1acfca174929")</f>
        <v>cb09ba27-c93f-488d-a521-1acfca174929</v>
      </c>
      <c r="G85" s="43" t="str">
        <f>IFERROR(__xludf.DUMMYFUNCTION("""COMPUTED_VALUE"""),"NULL")</f>
        <v>NULL</v>
      </c>
      <c r="H85" s="43" t="str">
        <f>IFERROR(__xludf.DUMMYFUNCTION("""COMPUTED_VALUE"""),"""2026-05-20T22:38:16.156Z""")</f>
        <v>"2026-05-20T22:38:16.156Z"</v>
      </c>
      <c r="I85" s="43" t="str">
        <f>IFERROR(__xludf.DUMMYFUNCTION("""COMPUTED_VALUE"""),"NULL")</f>
        <v>NULL</v>
      </c>
      <c r="J85" s="43" t="str">
        <f>IFERROR(__xludf.DUMMYFUNCTION("""COMPUTED_VALUE"""),"""2026-05-20T22:59:43.420Z""")</f>
        <v>"2026-05-20T22:59:43.420Z"</v>
      </c>
      <c r="K85" s="43" t="str">
        <f>IFERROR(__xludf.DUMMYFUNCTION("""COMPUTED_VALUE"""),"""2026-05-20T22:35:21.497Z""")</f>
        <v>"2026-05-20T22:35:21.497Z"</v>
      </c>
      <c r="L85" s="43" t="str">
        <f>IFERROR(__xludf.DUMMYFUNCTION("""COMPUTED_VALUE"""),"""2026-05-20T22:59:43.420Z""")</f>
        <v>"2026-05-20T22:59:43.420Z"</v>
      </c>
      <c r="M85" s="43" t="str">
        <f>IFERROR(__xludf.DUMMYFUNCTION("""COMPUTED_VALUE"""),"e7175f74-f5c9-41f7-9c77-dc3be8341fbf")</f>
        <v>e7175f74-f5c9-41f7-9c77-dc3be8341fbf</v>
      </c>
      <c r="N85" s="43" t="str">
        <f>IFERROR(__xludf.DUMMYFUNCTION("""COMPUTED_VALUE"""),"cacf4da3-cd8d-402b-a1e9-f3ad3e7f11bf")</f>
        <v>cacf4da3-cd8d-402b-a1e9-f3ad3e7f11bf</v>
      </c>
      <c r="O85" s="43" t="str">
        <f>IFERROR(__xludf.DUMMYFUNCTION("""COMPUTED_VALUE"""),"{}")</f>
        <v>{}</v>
      </c>
      <c r="P85" s="43" t="str">
        <f>IFERROR(__xludf.DUMMYFUNCTION("""COMPUTED_VALUE"""),"training_review")</f>
        <v>training_review</v>
      </c>
      <c r="Q85" s="43" t="str">
        <f>IFERROR(__xludf.DUMMYFUNCTION("""COMPUTED_VALUE"""),"sheets-training")</f>
        <v>sheets-training</v>
      </c>
      <c r="R8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8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85" s="43" t="str">
        <f>IFERROR(__xludf.DUMMYFUNCTION("""COMPUTED_VALUE"""),"train yourself!")</f>
        <v>train yourself!</v>
      </c>
      <c r="V85" s="110" t="str">
        <f>IFERROR(__xludf.DUMMYFUNCTION("""COMPUTED_VALUE"""),"https://tsipprd.blob.core.windows.net/tsip-files/imports/cb09ba27-c93f-488d-a521-1acfca174929/1779316481981_input.xlsx?sv=2026-02-06&amp;se=2026-05-23T17%3A00%3A02Z&amp;sr=b&amp;sp=r&amp;sig=iMUpXNQTiNtxlBD1W%2FpUe296oLvbrvyNncEZJKBKWU4%3D")</f>
        <v>https://tsipprd.blob.core.windows.net/tsip-files/imports/cb09ba27-c93f-488d-a521-1acfca174929/1779316481981_input.xlsx?sv=2026-02-06&amp;se=2026-05-23T17%3A00%3A02Z&amp;sr=b&amp;sp=r&amp;sig=iMUpXNQTiNtxlBD1W%2FpUe296oLvbrvyNncEZJKBKWU4%3D</v>
      </c>
      <c r="W85" s="110" t="str">
        <f>IFERROR(__xludf.DUMMYFUNCTION("""COMPUTED_VALUE"""),"https://tsipprd.blob.core.windows.net/tsip-files/imports/cb09ba27-c93f-488d-a521-1acfca174929/1779316482562_output.xlsx?sv=2026-02-06&amp;se=2026-05-23T17%3A00%3A02Z&amp;sr=b&amp;sp=r&amp;sig=jUmx8DmzIZQQSe2hidrMA7%2FmISH0aS28unFMO8XBFSg%3D")</f>
        <v>https://tsipprd.blob.core.windows.net/tsip-files/imports/cb09ba27-c93f-488d-a521-1acfca174929/1779316482562_output.xlsx?sv=2026-02-06&amp;se=2026-05-23T17%3A00%3A02Z&amp;sr=b&amp;sp=r&amp;sig=jUmx8DmzIZQQSe2hidrMA7%2FmISH0aS28unFMO8XBFSg%3D</v>
      </c>
      <c r="X85" s="43" t="str">
        <f>IFERROR(__xludf.DUMMYFUNCTION("""COMPUTED_VALUE"""),"success")</f>
        <v>success</v>
      </c>
      <c r="Y85" s="43">
        <f>IFERROR(__xludf.DUMMYFUNCTION("""COMPUTED_VALUE"""),2.0)</f>
        <v>2</v>
      </c>
      <c r="Z8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85" s="43" t="str">
        <f>IFERROR(__xludf.DUMMYFUNCTION("""COMPUTED_VALUE"""),"success")</f>
        <v>success</v>
      </c>
    </row>
    <row r="86">
      <c r="A86" s="110" t="str">
        <f t="shared" si="1"/>
        <v>www.tsip.ai/claim/605053db-cfdd-4b95-9484-aa07b268091a</v>
      </c>
      <c r="B86" s="43" t="str">
        <f>IFERROR(__xludf.DUMMYFUNCTION("""COMPUTED_VALUE"""),"605053db-cfdd-4b95-9484-aa07b268091a")</f>
        <v>605053db-cfdd-4b95-9484-aa07b268091a</v>
      </c>
      <c r="C86" s="43" t="str">
        <f>IFERROR(__xludf.DUMMYFUNCTION("""COMPUTED_VALUE"""),"sheets-training")</f>
        <v>sheets-training</v>
      </c>
      <c r="D86" s="43">
        <f>IFERROR(__xludf.DUMMYFUNCTION("""COMPUTED_VALUE"""),3.0)</f>
        <v>3</v>
      </c>
      <c r="E86" s="43" t="str">
        <f>IFERROR(__xludf.DUMMYFUNCTION("""COMPUTED_VALUE"""),"training_review")</f>
        <v>training_review</v>
      </c>
      <c r="F86" s="43" t="str">
        <f>IFERROR(__xludf.DUMMYFUNCTION("""COMPUTED_VALUE"""),"cb09ba27-c93f-488d-a521-1acfca174929")</f>
        <v>cb09ba27-c93f-488d-a521-1acfca174929</v>
      </c>
      <c r="G86" s="43" t="str">
        <f>IFERROR(__xludf.DUMMYFUNCTION("""COMPUTED_VALUE"""),"NULL")</f>
        <v>NULL</v>
      </c>
      <c r="H86" s="43" t="str">
        <f>IFERROR(__xludf.DUMMYFUNCTION("""COMPUTED_VALUE"""),"""2026-05-21T14:02:29.173Z""")</f>
        <v>"2026-05-21T14:02:29.173Z"</v>
      </c>
      <c r="I86" s="43" t="str">
        <f>IFERROR(__xludf.DUMMYFUNCTION("""COMPUTED_VALUE"""),"NULL")</f>
        <v>NULL</v>
      </c>
      <c r="J86" s="43" t="str">
        <f>IFERROR(__xludf.DUMMYFUNCTION("""COMPUTED_VALUE"""),"NULL")</f>
        <v>NULL</v>
      </c>
      <c r="K86" s="43" t="str">
        <f>IFERROR(__xludf.DUMMYFUNCTION("""COMPUTED_VALUE"""),"""2026-05-20T23:00:23.981Z""")</f>
        <v>"2026-05-20T23:00:23.981Z"</v>
      </c>
      <c r="L86" s="43" t="str">
        <f>IFERROR(__xludf.DUMMYFUNCTION("""COMPUTED_VALUE"""),"""2026-05-21T14:02:29.173Z""")</f>
        <v>"2026-05-21T14:02:29.173Z"</v>
      </c>
      <c r="M86" s="43" t="str">
        <f>IFERROR(__xludf.DUMMYFUNCTION("""COMPUTED_VALUE"""),"3d8c7583-3bd7-40ad-b63e-202ddf2da8dc")</f>
        <v>3d8c7583-3bd7-40ad-b63e-202ddf2da8dc</v>
      </c>
      <c r="N86" s="43" t="str">
        <f>IFERROR(__xludf.DUMMYFUNCTION("""COMPUTED_VALUE"""),"cacf4da3-cd8d-402b-a1e9-f3ad3e7f11bf")</f>
        <v>cacf4da3-cd8d-402b-a1e9-f3ad3e7f11bf</v>
      </c>
      <c r="O86" s="43" t="str">
        <f>IFERROR(__xludf.DUMMYFUNCTION("""COMPUTED_VALUE"""),"{}")</f>
        <v>{}</v>
      </c>
      <c r="P86" s="43" t="str">
        <f>IFERROR(__xludf.DUMMYFUNCTION("""COMPUTED_VALUE"""),"training_review")</f>
        <v>training_review</v>
      </c>
      <c r="Q86" s="43" t="str">
        <f>IFERROR(__xludf.DUMMYFUNCTION("""COMPUTED_VALUE"""),"sheets-training")</f>
        <v>sheets-training</v>
      </c>
      <c r="R86"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86"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6"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86"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86" s="110" t="str">
        <f>IFERROR(__xludf.DUMMYFUNCTION("""COMPUTED_VALUE"""),"https://tsipprd.blob.core.windows.net/tsip-files/3d8c7583-3bd7-40ad-b63e-202ddf2da8dc/605053db-cfdd-4b95-9484-aa07b268091a/1779371958046_meridian_2f6c9c82-25de-4eeb-b1cd-f762a1ab5947_input_workbook__1_.xlsx?sv=2026-02-06&amp;se=2026-05-23T17%3A15%3A01Z&amp;sr=b&amp;s"&amp;"p=r&amp;sig=bhnZKPASYqeIXTET9yc1kIj40gEFnKCcrlj5YfukrIQ%3D")</f>
        <v>https://tsipprd.blob.core.windows.net/tsip-files/3d8c7583-3bd7-40ad-b63e-202ddf2da8dc/605053db-cfdd-4b95-9484-aa07b268091a/1779371958046_meridian_2f6c9c82-25de-4eeb-b1cd-f762a1ab5947_input_workbook__1_.xlsx?sv=2026-02-06&amp;se=2026-05-23T17%3A15%3A01Z&amp;sr=b&amp;sp=r&amp;sig=bhnZKPASYqeIXTET9yc1kIj40gEFnKCcrlj5YfukrIQ%3D</v>
      </c>
      <c r="W86" s="110" t="str">
        <f>IFERROR(__xludf.DUMMYFUNCTION("""COMPUTED_VALUE"""),"https://tsipprd.blob.core.windows.net/tsip-files/3d8c7583-3bd7-40ad-b63e-202ddf2da8dc/605053db-cfdd-4b95-9484-aa07b268091a/1779371966454_meridian_2f6c9c82-25de-4eeb-b1cd-f762a1ab5947_output_workbook__1_.xlsx?sv=2026-02-06&amp;se=2026-05-23T17%3A15%3A01Z&amp;sr=b&amp;"&amp;"sp=r&amp;sig=N2VeoA%2BDG1lnpAD165QEIamWtalIJjJIpDxoJFhYZHU%3D")</f>
        <v>https://tsipprd.blob.core.windows.net/tsip-files/3d8c7583-3bd7-40ad-b63e-202ddf2da8dc/605053db-cfdd-4b95-9484-aa07b268091a/1779371966454_meridian_2f6c9c82-25de-4eeb-b1cd-f762a1ab5947_output_workbook__1_.xlsx?sv=2026-02-06&amp;se=2026-05-23T17%3A15%3A01Z&amp;sr=b&amp;sp=r&amp;sig=N2VeoA%2BDG1lnpAD165QEIamWtalIJjJIpDxoJFhYZHU%3D</v>
      </c>
      <c r="X86" s="43" t="str">
        <f>IFERROR(__xludf.DUMMYFUNCTION("""COMPUTED_VALUE"""),"success")</f>
        <v>success</v>
      </c>
      <c r="Y86" s="43">
        <f>IFERROR(__xludf.DUMMYFUNCTION("""COMPUTED_VALUE"""),2.0)</f>
        <v>2</v>
      </c>
      <c r="Z86"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86" s="43" t="str">
        <f>IFERROR(__xludf.DUMMYFUNCTION("""COMPUTED_VALUE"""),"success")</f>
        <v>success</v>
      </c>
    </row>
    <row r="87">
      <c r="A87" s="110" t="str">
        <f t="shared" si="1"/>
        <v>www.tsip.ai/claim/1c8f6062-9e4e-4485-9f8c-7107b036222c</v>
      </c>
      <c r="B87" s="43" t="str">
        <f>IFERROR(__xludf.DUMMYFUNCTION("""COMPUTED_VALUE"""),"1c8f6062-9e4e-4485-9f8c-7107b036222c")</f>
        <v>1c8f6062-9e4e-4485-9f8c-7107b036222c</v>
      </c>
      <c r="C87" s="43" t="str">
        <f>IFERROR(__xludf.DUMMYFUNCTION("""COMPUTED_VALUE"""),"sheets-training")</f>
        <v>sheets-training</v>
      </c>
      <c r="D87" s="43">
        <f>IFERROR(__xludf.DUMMYFUNCTION("""COMPUTED_VALUE"""),3.0)</f>
        <v>3</v>
      </c>
      <c r="E87" s="43" t="str">
        <f>IFERROR(__xludf.DUMMYFUNCTION("""COMPUTED_VALUE"""),"training_review")</f>
        <v>training_review</v>
      </c>
      <c r="F87" s="43" t="str">
        <f>IFERROR(__xludf.DUMMYFUNCTION("""COMPUTED_VALUE"""),"cb09ba27-c93f-488d-a521-1acfca174929")</f>
        <v>cb09ba27-c93f-488d-a521-1acfca174929</v>
      </c>
      <c r="G87" s="43" t="str">
        <f>IFERROR(__xludf.DUMMYFUNCTION("""COMPUTED_VALUE"""),"NULL")</f>
        <v>NULL</v>
      </c>
      <c r="H87" s="43" t="str">
        <f>IFERROR(__xludf.DUMMYFUNCTION("""COMPUTED_VALUE"""),"""2026-05-20T22:38:16.156Z""")</f>
        <v>"2026-05-20T22:38:16.156Z"</v>
      </c>
      <c r="I87" s="43" t="str">
        <f>IFERROR(__xludf.DUMMYFUNCTION("""COMPUTED_VALUE"""),"NULL")</f>
        <v>NULL</v>
      </c>
      <c r="J87" s="43" t="str">
        <f>IFERROR(__xludf.DUMMYFUNCTION("""COMPUTED_VALUE"""),"""2026-05-20T22:59:43.420Z""")</f>
        <v>"2026-05-20T22:59:43.420Z"</v>
      </c>
      <c r="K87" s="43" t="str">
        <f>IFERROR(__xludf.DUMMYFUNCTION("""COMPUTED_VALUE"""),"""2026-05-20T22:35:21.497Z""")</f>
        <v>"2026-05-20T22:35:21.497Z"</v>
      </c>
      <c r="L87" s="43" t="str">
        <f>IFERROR(__xludf.DUMMYFUNCTION("""COMPUTED_VALUE"""),"""2026-05-20T22:59:43.420Z""")</f>
        <v>"2026-05-20T22:59:43.420Z"</v>
      </c>
      <c r="M87" s="43" t="str">
        <f>IFERROR(__xludf.DUMMYFUNCTION("""COMPUTED_VALUE"""),"e7175f74-f5c9-41f7-9c77-dc3be8341fbf")</f>
        <v>e7175f74-f5c9-41f7-9c77-dc3be8341fbf</v>
      </c>
      <c r="N87" s="43" t="str">
        <f>IFERROR(__xludf.DUMMYFUNCTION("""COMPUTED_VALUE"""),"cacf4da3-cd8d-402b-a1e9-f3ad3e7f11bf")</f>
        <v>cacf4da3-cd8d-402b-a1e9-f3ad3e7f11bf</v>
      </c>
      <c r="O87" s="43" t="str">
        <f>IFERROR(__xludf.DUMMYFUNCTION("""COMPUTED_VALUE"""),"{}")</f>
        <v>{}</v>
      </c>
      <c r="P87" s="43" t="str">
        <f>IFERROR(__xludf.DUMMYFUNCTION("""COMPUTED_VALUE"""),"training_review")</f>
        <v>training_review</v>
      </c>
      <c r="Q87" s="43" t="str">
        <f>IFERROR(__xludf.DUMMYFUNCTION("""COMPUTED_VALUE"""),"sheets-training")</f>
        <v>sheets-training</v>
      </c>
      <c r="R87"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87"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7"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87" s="43" t="str">
        <f>IFERROR(__xludf.DUMMYFUNCTION("""COMPUTED_VALUE"""),"train yourself!")</f>
        <v>train yourself!</v>
      </c>
      <c r="V87" s="110" t="str">
        <f>IFERROR(__xludf.DUMMYFUNCTION("""COMPUTED_VALUE"""),"https://tsipprd.blob.core.windows.net/tsip-files/imports/cb09ba27-c93f-488d-a521-1acfca174929/1779316481981_input.xlsx?sv=2026-02-06&amp;se=2026-05-23T17%3A15%3A02Z&amp;sr=b&amp;sp=r&amp;sig=OykpTxpRs19RIdum1%2FyUvARyA78dYdGyb2jqboZK9LM%3D")</f>
        <v>https://tsipprd.blob.core.windows.net/tsip-files/imports/cb09ba27-c93f-488d-a521-1acfca174929/1779316481981_input.xlsx?sv=2026-02-06&amp;se=2026-05-23T17%3A15%3A02Z&amp;sr=b&amp;sp=r&amp;sig=OykpTxpRs19RIdum1%2FyUvARyA78dYdGyb2jqboZK9LM%3D</v>
      </c>
      <c r="W87" s="110" t="str">
        <f>IFERROR(__xludf.DUMMYFUNCTION("""COMPUTED_VALUE"""),"https://tsipprd.blob.core.windows.net/tsip-files/imports/cb09ba27-c93f-488d-a521-1acfca174929/1779316482562_output.xlsx?sv=2026-02-06&amp;se=2026-05-23T17%3A15%3A02Z&amp;sr=b&amp;sp=r&amp;sig=PS4MT78rQwVn0FCQ0QfzzGs6Y733I%2FIYQe5hoE3jwLQ%3D")</f>
        <v>https://tsipprd.blob.core.windows.net/tsip-files/imports/cb09ba27-c93f-488d-a521-1acfca174929/1779316482562_output.xlsx?sv=2026-02-06&amp;se=2026-05-23T17%3A15%3A02Z&amp;sr=b&amp;sp=r&amp;sig=PS4MT78rQwVn0FCQ0QfzzGs6Y733I%2FIYQe5hoE3jwLQ%3D</v>
      </c>
      <c r="X87" s="43" t="str">
        <f>IFERROR(__xludf.DUMMYFUNCTION("""COMPUTED_VALUE"""),"success")</f>
        <v>success</v>
      </c>
      <c r="Y87" s="43">
        <f>IFERROR(__xludf.DUMMYFUNCTION("""COMPUTED_VALUE"""),2.0)</f>
        <v>2</v>
      </c>
      <c r="Z87"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87" s="43" t="str">
        <f>IFERROR(__xludf.DUMMYFUNCTION("""COMPUTED_VALUE"""),"success")</f>
        <v>success</v>
      </c>
    </row>
    <row r="88">
      <c r="A88" s="110" t="str">
        <f t="shared" si="1"/>
        <v>www.tsip.ai/claim/605053db-cfdd-4b95-9484-aa07b268091a</v>
      </c>
      <c r="B88" s="43" t="str">
        <f>IFERROR(__xludf.DUMMYFUNCTION("""COMPUTED_VALUE"""),"605053db-cfdd-4b95-9484-aa07b268091a")</f>
        <v>605053db-cfdd-4b95-9484-aa07b268091a</v>
      </c>
      <c r="C88" s="43" t="str">
        <f>IFERROR(__xludf.DUMMYFUNCTION("""COMPUTED_VALUE"""),"sheets-training")</f>
        <v>sheets-training</v>
      </c>
      <c r="D88" s="43">
        <f>IFERROR(__xludf.DUMMYFUNCTION("""COMPUTED_VALUE"""),3.0)</f>
        <v>3</v>
      </c>
      <c r="E88" s="43" t="str">
        <f>IFERROR(__xludf.DUMMYFUNCTION("""COMPUTED_VALUE"""),"training_review")</f>
        <v>training_review</v>
      </c>
      <c r="F88" s="43" t="str">
        <f>IFERROR(__xludf.DUMMYFUNCTION("""COMPUTED_VALUE"""),"cb09ba27-c93f-488d-a521-1acfca174929")</f>
        <v>cb09ba27-c93f-488d-a521-1acfca174929</v>
      </c>
      <c r="G88" s="43" t="str">
        <f>IFERROR(__xludf.DUMMYFUNCTION("""COMPUTED_VALUE"""),"NULL")</f>
        <v>NULL</v>
      </c>
      <c r="H88" s="43" t="str">
        <f>IFERROR(__xludf.DUMMYFUNCTION("""COMPUTED_VALUE"""),"""2026-05-21T14:02:29.173Z""")</f>
        <v>"2026-05-21T14:02:29.173Z"</v>
      </c>
      <c r="I88" s="43" t="str">
        <f>IFERROR(__xludf.DUMMYFUNCTION("""COMPUTED_VALUE"""),"NULL")</f>
        <v>NULL</v>
      </c>
      <c r="J88" s="43" t="str">
        <f>IFERROR(__xludf.DUMMYFUNCTION("""COMPUTED_VALUE"""),"NULL")</f>
        <v>NULL</v>
      </c>
      <c r="K88" s="43" t="str">
        <f>IFERROR(__xludf.DUMMYFUNCTION("""COMPUTED_VALUE"""),"""2026-05-20T23:00:23.981Z""")</f>
        <v>"2026-05-20T23:00:23.981Z"</v>
      </c>
      <c r="L88" s="43" t="str">
        <f>IFERROR(__xludf.DUMMYFUNCTION("""COMPUTED_VALUE"""),"""2026-05-21T14:02:29.173Z""")</f>
        <v>"2026-05-21T14:02:29.173Z"</v>
      </c>
      <c r="M88" s="43" t="str">
        <f>IFERROR(__xludf.DUMMYFUNCTION("""COMPUTED_VALUE"""),"3d8c7583-3bd7-40ad-b63e-202ddf2da8dc")</f>
        <v>3d8c7583-3bd7-40ad-b63e-202ddf2da8dc</v>
      </c>
      <c r="N88" s="43" t="str">
        <f>IFERROR(__xludf.DUMMYFUNCTION("""COMPUTED_VALUE"""),"cacf4da3-cd8d-402b-a1e9-f3ad3e7f11bf")</f>
        <v>cacf4da3-cd8d-402b-a1e9-f3ad3e7f11bf</v>
      </c>
      <c r="O88" s="43" t="str">
        <f>IFERROR(__xludf.DUMMYFUNCTION("""COMPUTED_VALUE"""),"{}")</f>
        <v>{}</v>
      </c>
      <c r="P88" s="43" t="str">
        <f>IFERROR(__xludf.DUMMYFUNCTION("""COMPUTED_VALUE"""),"training_review")</f>
        <v>training_review</v>
      </c>
      <c r="Q88" s="43" t="str">
        <f>IFERROR(__xludf.DUMMYFUNCTION("""COMPUTED_VALUE"""),"sheets-training")</f>
        <v>sheets-training</v>
      </c>
      <c r="R88"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88"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8"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88"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88" s="110" t="str">
        <f>IFERROR(__xludf.DUMMYFUNCTION("""COMPUTED_VALUE"""),"https://tsipprd.blob.core.windows.net/tsip-files/3d8c7583-3bd7-40ad-b63e-202ddf2da8dc/605053db-cfdd-4b95-9484-aa07b268091a/1779371958046_meridian_2f6c9c82-25de-4eeb-b1cd-f762a1ab5947_input_workbook__1_.xlsx?sv=2026-02-06&amp;se=2026-05-23T17%3A30%3A02Z&amp;sr=b&amp;s"&amp;"p=r&amp;sig=KWcZx83Fvin7A8bfgiHfJEtM4Pp6d1GL%2FkSF6IBIOtQ%3D")</f>
        <v>https://tsipprd.blob.core.windows.net/tsip-files/3d8c7583-3bd7-40ad-b63e-202ddf2da8dc/605053db-cfdd-4b95-9484-aa07b268091a/1779371958046_meridian_2f6c9c82-25de-4eeb-b1cd-f762a1ab5947_input_workbook__1_.xlsx?sv=2026-02-06&amp;se=2026-05-23T17%3A30%3A02Z&amp;sr=b&amp;sp=r&amp;sig=KWcZx83Fvin7A8bfgiHfJEtM4Pp6d1GL%2FkSF6IBIOtQ%3D</v>
      </c>
      <c r="W88" s="110" t="str">
        <f>IFERROR(__xludf.DUMMYFUNCTION("""COMPUTED_VALUE"""),"https://tsipprd.blob.core.windows.net/tsip-files/3d8c7583-3bd7-40ad-b63e-202ddf2da8dc/605053db-cfdd-4b95-9484-aa07b268091a/1779371966454_meridian_2f6c9c82-25de-4eeb-b1cd-f762a1ab5947_output_workbook__1_.xlsx?sv=2026-02-06&amp;se=2026-05-23T17%3A30%3A02Z&amp;sr=b&amp;"&amp;"sp=r&amp;sig=2d9jmS4tN9hL6LzzcvYUkd3bGNtS%2FcUGmUZlZgc0nX4%3D")</f>
        <v>https://tsipprd.blob.core.windows.net/tsip-files/3d8c7583-3bd7-40ad-b63e-202ddf2da8dc/605053db-cfdd-4b95-9484-aa07b268091a/1779371966454_meridian_2f6c9c82-25de-4eeb-b1cd-f762a1ab5947_output_workbook__1_.xlsx?sv=2026-02-06&amp;se=2026-05-23T17%3A30%3A02Z&amp;sr=b&amp;sp=r&amp;sig=2d9jmS4tN9hL6LzzcvYUkd3bGNtS%2FcUGmUZlZgc0nX4%3D</v>
      </c>
      <c r="X88" s="43" t="str">
        <f>IFERROR(__xludf.DUMMYFUNCTION("""COMPUTED_VALUE"""),"success")</f>
        <v>success</v>
      </c>
      <c r="Y88" s="43">
        <f>IFERROR(__xludf.DUMMYFUNCTION("""COMPUTED_VALUE"""),2.0)</f>
        <v>2</v>
      </c>
      <c r="Z88"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88" s="43" t="str">
        <f>IFERROR(__xludf.DUMMYFUNCTION("""COMPUTED_VALUE"""),"success")</f>
        <v>success</v>
      </c>
    </row>
    <row r="89">
      <c r="A89" s="110" t="str">
        <f t="shared" si="1"/>
        <v>www.tsip.ai/claim/1c8f6062-9e4e-4485-9f8c-7107b036222c</v>
      </c>
      <c r="B89" s="43" t="str">
        <f>IFERROR(__xludf.DUMMYFUNCTION("""COMPUTED_VALUE"""),"1c8f6062-9e4e-4485-9f8c-7107b036222c")</f>
        <v>1c8f6062-9e4e-4485-9f8c-7107b036222c</v>
      </c>
      <c r="C89" s="43" t="str">
        <f>IFERROR(__xludf.DUMMYFUNCTION("""COMPUTED_VALUE"""),"sheets-training")</f>
        <v>sheets-training</v>
      </c>
      <c r="D89" s="43">
        <f>IFERROR(__xludf.DUMMYFUNCTION("""COMPUTED_VALUE"""),3.0)</f>
        <v>3</v>
      </c>
      <c r="E89" s="43" t="str">
        <f>IFERROR(__xludf.DUMMYFUNCTION("""COMPUTED_VALUE"""),"training_review")</f>
        <v>training_review</v>
      </c>
      <c r="F89" s="43" t="str">
        <f>IFERROR(__xludf.DUMMYFUNCTION("""COMPUTED_VALUE"""),"cb09ba27-c93f-488d-a521-1acfca174929")</f>
        <v>cb09ba27-c93f-488d-a521-1acfca174929</v>
      </c>
      <c r="G89" s="43" t="str">
        <f>IFERROR(__xludf.DUMMYFUNCTION("""COMPUTED_VALUE"""),"NULL")</f>
        <v>NULL</v>
      </c>
      <c r="H89" s="43" t="str">
        <f>IFERROR(__xludf.DUMMYFUNCTION("""COMPUTED_VALUE"""),"""2026-05-20T22:38:16.156Z""")</f>
        <v>"2026-05-20T22:38:16.156Z"</v>
      </c>
      <c r="I89" s="43" t="str">
        <f>IFERROR(__xludf.DUMMYFUNCTION("""COMPUTED_VALUE"""),"NULL")</f>
        <v>NULL</v>
      </c>
      <c r="J89" s="43" t="str">
        <f>IFERROR(__xludf.DUMMYFUNCTION("""COMPUTED_VALUE"""),"""2026-05-20T22:59:43.420Z""")</f>
        <v>"2026-05-20T22:59:43.420Z"</v>
      </c>
      <c r="K89" s="43" t="str">
        <f>IFERROR(__xludf.DUMMYFUNCTION("""COMPUTED_VALUE"""),"""2026-05-20T22:35:21.497Z""")</f>
        <v>"2026-05-20T22:35:21.497Z"</v>
      </c>
      <c r="L89" s="43" t="str">
        <f>IFERROR(__xludf.DUMMYFUNCTION("""COMPUTED_VALUE"""),"""2026-05-20T22:59:43.420Z""")</f>
        <v>"2026-05-20T22:59:43.420Z"</v>
      </c>
      <c r="M89" s="43" t="str">
        <f>IFERROR(__xludf.DUMMYFUNCTION("""COMPUTED_VALUE"""),"e7175f74-f5c9-41f7-9c77-dc3be8341fbf")</f>
        <v>e7175f74-f5c9-41f7-9c77-dc3be8341fbf</v>
      </c>
      <c r="N89" s="43" t="str">
        <f>IFERROR(__xludf.DUMMYFUNCTION("""COMPUTED_VALUE"""),"cacf4da3-cd8d-402b-a1e9-f3ad3e7f11bf")</f>
        <v>cacf4da3-cd8d-402b-a1e9-f3ad3e7f11bf</v>
      </c>
      <c r="O89" s="43" t="str">
        <f>IFERROR(__xludf.DUMMYFUNCTION("""COMPUTED_VALUE"""),"{}")</f>
        <v>{}</v>
      </c>
      <c r="P89" s="43" t="str">
        <f>IFERROR(__xludf.DUMMYFUNCTION("""COMPUTED_VALUE"""),"training_review")</f>
        <v>training_review</v>
      </c>
      <c r="Q89" s="43" t="str">
        <f>IFERROR(__xludf.DUMMYFUNCTION("""COMPUTED_VALUE"""),"sheets-training")</f>
        <v>sheets-training</v>
      </c>
      <c r="R8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89"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89"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89" s="43" t="str">
        <f>IFERROR(__xludf.DUMMYFUNCTION("""COMPUTED_VALUE"""),"train yourself!")</f>
        <v>train yourself!</v>
      </c>
      <c r="V89" s="110" t="str">
        <f>IFERROR(__xludf.DUMMYFUNCTION("""COMPUTED_VALUE"""),"https://tsipprd.blob.core.windows.net/tsip-files/imports/cb09ba27-c93f-488d-a521-1acfca174929/1779316481981_input.xlsx?sv=2026-02-06&amp;se=2026-05-23T17%3A30%3A01Z&amp;sr=b&amp;sp=r&amp;sig=A74Mb1ocT8lT8M6a5BO5I694cIQuQ1jYrf5syZlLMKs%3D")</f>
        <v>https://tsipprd.blob.core.windows.net/tsip-files/imports/cb09ba27-c93f-488d-a521-1acfca174929/1779316481981_input.xlsx?sv=2026-02-06&amp;se=2026-05-23T17%3A30%3A01Z&amp;sr=b&amp;sp=r&amp;sig=A74Mb1ocT8lT8M6a5BO5I694cIQuQ1jYrf5syZlLMKs%3D</v>
      </c>
      <c r="W89" s="110" t="str">
        <f>IFERROR(__xludf.DUMMYFUNCTION("""COMPUTED_VALUE"""),"https://tsipprd.blob.core.windows.net/tsip-files/imports/cb09ba27-c93f-488d-a521-1acfca174929/1779316482562_output.xlsx?sv=2026-02-06&amp;se=2026-05-23T17%3A30%3A01Z&amp;sr=b&amp;sp=r&amp;sig=2FomiWLIXeNv5FRI%2FGA0xv1tSSet2x1DufNH4%2BdjNso%3D")</f>
        <v>https://tsipprd.blob.core.windows.net/tsip-files/imports/cb09ba27-c93f-488d-a521-1acfca174929/1779316482562_output.xlsx?sv=2026-02-06&amp;se=2026-05-23T17%3A30%3A01Z&amp;sr=b&amp;sp=r&amp;sig=2FomiWLIXeNv5FRI%2FGA0xv1tSSet2x1DufNH4%2BdjNso%3D</v>
      </c>
      <c r="X89" s="43" t="str">
        <f>IFERROR(__xludf.DUMMYFUNCTION("""COMPUTED_VALUE"""),"success")</f>
        <v>success</v>
      </c>
      <c r="Y89" s="43">
        <f>IFERROR(__xludf.DUMMYFUNCTION("""COMPUTED_VALUE"""),2.0)</f>
        <v>2</v>
      </c>
      <c r="Z89"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89" s="43" t="str">
        <f>IFERROR(__xludf.DUMMYFUNCTION("""COMPUTED_VALUE"""),"success")</f>
        <v>success</v>
      </c>
    </row>
    <row r="90">
      <c r="A90" s="110" t="str">
        <f t="shared" si="1"/>
        <v>www.tsip.ai/claim/605053db-cfdd-4b95-9484-aa07b268091a</v>
      </c>
      <c r="B90" s="43" t="str">
        <f>IFERROR(__xludf.DUMMYFUNCTION("""COMPUTED_VALUE"""),"605053db-cfdd-4b95-9484-aa07b268091a")</f>
        <v>605053db-cfdd-4b95-9484-aa07b268091a</v>
      </c>
      <c r="C90" s="43" t="str">
        <f>IFERROR(__xludf.DUMMYFUNCTION("""COMPUTED_VALUE"""),"sheets-training")</f>
        <v>sheets-training</v>
      </c>
      <c r="D90" s="43">
        <f>IFERROR(__xludf.DUMMYFUNCTION("""COMPUTED_VALUE"""),3.0)</f>
        <v>3</v>
      </c>
      <c r="E90" s="43" t="str">
        <f>IFERROR(__xludf.DUMMYFUNCTION("""COMPUTED_VALUE"""),"training_review")</f>
        <v>training_review</v>
      </c>
      <c r="F90" s="43" t="str">
        <f>IFERROR(__xludf.DUMMYFUNCTION("""COMPUTED_VALUE"""),"cb09ba27-c93f-488d-a521-1acfca174929")</f>
        <v>cb09ba27-c93f-488d-a521-1acfca174929</v>
      </c>
      <c r="G90" s="43" t="str">
        <f>IFERROR(__xludf.DUMMYFUNCTION("""COMPUTED_VALUE"""),"NULL")</f>
        <v>NULL</v>
      </c>
      <c r="H90" s="43" t="str">
        <f>IFERROR(__xludf.DUMMYFUNCTION("""COMPUTED_VALUE"""),"""2026-05-21T14:02:29.173Z""")</f>
        <v>"2026-05-21T14:02:29.173Z"</v>
      </c>
      <c r="I90" s="43" t="str">
        <f>IFERROR(__xludf.DUMMYFUNCTION("""COMPUTED_VALUE"""),"NULL")</f>
        <v>NULL</v>
      </c>
      <c r="J90" s="43" t="str">
        <f>IFERROR(__xludf.DUMMYFUNCTION("""COMPUTED_VALUE"""),"NULL")</f>
        <v>NULL</v>
      </c>
      <c r="K90" s="43" t="str">
        <f>IFERROR(__xludf.DUMMYFUNCTION("""COMPUTED_VALUE"""),"""2026-05-20T23:00:23.981Z""")</f>
        <v>"2026-05-20T23:00:23.981Z"</v>
      </c>
      <c r="L90" s="43" t="str">
        <f>IFERROR(__xludf.DUMMYFUNCTION("""COMPUTED_VALUE"""),"""2026-05-21T14:02:29.173Z""")</f>
        <v>"2026-05-21T14:02:29.173Z"</v>
      </c>
      <c r="M90" s="43" t="str">
        <f>IFERROR(__xludf.DUMMYFUNCTION("""COMPUTED_VALUE"""),"3d8c7583-3bd7-40ad-b63e-202ddf2da8dc")</f>
        <v>3d8c7583-3bd7-40ad-b63e-202ddf2da8dc</v>
      </c>
      <c r="N90" s="43" t="str">
        <f>IFERROR(__xludf.DUMMYFUNCTION("""COMPUTED_VALUE"""),"cacf4da3-cd8d-402b-a1e9-f3ad3e7f11bf")</f>
        <v>cacf4da3-cd8d-402b-a1e9-f3ad3e7f11bf</v>
      </c>
      <c r="O90" s="43" t="str">
        <f>IFERROR(__xludf.DUMMYFUNCTION("""COMPUTED_VALUE"""),"{}")</f>
        <v>{}</v>
      </c>
      <c r="P90" s="43" t="str">
        <f>IFERROR(__xludf.DUMMYFUNCTION("""COMPUTED_VALUE"""),"training_review")</f>
        <v>training_review</v>
      </c>
      <c r="Q90" s="43" t="str">
        <f>IFERROR(__xludf.DUMMYFUNCTION("""COMPUTED_VALUE"""),"sheets-training")</f>
        <v>sheets-training</v>
      </c>
      <c r="R90"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90"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0"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90"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90" s="110" t="str">
        <f>IFERROR(__xludf.DUMMYFUNCTION("""COMPUTED_VALUE"""),"https://tsipprd.blob.core.windows.net/tsip-files/3d8c7583-3bd7-40ad-b63e-202ddf2da8dc/605053db-cfdd-4b95-9484-aa07b268091a/1779371958046_meridian_2f6c9c82-25de-4eeb-b1cd-f762a1ab5947_input_workbook__1_.xlsx?sv=2026-02-06&amp;se=2026-05-23T17%3A45%3A01Z&amp;sr=b&amp;s"&amp;"p=r&amp;sig=VEHscxEHu3PfyTrpKnzemumbycLc1L8yE4ZJRLKGHmw%3D")</f>
        <v>https://tsipprd.blob.core.windows.net/tsip-files/3d8c7583-3bd7-40ad-b63e-202ddf2da8dc/605053db-cfdd-4b95-9484-aa07b268091a/1779371958046_meridian_2f6c9c82-25de-4eeb-b1cd-f762a1ab5947_input_workbook__1_.xlsx?sv=2026-02-06&amp;se=2026-05-23T17%3A45%3A01Z&amp;sr=b&amp;sp=r&amp;sig=VEHscxEHu3PfyTrpKnzemumbycLc1L8yE4ZJRLKGHmw%3D</v>
      </c>
      <c r="W90" s="110" t="str">
        <f>IFERROR(__xludf.DUMMYFUNCTION("""COMPUTED_VALUE"""),"https://tsipprd.blob.core.windows.net/tsip-files/3d8c7583-3bd7-40ad-b63e-202ddf2da8dc/605053db-cfdd-4b95-9484-aa07b268091a/1779371966454_meridian_2f6c9c82-25de-4eeb-b1cd-f762a1ab5947_output_workbook__1_.xlsx?sv=2026-02-06&amp;se=2026-05-23T17%3A45%3A01Z&amp;sr=b&amp;"&amp;"sp=r&amp;sig=4vjotEiECD2BU6ULEauFq7nDLTT0s0IAPwXsaHyCZj4%3D")</f>
        <v>https://tsipprd.blob.core.windows.net/tsip-files/3d8c7583-3bd7-40ad-b63e-202ddf2da8dc/605053db-cfdd-4b95-9484-aa07b268091a/1779371966454_meridian_2f6c9c82-25de-4eeb-b1cd-f762a1ab5947_output_workbook__1_.xlsx?sv=2026-02-06&amp;se=2026-05-23T17%3A45%3A01Z&amp;sr=b&amp;sp=r&amp;sig=4vjotEiECD2BU6ULEauFq7nDLTT0s0IAPwXsaHyCZj4%3D</v>
      </c>
      <c r="X90" s="43" t="str">
        <f>IFERROR(__xludf.DUMMYFUNCTION("""COMPUTED_VALUE"""),"success")</f>
        <v>success</v>
      </c>
      <c r="Y90" s="43">
        <f>IFERROR(__xludf.DUMMYFUNCTION("""COMPUTED_VALUE"""),2.0)</f>
        <v>2</v>
      </c>
      <c r="Z90"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90" s="43" t="str">
        <f>IFERROR(__xludf.DUMMYFUNCTION("""COMPUTED_VALUE"""),"success")</f>
        <v>success</v>
      </c>
    </row>
    <row r="91">
      <c r="A91" s="110" t="str">
        <f t="shared" si="1"/>
        <v>www.tsip.ai/claim/1c8f6062-9e4e-4485-9f8c-7107b036222c</v>
      </c>
      <c r="B91" s="43" t="str">
        <f>IFERROR(__xludf.DUMMYFUNCTION("""COMPUTED_VALUE"""),"1c8f6062-9e4e-4485-9f8c-7107b036222c")</f>
        <v>1c8f6062-9e4e-4485-9f8c-7107b036222c</v>
      </c>
      <c r="C91" s="43" t="str">
        <f>IFERROR(__xludf.DUMMYFUNCTION("""COMPUTED_VALUE"""),"sheets-training")</f>
        <v>sheets-training</v>
      </c>
      <c r="D91" s="43">
        <f>IFERROR(__xludf.DUMMYFUNCTION("""COMPUTED_VALUE"""),3.0)</f>
        <v>3</v>
      </c>
      <c r="E91" s="43" t="str">
        <f>IFERROR(__xludf.DUMMYFUNCTION("""COMPUTED_VALUE"""),"training_review")</f>
        <v>training_review</v>
      </c>
      <c r="F91" s="43" t="str">
        <f>IFERROR(__xludf.DUMMYFUNCTION("""COMPUTED_VALUE"""),"cb09ba27-c93f-488d-a521-1acfca174929")</f>
        <v>cb09ba27-c93f-488d-a521-1acfca174929</v>
      </c>
      <c r="G91" s="43" t="str">
        <f>IFERROR(__xludf.DUMMYFUNCTION("""COMPUTED_VALUE"""),"NULL")</f>
        <v>NULL</v>
      </c>
      <c r="H91" s="43" t="str">
        <f>IFERROR(__xludf.DUMMYFUNCTION("""COMPUTED_VALUE"""),"""2026-05-20T22:38:16.156Z""")</f>
        <v>"2026-05-20T22:38:16.156Z"</v>
      </c>
      <c r="I91" s="43" t="str">
        <f>IFERROR(__xludf.DUMMYFUNCTION("""COMPUTED_VALUE"""),"NULL")</f>
        <v>NULL</v>
      </c>
      <c r="J91" s="43" t="str">
        <f>IFERROR(__xludf.DUMMYFUNCTION("""COMPUTED_VALUE"""),"""2026-05-20T22:59:43.420Z""")</f>
        <v>"2026-05-20T22:59:43.420Z"</v>
      </c>
      <c r="K91" s="43" t="str">
        <f>IFERROR(__xludf.DUMMYFUNCTION("""COMPUTED_VALUE"""),"""2026-05-20T22:35:21.497Z""")</f>
        <v>"2026-05-20T22:35:21.497Z"</v>
      </c>
      <c r="L91" s="43" t="str">
        <f>IFERROR(__xludf.DUMMYFUNCTION("""COMPUTED_VALUE"""),"""2026-05-20T22:59:43.420Z""")</f>
        <v>"2026-05-20T22:59:43.420Z"</v>
      </c>
      <c r="M91" s="43" t="str">
        <f>IFERROR(__xludf.DUMMYFUNCTION("""COMPUTED_VALUE"""),"e7175f74-f5c9-41f7-9c77-dc3be8341fbf")</f>
        <v>e7175f74-f5c9-41f7-9c77-dc3be8341fbf</v>
      </c>
      <c r="N91" s="43" t="str">
        <f>IFERROR(__xludf.DUMMYFUNCTION("""COMPUTED_VALUE"""),"cacf4da3-cd8d-402b-a1e9-f3ad3e7f11bf")</f>
        <v>cacf4da3-cd8d-402b-a1e9-f3ad3e7f11bf</v>
      </c>
      <c r="O91" s="43" t="str">
        <f>IFERROR(__xludf.DUMMYFUNCTION("""COMPUTED_VALUE"""),"{}")</f>
        <v>{}</v>
      </c>
      <c r="P91" s="43" t="str">
        <f>IFERROR(__xludf.DUMMYFUNCTION("""COMPUTED_VALUE"""),"training_review")</f>
        <v>training_review</v>
      </c>
      <c r="Q91" s="43" t="str">
        <f>IFERROR(__xludf.DUMMYFUNCTION("""COMPUTED_VALUE"""),"sheets-training")</f>
        <v>sheets-training</v>
      </c>
      <c r="R9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9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91" s="43" t="str">
        <f>IFERROR(__xludf.DUMMYFUNCTION("""COMPUTED_VALUE"""),"train yourself!")</f>
        <v>train yourself!</v>
      </c>
      <c r="V91" s="110" t="str">
        <f>IFERROR(__xludf.DUMMYFUNCTION("""COMPUTED_VALUE"""),"https://tsipprd.blob.core.windows.net/tsip-files/imports/cb09ba27-c93f-488d-a521-1acfca174929/1779316481981_input.xlsx?sv=2026-02-06&amp;se=2026-05-23T17%3A45%3A01Z&amp;sr=b&amp;sp=r&amp;sig=c0Q9VwB%2BmYvmrXGFB36T%2BN3ggJiMzyWxTuskAbhwvPM%3D")</f>
        <v>https://tsipprd.blob.core.windows.net/tsip-files/imports/cb09ba27-c93f-488d-a521-1acfca174929/1779316481981_input.xlsx?sv=2026-02-06&amp;se=2026-05-23T17%3A45%3A01Z&amp;sr=b&amp;sp=r&amp;sig=c0Q9VwB%2BmYvmrXGFB36T%2BN3ggJiMzyWxTuskAbhwvPM%3D</v>
      </c>
      <c r="W91" s="110" t="str">
        <f>IFERROR(__xludf.DUMMYFUNCTION("""COMPUTED_VALUE"""),"https://tsipprd.blob.core.windows.net/tsip-files/imports/cb09ba27-c93f-488d-a521-1acfca174929/1779316482562_output.xlsx?sv=2026-02-06&amp;se=2026-05-23T17%3A45%3A01Z&amp;sr=b&amp;sp=r&amp;sig=ZIT%2FJatElc5RTInRYUNuoh68DKtIjVaUw%2FqvWwrgYt4%3D")</f>
        <v>https://tsipprd.blob.core.windows.net/tsip-files/imports/cb09ba27-c93f-488d-a521-1acfca174929/1779316482562_output.xlsx?sv=2026-02-06&amp;se=2026-05-23T17%3A45%3A01Z&amp;sr=b&amp;sp=r&amp;sig=ZIT%2FJatElc5RTInRYUNuoh68DKtIjVaUw%2FqvWwrgYt4%3D</v>
      </c>
      <c r="X91" s="43" t="str">
        <f>IFERROR(__xludf.DUMMYFUNCTION("""COMPUTED_VALUE"""),"success")</f>
        <v>success</v>
      </c>
      <c r="Y91" s="43">
        <f>IFERROR(__xludf.DUMMYFUNCTION("""COMPUTED_VALUE"""),2.0)</f>
        <v>2</v>
      </c>
      <c r="Z9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91" s="43" t="str">
        <f>IFERROR(__xludf.DUMMYFUNCTION("""COMPUTED_VALUE"""),"success")</f>
        <v>success</v>
      </c>
    </row>
    <row r="92">
      <c r="A92" s="110" t="str">
        <f t="shared" si="1"/>
        <v>www.tsip.ai/claim/605053db-cfdd-4b95-9484-aa07b268091a</v>
      </c>
      <c r="B92" s="43" t="str">
        <f>IFERROR(__xludf.DUMMYFUNCTION("""COMPUTED_VALUE"""),"605053db-cfdd-4b95-9484-aa07b268091a")</f>
        <v>605053db-cfdd-4b95-9484-aa07b268091a</v>
      </c>
      <c r="C92" s="43" t="str">
        <f>IFERROR(__xludf.DUMMYFUNCTION("""COMPUTED_VALUE"""),"sheets-training")</f>
        <v>sheets-training</v>
      </c>
      <c r="D92" s="43">
        <f>IFERROR(__xludf.DUMMYFUNCTION("""COMPUTED_VALUE"""),3.0)</f>
        <v>3</v>
      </c>
      <c r="E92" s="43" t="str">
        <f>IFERROR(__xludf.DUMMYFUNCTION("""COMPUTED_VALUE"""),"training_review")</f>
        <v>training_review</v>
      </c>
      <c r="F92" s="43" t="str">
        <f>IFERROR(__xludf.DUMMYFUNCTION("""COMPUTED_VALUE"""),"cb09ba27-c93f-488d-a521-1acfca174929")</f>
        <v>cb09ba27-c93f-488d-a521-1acfca174929</v>
      </c>
      <c r="G92" s="43" t="str">
        <f>IFERROR(__xludf.DUMMYFUNCTION("""COMPUTED_VALUE"""),"NULL")</f>
        <v>NULL</v>
      </c>
      <c r="H92" s="43" t="str">
        <f>IFERROR(__xludf.DUMMYFUNCTION("""COMPUTED_VALUE"""),"""2026-05-21T14:02:29.173Z""")</f>
        <v>"2026-05-21T14:02:29.173Z"</v>
      </c>
      <c r="I92" s="43" t="str">
        <f>IFERROR(__xludf.DUMMYFUNCTION("""COMPUTED_VALUE"""),"NULL")</f>
        <v>NULL</v>
      </c>
      <c r="J92" s="43" t="str">
        <f>IFERROR(__xludf.DUMMYFUNCTION("""COMPUTED_VALUE"""),"NULL")</f>
        <v>NULL</v>
      </c>
      <c r="K92" s="43" t="str">
        <f>IFERROR(__xludf.DUMMYFUNCTION("""COMPUTED_VALUE"""),"""2026-05-20T23:00:23.981Z""")</f>
        <v>"2026-05-20T23:00:23.981Z"</v>
      </c>
      <c r="L92" s="43" t="str">
        <f>IFERROR(__xludf.DUMMYFUNCTION("""COMPUTED_VALUE"""),"""2026-05-21T14:02:29.173Z""")</f>
        <v>"2026-05-21T14:02:29.173Z"</v>
      </c>
      <c r="M92" s="43" t="str">
        <f>IFERROR(__xludf.DUMMYFUNCTION("""COMPUTED_VALUE"""),"3d8c7583-3bd7-40ad-b63e-202ddf2da8dc")</f>
        <v>3d8c7583-3bd7-40ad-b63e-202ddf2da8dc</v>
      </c>
      <c r="N92" s="43" t="str">
        <f>IFERROR(__xludf.DUMMYFUNCTION("""COMPUTED_VALUE"""),"cacf4da3-cd8d-402b-a1e9-f3ad3e7f11bf")</f>
        <v>cacf4da3-cd8d-402b-a1e9-f3ad3e7f11bf</v>
      </c>
      <c r="O92" s="43" t="str">
        <f>IFERROR(__xludf.DUMMYFUNCTION("""COMPUTED_VALUE"""),"{}")</f>
        <v>{}</v>
      </c>
      <c r="P92" s="43" t="str">
        <f>IFERROR(__xludf.DUMMYFUNCTION("""COMPUTED_VALUE"""),"training_review")</f>
        <v>training_review</v>
      </c>
      <c r="Q92" s="43" t="str">
        <f>IFERROR(__xludf.DUMMYFUNCTION("""COMPUTED_VALUE"""),"sheets-training")</f>
        <v>sheets-training</v>
      </c>
      <c r="R92"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92"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2"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92"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92" s="110" t="str">
        <f>IFERROR(__xludf.DUMMYFUNCTION("""COMPUTED_VALUE"""),"https://tsipprd.blob.core.windows.net/tsip-files/3d8c7583-3bd7-40ad-b63e-202ddf2da8dc/605053db-cfdd-4b95-9484-aa07b268091a/1779371958046_meridian_2f6c9c82-25de-4eeb-b1cd-f762a1ab5947_input_workbook__1_.xlsx?sv=2026-02-06&amp;se=2026-05-23T18%3A00%3A02Z&amp;sr=b&amp;s"&amp;"p=r&amp;sig=3GK12i9BWRlnY7j2niSv4ZiPD6NUh%2F9kVSFzlzkSi3I%3D")</f>
        <v>https://tsipprd.blob.core.windows.net/tsip-files/3d8c7583-3bd7-40ad-b63e-202ddf2da8dc/605053db-cfdd-4b95-9484-aa07b268091a/1779371958046_meridian_2f6c9c82-25de-4eeb-b1cd-f762a1ab5947_input_workbook__1_.xlsx?sv=2026-02-06&amp;se=2026-05-23T18%3A00%3A02Z&amp;sr=b&amp;sp=r&amp;sig=3GK12i9BWRlnY7j2niSv4ZiPD6NUh%2F9kVSFzlzkSi3I%3D</v>
      </c>
      <c r="W92" s="110" t="str">
        <f>IFERROR(__xludf.DUMMYFUNCTION("""COMPUTED_VALUE"""),"https://tsipprd.blob.core.windows.net/tsip-files/3d8c7583-3bd7-40ad-b63e-202ddf2da8dc/605053db-cfdd-4b95-9484-aa07b268091a/1779371966454_meridian_2f6c9c82-25de-4eeb-b1cd-f762a1ab5947_output_workbook__1_.xlsx?sv=2026-02-06&amp;se=2026-05-23T18%3A00%3A02Z&amp;sr=b&amp;"&amp;"sp=r&amp;sig=FuJ1lreLvFy7qIcsLKQqEEO2SEfEQHyotFbiw5Mi1Yw%3D")</f>
        <v>https://tsipprd.blob.core.windows.net/tsip-files/3d8c7583-3bd7-40ad-b63e-202ddf2da8dc/605053db-cfdd-4b95-9484-aa07b268091a/1779371966454_meridian_2f6c9c82-25de-4eeb-b1cd-f762a1ab5947_output_workbook__1_.xlsx?sv=2026-02-06&amp;se=2026-05-23T18%3A00%3A02Z&amp;sr=b&amp;sp=r&amp;sig=FuJ1lreLvFy7qIcsLKQqEEO2SEfEQHyotFbiw5Mi1Yw%3D</v>
      </c>
      <c r="X92" s="43" t="str">
        <f>IFERROR(__xludf.DUMMYFUNCTION("""COMPUTED_VALUE"""),"success")</f>
        <v>success</v>
      </c>
      <c r="Y92" s="43">
        <f>IFERROR(__xludf.DUMMYFUNCTION("""COMPUTED_VALUE"""),2.0)</f>
        <v>2</v>
      </c>
      <c r="Z92"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92" s="43" t="str">
        <f>IFERROR(__xludf.DUMMYFUNCTION("""COMPUTED_VALUE"""),"success")</f>
        <v>success</v>
      </c>
    </row>
    <row r="93">
      <c r="A93" s="110" t="str">
        <f t="shared" si="1"/>
        <v>www.tsip.ai/claim/1c8f6062-9e4e-4485-9f8c-7107b036222c</v>
      </c>
      <c r="B93" s="43" t="str">
        <f>IFERROR(__xludf.DUMMYFUNCTION("""COMPUTED_VALUE"""),"1c8f6062-9e4e-4485-9f8c-7107b036222c")</f>
        <v>1c8f6062-9e4e-4485-9f8c-7107b036222c</v>
      </c>
      <c r="C93" s="43" t="str">
        <f>IFERROR(__xludf.DUMMYFUNCTION("""COMPUTED_VALUE"""),"sheets-training")</f>
        <v>sheets-training</v>
      </c>
      <c r="D93" s="43">
        <f>IFERROR(__xludf.DUMMYFUNCTION("""COMPUTED_VALUE"""),3.0)</f>
        <v>3</v>
      </c>
      <c r="E93" s="43" t="str">
        <f>IFERROR(__xludf.DUMMYFUNCTION("""COMPUTED_VALUE"""),"training_review")</f>
        <v>training_review</v>
      </c>
      <c r="F93" s="43" t="str">
        <f>IFERROR(__xludf.DUMMYFUNCTION("""COMPUTED_VALUE"""),"cb09ba27-c93f-488d-a521-1acfca174929")</f>
        <v>cb09ba27-c93f-488d-a521-1acfca174929</v>
      </c>
      <c r="G93" s="43" t="str">
        <f>IFERROR(__xludf.DUMMYFUNCTION("""COMPUTED_VALUE"""),"NULL")</f>
        <v>NULL</v>
      </c>
      <c r="H93" s="43" t="str">
        <f>IFERROR(__xludf.DUMMYFUNCTION("""COMPUTED_VALUE"""),"""2026-05-20T22:38:16.156Z""")</f>
        <v>"2026-05-20T22:38:16.156Z"</v>
      </c>
      <c r="I93" s="43" t="str">
        <f>IFERROR(__xludf.DUMMYFUNCTION("""COMPUTED_VALUE"""),"NULL")</f>
        <v>NULL</v>
      </c>
      <c r="J93" s="43" t="str">
        <f>IFERROR(__xludf.DUMMYFUNCTION("""COMPUTED_VALUE"""),"""2026-05-20T22:59:43.420Z""")</f>
        <v>"2026-05-20T22:59:43.420Z"</v>
      </c>
      <c r="K93" s="43" t="str">
        <f>IFERROR(__xludf.DUMMYFUNCTION("""COMPUTED_VALUE"""),"""2026-05-20T22:35:21.497Z""")</f>
        <v>"2026-05-20T22:35:21.497Z"</v>
      </c>
      <c r="L93" s="43" t="str">
        <f>IFERROR(__xludf.DUMMYFUNCTION("""COMPUTED_VALUE"""),"""2026-05-20T22:59:43.420Z""")</f>
        <v>"2026-05-20T22:59:43.420Z"</v>
      </c>
      <c r="M93" s="43" t="str">
        <f>IFERROR(__xludf.DUMMYFUNCTION("""COMPUTED_VALUE"""),"e7175f74-f5c9-41f7-9c77-dc3be8341fbf")</f>
        <v>e7175f74-f5c9-41f7-9c77-dc3be8341fbf</v>
      </c>
      <c r="N93" s="43" t="str">
        <f>IFERROR(__xludf.DUMMYFUNCTION("""COMPUTED_VALUE"""),"cacf4da3-cd8d-402b-a1e9-f3ad3e7f11bf")</f>
        <v>cacf4da3-cd8d-402b-a1e9-f3ad3e7f11bf</v>
      </c>
      <c r="O93" s="43" t="str">
        <f>IFERROR(__xludf.DUMMYFUNCTION("""COMPUTED_VALUE"""),"{}")</f>
        <v>{}</v>
      </c>
      <c r="P93" s="43" t="str">
        <f>IFERROR(__xludf.DUMMYFUNCTION("""COMPUTED_VALUE"""),"training_review")</f>
        <v>training_review</v>
      </c>
      <c r="Q93" s="43" t="str">
        <f>IFERROR(__xludf.DUMMYFUNCTION("""COMPUTED_VALUE"""),"sheets-training")</f>
        <v>sheets-training</v>
      </c>
      <c r="R9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9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93" s="43" t="str">
        <f>IFERROR(__xludf.DUMMYFUNCTION("""COMPUTED_VALUE"""),"train yourself!")</f>
        <v>train yourself!</v>
      </c>
      <c r="V93" s="110" t="str">
        <f>IFERROR(__xludf.DUMMYFUNCTION("""COMPUTED_VALUE"""),"https://tsipprd.blob.core.windows.net/tsip-files/imports/cb09ba27-c93f-488d-a521-1acfca174929/1779316481981_input.xlsx?sv=2026-02-06&amp;se=2026-05-23T18%3A00%3A02Z&amp;sr=b&amp;sp=r&amp;sig=ohPiZhjfwqM1qzmbajZxbFsyHcuXwEcxEX236VQeHms%3D")</f>
        <v>https://tsipprd.blob.core.windows.net/tsip-files/imports/cb09ba27-c93f-488d-a521-1acfca174929/1779316481981_input.xlsx?sv=2026-02-06&amp;se=2026-05-23T18%3A00%3A02Z&amp;sr=b&amp;sp=r&amp;sig=ohPiZhjfwqM1qzmbajZxbFsyHcuXwEcxEX236VQeHms%3D</v>
      </c>
      <c r="W93" s="110" t="str">
        <f>IFERROR(__xludf.DUMMYFUNCTION("""COMPUTED_VALUE"""),"https://tsipprd.blob.core.windows.net/tsip-files/imports/cb09ba27-c93f-488d-a521-1acfca174929/1779316482562_output.xlsx?sv=2026-02-06&amp;se=2026-05-23T18%3A00%3A02Z&amp;sr=b&amp;sp=r&amp;sig=diUVwJ2%2B9gqTpSMIwV1AX2mg5sj43oPoJaww9lxhogA%3D")</f>
        <v>https://tsipprd.blob.core.windows.net/tsip-files/imports/cb09ba27-c93f-488d-a521-1acfca174929/1779316482562_output.xlsx?sv=2026-02-06&amp;se=2026-05-23T18%3A00%3A02Z&amp;sr=b&amp;sp=r&amp;sig=diUVwJ2%2B9gqTpSMIwV1AX2mg5sj43oPoJaww9lxhogA%3D</v>
      </c>
      <c r="X93" s="43" t="str">
        <f>IFERROR(__xludf.DUMMYFUNCTION("""COMPUTED_VALUE"""),"success")</f>
        <v>success</v>
      </c>
      <c r="Y93" s="43">
        <f>IFERROR(__xludf.DUMMYFUNCTION("""COMPUTED_VALUE"""),2.0)</f>
        <v>2</v>
      </c>
      <c r="Z9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93" s="43" t="str">
        <f>IFERROR(__xludf.DUMMYFUNCTION("""COMPUTED_VALUE"""),"success")</f>
        <v>success</v>
      </c>
    </row>
    <row r="94">
      <c r="A94" s="110" t="str">
        <f t="shared" si="1"/>
        <v>www.tsip.ai/claim/605053db-cfdd-4b95-9484-aa07b268091a</v>
      </c>
      <c r="B94" s="43" t="str">
        <f>IFERROR(__xludf.DUMMYFUNCTION("""COMPUTED_VALUE"""),"605053db-cfdd-4b95-9484-aa07b268091a")</f>
        <v>605053db-cfdd-4b95-9484-aa07b268091a</v>
      </c>
      <c r="C94" s="43" t="str">
        <f>IFERROR(__xludf.DUMMYFUNCTION("""COMPUTED_VALUE"""),"sheets-training")</f>
        <v>sheets-training</v>
      </c>
      <c r="D94" s="43">
        <f>IFERROR(__xludf.DUMMYFUNCTION("""COMPUTED_VALUE"""),3.0)</f>
        <v>3</v>
      </c>
      <c r="E94" s="43" t="str">
        <f>IFERROR(__xludf.DUMMYFUNCTION("""COMPUTED_VALUE"""),"training_review")</f>
        <v>training_review</v>
      </c>
      <c r="F94" s="43" t="str">
        <f>IFERROR(__xludf.DUMMYFUNCTION("""COMPUTED_VALUE"""),"cb09ba27-c93f-488d-a521-1acfca174929")</f>
        <v>cb09ba27-c93f-488d-a521-1acfca174929</v>
      </c>
      <c r="G94" s="43" t="str">
        <f>IFERROR(__xludf.DUMMYFUNCTION("""COMPUTED_VALUE"""),"NULL")</f>
        <v>NULL</v>
      </c>
      <c r="H94" s="43" t="str">
        <f>IFERROR(__xludf.DUMMYFUNCTION("""COMPUTED_VALUE"""),"""2026-05-21T14:02:29.173Z""")</f>
        <v>"2026-05-21T14:02:29.173Z"</v>
      </c>
      <c r="I94" s="43" t="str">
        <f>IFERROR(__xludf.DUMMYFUNCTION("""COMPUTED_VALUE"""),"NULL")</f>
        <v>NULL</v>
      </c>
      <c r="J94" s="43" t="str">
        <f>IFERROR(__xludf.DUMMYFUNCTION("""COMPUTED_VALUE"""),"NULL")</f>
        <v>NULL</v>
      </c>
      <c r="K94" s="43" t="str">
        <f>IFERROR(__xludf.DUMMYFUNCTION("""COMPUTED_VALUE"""),"""2026-05-20T23:00:23.981Z""")</f>
        <v>"2026-05-20T23:00:23.981Z"</v>
      </c>
      <c r="L94" s="43" t="str">
        <f>IFERROR(__xludf.DUMMYFUNCTION("""COMPUTED_VALUE"""),"""2026-05-21T14:02:29.173Z""")</f>
        <v>"2026-05-21T14:02:29.173Z"</v>
      </c>
      <c r="M94" s="43" t="str">
        <f>IFERROR(__xludf.DUMMYFUNCTION("""COMPUTED_VALUE"""),"3d8c7583-3bd7-40ad-b63e-202ddf2da8dc")</f>
        <v>3d8c7583-3bd7-40ad-b63e-202ddf2da8dc</v>
      </c>
      <c r="N94" s="43" t="str">
        <f>IFERROR(__xludf.DUMMYFUNCTION("""COMPUTED_VALUE"""),"cacf4da3-cd8d-402b-a1e9-f3ad3e7f11bf")</f>
        <v>cacf4da3-cd8d-402b-a1e9-f3ad3e7f11bf</v>
      </c>
      <c r="O94" s="43" t="str">
        <f>IFERROR(__xludf.DUMMYFUNCTION("""COMPUTED_VALUE"""),"{}")</f>
        <v>{}</v>
      </c>
      <c r="P94" s="43" t="str">
        <f>IFERROR(__xludf.DUMMYFUNCTION("""COMPUTED_VALUE"""),"training_review")</f>
        <v>training_review</v>
      </c>
      <c r="Q94" s="43" t="str">
        <f>IFERROR(__xludf.DUMMYFUNCTION("""COMPUTED_VALUE"""),"sheets-training")</f>
        <v>sheets-training</v>
      </c>
      <c r="R94"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94"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4"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94"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94" s="110" t="str">
        <f>IFERROR(__xludf.DUMMYFUNCTION("""COMPUTED_VALUE"""),"https://tsipprd.blob.core.windows.net/tsip-files/3d8c7583-3bd7-40ad-b63e-202ddf2da8dc/605053db-cfdd-4b95-9484-aa07b268091a/1779371958046_meridian_2f6c9c82-25de-4eeb-b1cd-f762a1ab5947_input_workbook__1_.xlsx?sv=2026-02-06&amp;se=2026-05-23T18%3A00%3A04Z&amp;sr=b&amp;s"&amp;"p=r&amp;sig=OgO37%2FLJFJAK3eTS3ij6P56YKvrX9xJZoZZJXUiL8nk%3D")</f>
        <v>https://tsipprd.blob.core.windows.net/tsip-files/3d8c7583-3bd7-40ad-b63e-202ddf2da8dc/605053db-cfdd-4b95-9484-aa07b268091a/1779371958046_meridian_2f6c9c82-25de-4eeb-b1cd-f762a1ab5947_input_workbook__1_.xlsx?sv=2026-02-06&amp;se=2026-05-23T18%3A00%3A04Z&amp;sr=b&amp;sp=r&amp;sig=OgO37%2FLJFJAK3eTS3ij6P56YKvrX9xJZoZZJXUiL8nk%3D</v>
      </c>
      <c r="W94" s="110" t="str">
        <f>IFERROR(__xludf.DUMMYFUNCTION("""COMPUTED_VALUE"""),"https://tsipprd.blob.core.windows.net/tsip-files/3d8c7583-3bd7-40ad-b63e-202ddf2da8dc/605053db-cfdd-4b95-9484-aa07b268091a/1779371966454_meridian_2f6c9c82-25de-4eeb-b1cd-f762a1ab5947_output_workbook__1_.xlsx?sv=2026-02-06&amp;se=2026-05-23T18%3A00%3A04Z&amp;sr=b&amp;"&amp;"sp=r&amp;sig=TIoWzdeL%2FJg7mz6Om1SnDyDiYVt8Om5Scnia7Q%2FXcL4%3D")</f>
        <v>https://tsipprd.blob.core.windows.net/tsip-files/3d8c7583-3bd7-40ad-b63e-202ddf2da8dc/605053db-cfdd-4b95-9484-aa07b268091a/1779371966454_meridian_2f6c9c82-25de-4eeb-b1cd-f762a1ab5947_output_workbook__1_.xlsx?sv=2026-02-06&amp;se=2026-05-23T18%3A00%3A04Z&amp;sr=b&amp;sp=r&amp;sig=TIoWzdeL%2FJg7mz6Om1SnDyDiYVt8Om5Scnia7Q%2FXcL4%3D</v>
      </c>
      <c r="X94" s="43" t="str">
        <f>IFERROR(__xludf.DUMMYFUNCTION("""COMPUTED_VALUE"""),"success")</f>
        <v>success</v>
      </c>
      <c r="Y94" s="43">
        <f>IFERROR(__xludf.DUMMYFUNCTION("""COMPUTED_VALUE"""),2.0)</f>
        <v>2</v>
      </c>
      <c r="Z94"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94" s="43" t="str">
        <f>IFERROR(__xludf.DUMMYFUNCTION("""COMPUTED_VALUE"""),"success")</f>
        <v>success</v>
      </c>
    </row>
    <row r="95">
      <c r="A95" s="110" t="str">
        <f t="shared" si="1"/>
        <v>www.tsip.ai/claim/1c8f6062-9e4e-4485-9f8c-7107b036222c</v>
      </c>
      <c r="B95" s="43" t="str">
        <f>IFERROR(__xludf.DUMMYFUNCTION("""COMPUTED_VALUE"""),"1c8f6062-9e4e-4485-9f8c-7107b036222c")</f>
        <v>1c8f6062-9e4e-4485-9f8c-7107b036222c</v>
      </c>
      <c r="C95" s="43" t="str">
        <f>IFERROR(__xludf.DUMMYFUNCTION("""COMPUTED_VALUE"""),"sheets-training")</f>
        <v>sheets-training</v>
      </c>
      <c r="D95" s="43">
        <f>IFERROR(__xludf.DUMMYFUNCTION("""COMPUTED_VALUE"""),3.0)</f>
        <v>3</v>
      </c>
      <c r="E95" s="43" t="str">
        <f>IFERROR(__xludf.DUMMYFUNCTION("""COMPUTED_VALUE"""),"training_review")</f>
        <v>training_review</v>
      </c>
      <c r="F95" s="43" t="str">
        <f>IFERROR(__xludf.DUMMYFUNCTION("""COMPUTED_VALUE"""),"cb09ba27-c93f-488d-a521-1acfca174929")</f>
        <v>cb09ba27-c93f-488d-a521-1acfca174929</v>
      </c>
      <c r="G95" s="43" t="str">
        <f>IFERROR(__xludf.DUMMYFUNCTION("""COMPUTED_VALUE"""),"NULL")</f>
        <v>NULL</v>
      </c>
      <c r="H95" s="43" t="str">
        <f>IFERROR(__xludf.DUMMYFUNCTION("""COMPUTED_VALUE"""),"""2026-05-20T22:38:16.156Z""")</f>
        <v>"2026-05-20T22:38:16.156Z"</v>
      </c>
      <c r="I95" s="43" t="str">
        <f>IFERROR(__xludf.DUMMYFUNCTION("""COMPUTED_VALUE"""),"NULL")</f>
        <v>NULL</v>
      </c>
      <c r="J95" s="43" t="str">
        <f>IFERROR(__xludf.DUMMYFUNCTION("""COMPUTED_VALUE"""),"""2026-05-20T22:59:43.420Z""")</f>
        <v>"2026-05-20T22:59:43.420Z"</v>
      </c>
      <c r="K95" s="43" t="str">
        <f>IFERROR(__xludf.DUMMYFUNCTION("""COMPUTED_VALUE"""),"""2026-05-20T22:35:21.497Z""")</f>
        <v>"2026-05-20T22:35:21.497Z"</v>
      </c>
      <c r="L95" s="43" t="str">
        <f>IFERROR(__xludf.DUMMYFUNCTION("""COMPUTED_VALUE"""),"""2026-05-20T22:59:43.420Z""")</f>
        <v>"2026-05-20T22:59:43.420Z"</v>
      </c>
      <c r="M95" s="43" t="str">
        <f>IFERROR(__xludf.DUMMYFUNCTION("""COMPUTED_VALUE"""),"e7175f74-f5c9-41f7-9c77-dc3be8341fbf")</f>
        <v>e7175f74-f5c9-41f7-9c77-dc3be8341fbf</v>
      </c>
      <c r="N95" s="43" t="str">
        <f>IFERROR(__xludf.DUMMYFUNCTION("""COMPUTED_VALUE"""),"cacf4da3-cd8d-402b-a1e9-f3ad3e7f11bf")</f>
        <v>cacf4da3-cd8d-402b-a1e9-f3ad3e7f11bf</v>
      </c>
      <c r="O95" s="43" t="str">
        <f>IFERROR(__xludf.DUMMYFUNCTION("""COMPUTED_VALUE"""),"{}")</f>
        <v>{}</v>
      </c>
      <c r="P95" s="43" t="str">
        <f>IFERROR(__xludf.DUMMYFUNCTION("""COMPUTED_VALUE"""),"training_review")</f>
        <v>training_review</v>
      </c>
      <c r="Q95" s="43" t="str">
        <f>IFERROR(__xludf.DUMMYFUNCTION("""COMPUTED_VALUE"""),"sheets-training")</f>
        <v>sheets-training</v>
      </c>
      <c r="R9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9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95" s="43" t="str">
        <f>IFERROR(__xludf.DUMMYFUNCTION("""COMPUTED_VALUE"""),"train yourself!")</f>
        <v>train yourself!</v>
      </c>
      <c r="V95" s="110" t="str">
        <f>IFERROR(__xludf.DUMMYFUNCTION("""COMPUTED_VALUE"""),"https://tsipprd.blob.core.windows.net/tsip-files/imports/cb09ba27-c93f-488d-a521-1acfca174929/1779316481981_input.xlsx?sv=2026-02-06&amp;se=2026-05-23T18%3A00%3A04Z&amp;sr=b&amp;sp=r&amp;sig=bsjI10QdLiFVK1PBaW%2FMz2O39%2BzoXWQiu9hWDafntrE%3D")</f>
        <v>https://tsipprd.blob.core.windows.net/tsip-files/imports/cb09ba27-c93f-488d-a521-1acfca174929/1779316481981_input.xlsx?sv=2026-02-06&amp;se=2026-05-23T18%3A00%3A04Z&amp;sr=b&amp;sp=r&amp;sig=bsjI10QdLiFVK1PBaW%2FMz2O39%2BzoXWQiu9hWDafntrE%3D</v>
      </c>
      <c r="W95" s="110" t="str">
        <f>IFERROR(__xludf.DUMMYFUNCTION("""COMPUTED_VALUE"""),"https://tsipprd.blob.core.windows.net/tsip-files/imports/cb09ba27-c93f-488d-a521-1acfca174929/1779316482562_output.xlsx?sv=2026-02-06&amp;se=2026-05-23T18%3A00%3A04Z&amp;sr=b&amp;sp=r&amp;sig=qN5uKBBV9%2Bj8x6ZQiP2VisAlxoOh3x6d%2FWl1yHpgVeY%3D")</f>
        <v>https://tsipprd.blob.core.windows.net/tsip-files/imports/cb09ba27-c93f-488d-a521-1acfca174929/1779316482562_output.xlsx?sv=2026-02-06&amp;se=2026-05-23T18%3A00%3A04Z&amp;sr=b&amp;sp=r&amp;sig=qN5uKBBV9%2Bj8x6ZQiP2VisAlxoOh3x6d%2FWl1yHpgVeY%3D</v>
      </c>
      <c r="X95" s="43" t="str">
        <f>IFERROR(__xludf.DUMMYFUNCTION("""COMPUTED_VALUE"""),"success")</f>
        <v>success</v>
      </c>
      <c r="Y95" s="43">
        <f>IFERROR(__xludf.DUMMYFUNCTION("""COMPUTED_VALUE"""),2.0)</f>
        <v>2</v>
      </c>
      <c r="Z9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95" s="43" t="str">
        <f>IFERROR(__xludf.DUMMYFUNCTION("""COMPUTED_VALUE"""),"success")</f>
        <v>success</v>
      </c>
    </row>
    <row r="96">
      <c r="A96" s="110" t="str">
        <f t="shared" si="1"/>
        <v>www.tsip.ai/claim/0e48108d-062e-4d21-a56c-ef1167597aa2</v>
      </c>
      <c r="B96" s="43" t="str">
        <f>IFERROR(__xludf.DUMMYFUNCTION("""COMPUTED_VALUE"""),"0e48108d-062e-4d21-a56c-ef1167597aa2")</f>
        <v>0e48108d-062e-4d21-a56c-ef1167597aa2</v>
      </c>
      <c r="C96" s="43" t="str">
        <f>IFERROR(__xludf.DUMMYFUNCTION("""COMPUTED_VALUE"""),"sheets-training")</f>
        <v>sheets-training</v>
      </c>
      <c r="D96" s="43">
        <f>IFERROR(__xludf.DUMMYFUNCTION("""COMPUTED_VALUE"""),3.0)</f>
        <v>3</v>
      </c>
      <c r="E96" s="43" t="str">
        <f>IFERROR(__xludf.DUMMYFUNCTION("""COMPUTED_VALUE"""),"training_review")</f>
        <v>training_review</v>
      </c>
      <c r="F96" s="43" t="str">
        <f>IFERROR(__xludf.DUMMYFUNCTION("""COMPUTED_VALUE"""),"cb09ba27-c93f-488d-a521-1acfca174929")</f>
        <v>cb09ba27-c93f-488d-a521-1acfca174929</v>
      </c>
      <c r="G96" s="43" t="str">
        <f>IFERROR(__xludf.DUMMYFUNCTION("""COMPUTED_VALUE"""),"NULL")</f>
        <v>NULL</v>
      </c>
      <c r="H96" s="43" t="str">
        <f>IFERROR(__xludf.DUMMYFUNCTION("""COMPUTED_VALUE"""),"""2026-05-21T00:31:57.392Z""")</f>
        <v>"2026-05-21T00:31:57.392Z"</v>
      </c>
      <c r="I96" s="43" t="str">
        <f>IFERROR(__xludf.DUMMYFUNCTION("""COMPUTED_VALUE"""),"NULL")</f>
        <v>NULL</v>
      </c>
      <c r="J96" s="43" t="str">
        <f>IFERROR(__xludf.DUMMYFUNCTION("""COMPUTED_VALUE"""),"NULL")</f>
        <v>NULL</v>
      </c>
      <c r="K96" s="43" t="str">
        <f>IFERROR(__xludf.DUMMYFUNCTION("""COMPUTED_VALUE"""),"""2026-05-20T23:00:23.981Z""")</f>
        <v>"2026-05-20T23:00:23.981Z"</v>
      </c>
      <c r="L96" s="43" t="str">
        <f>IFERROR(__xludf.DUMMYFUNCTION("""COMPUTED_VALUE"""),"""2026-05-21T00:31:57.392Z""")</f>
        <v>"2026-05-21T00:31:57.392Z"</v>
      </c>
      <c r="M96" s="43" t="str">
        <f>IFERROR(__xludf.DUMMYFUNCTION("""COMPUTED_VALUE"""),"d712a3c3-690d-4cf9-b5f9-8472a9d7da2c")</f>
        <v>d712a3c3-690d-4cf9-b5f9-8472a9d7da2c</v>
      </c>
      <c r="N96" s="43" t="str">
        <f>IFERROR(__xludf.DUMMYFUNCTION("""COMPUTED_VALUE"""),"cacf4da3-cd8d-402b-a1e9-f3ad3e7f11bf")</f>
        <v>cacf4da3-cd8d-402b-a1e9-f3ad3e7f11bf</v>
      </c>
      <c r="O96" s="43" t="str">
        <f>IFERROR(__xludf.DUMMYFUNCTION("""COMPUTED_VALUE"""),"{}")</f>
        <v>{}</v>
      </c>
      <c r="P96" s="43" t="str">
        <f>IFERROR(__xludf.DUMMYFUNCTION("""COMPUTED_VALUE"""),"training_review")</f>
        <v>training_review</v>
      </c>
      <c r="Q96" s="43" t="str">
        <f>IFERROR(__xludf.DUMMYFUNCTION("""COMPUTED_VALUE"""),"sheets-training")</f>
        <v>sheets-training</v>
      </c>
      <c r="R9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96" s="43" t="str">
        <f>IFERROR(__xludf.DUMMYFUNCTION("""COMPUTED_VALUE"""),"{""sections"":[{""id"":""a65cddac-3207-416b-92e4-da3a3e155ec0"",""name"":""Formula Correctness"",""criteria"":[{""id"":""81b0a18e-f962-4880-b46f-5f8f57c5fa50"",""points"":2,""question"":""Is the monthly rate for each debt instrument on the Loan Amortizati"&amp;"on Schedule derived by converting the effective annual rate to a monthly rate using the compounding formula ((1+EAR)^(1/12))-1, not simply dividing by 12?""},{""id"":""f7b8b885-7d9e-408b-93d3-6df65b8a0e01"",""points"":1,""question"":""Is the number of pay"&amp;"ments for each debt instrument on the Loan Amortization Schedule derived by multiplying the term in years from the Capital tab by 12?""},{""id"":""d779033a-295a-4dbf-99eb-56f2b8a0ed77"",""points"":2,""question"":""Is the monthly payment for each debt inst"&amp;"rument on the Loan Amortization Schedule derived as a formula-based level payment calculation using the loan amount, monthly rate, and number of payments (not hardcoded)?""},{""id"":""4ef24a45-f03c-40c5-b0dc-45556e0cde3c"",""points"":1,""question"":""Is t"&amp;"he monthly interest for each debt instrument on the Loan Amortization Schedule calculated as the prior period ending loan balance multiplied by the monthly rate?""},{""id"":""280535f7-0082-475c-9c81-225522df7ac6"",""points"":2,""question"":""Is the monthl"&amp;"y principal for each debt instrument on the Loan Amortization Schedule calculated as the monthly payment minus the monthly interest?""},{""id"":""de5a3178-eeec-4f0c-82fa-27c2018162cc"",""points"":2,""question"":""Is the loan balance for each debt instrume"&amp;"nt on the Loan Amortization Schedule calculated as the prior period ending balance minus the current period principal repayment?""},{""id"":""5dc238d7-e0bf-4594-8423-a6a499172b67"",""points"":1,""question"":""Is the Month 1 loan balance for the Loan secti"&amp;"on on the Loan Amortization Schedule calculated as the original loan amount minus the Month 1 principal payment?""},{""id"":""e16050ef-3dd6-463a-bf4f-1064d7bb1e85"",""points"":2,""question"":""Does the Mortgage schedule on the Loan Amortization Schedule c"&amp;"orrectly produce zero interest, principal, and balance values for months beyond the 48-month term?""},{""id"":""456afc86-c30c-4a4a-a2ee-c3f0e80bfaa9"",""points"":2,""question"":""Does the Other Bank Debt schedule on the Loan Amortization Schedule correctl"&amp;"y produce zero interest, principal, and balance values for months beyond the 36-month term?""},{""id"":""bda71d69-717d-4b43-8dab-db1dac6a4991"",""points"":2,""question"":""Is the interest expense on the monthly Income Statement calculated as the sum of in"&amp;"terest from all four debt instruments (Loan, Mortgage, Other Bank Debt, and Old Loans) for each corresponding month?""},{""id"":""98037bfc-8a94-4570-afea-e1f10a0747d1"",""points"":2,""question"":""Is the Earnings before taxes line on the monthly Income St"&amp;"atement derived as EBITDA minus depreciation and amortization expense minus interest expense?""}]},{""id"":""7e59ffa2-0d60-467f-99a1-24baad695b2c"",""name"":""Model Integration"",""criteria"":[{""id"":""22097074-c990-4a24-a6cc-2a473ae0d2c8"",""points"":4,"&amp;"""question"":""Is repayment of debt on the Cash Flow tab linked to the Loan Amortization Schedule tab via a formula that aggregates principal repayment across all debt instruments with a sign-flip transformation (not recalculated locally)?""},{""id"":""ba"&amp;"65ddac-990a-4695-95c1-d123f1169906"",""points"":4,""question"":""Is interest expense on the Income Statement tab linked to the Loan Amortization Schedule tab via a formula that aggregates interest across all debt instruments (not recalculated locally)?""}"&amp;",{""id"":""bbdcdb7e-06e3-462d-8639-3879fb8f1999"",""points"":4,""question"":""Is the Loans line under long term liabilities on the Balance Sheet tab linked to the Loan Amortization Schedule tab via a formula that aggregates loan balances across all debt i"&amp;"nstruments (not recalculated locally)?""},{""id"":""e7260d95-1854-47d8-9d0b-59ef8e8e80b2"",""points"":3,""question"":""Is the number of payments assumption on the Loan Amortization Schedule tab linked to the Capital tab with an arithmetic transformation t"&amp;"o convert the loan term to months (not hardcoded)?""},{""id"":""f6ad5fd0-e457-4020-9f76-6c4b269e2885"",""points"":2,""question"":""Is the loan amount assumption on the Loan Amortization Schedule tab linked to the Capital tab (not hardcoded)?""},{""id"":"""&amp;"7cda6bca-52ca-4d93-9dab-742617071119"",""points"":2,""question"":""Is the Old Loans loan amount on the Loan Amortization Schedule tab linked to the Opening Balance Sheet tab (not hardcoded)?""}]},{""id"":""a84db4e1-6d60-4e13-aa8b-318afc2229d9"",""name"":"&amp;"""Output Validation"",""criteria"":[{""id"":""09e4a3a5-d9e7-4b4c-8843-aaa6074f6bb1"",""points"":3,""question"":""Is the Loan monthly payment assumption on the Loan Amortization Schedule tab within +/- 2% of 2954.99?""},{""id"":""c03d7191-e062-40d4-aac0-74"&amp;"879ff03439"",""points"":4,""question"":""Is the Mortgage loan balance at Month 24 on the Loan Amortization Schedule tab within +/- 2% of 15443.25?""},{""id"":""802839fa-f50b-4356-84f5-2c544eb1165b"",""points"":4,""question"":""Is the Other Bank Debt loan "&amp;"balance at Month 30 on the Loan Amortization Schedule tab within +/- 2% of 8747.16?""},{""id"":""f2c69eee-4fde-4cd3-94ac-4b38844c892e"",""points"":5,""question"":""Is the Loan balance at Month 12 on the Loan Amortization Schedule tab within +/- 2% of 1239"&amp;"16.40?""},{""id"":""e48ade84-83b8-4549-9ed7-5dcfd961e11e"",""points"":5,""question"":""Is the Loans line on the Balance Sheet tab at Month 12 within +/- 2% of 180728.16?""},{""id"":""fbc16da4-4023-402d-9f5b-617aca8a3422"",""points"":5,""question"":""Is th"&amp;"e Loans line on the Balance Sheet tab at Month 36 within +/- 2% of 73979.56?""},{""id"":""eb6284bf-5061-4a6f-b89d-d757f334c8e9"",""points"":5,""question"":""Is the repayment of debt on the Cash Flow tab at Month 36 within +/- 2% of -3225.17?""},{""id"":"""&amp;"7d3396ca-d23d-4234-b20c-267357d4fcfa"",""points"":5,""question"":""Is the interest expense on the Income Statement tab at Month 60 within +/- 2% of 16.61?""}]},{""id"":""e947cbba-fb19-41b5-b3c5-d79c88845187"",""name"":""Perturbation"",""criteria"":[{""id"&amp;""":""c1549091-8e39-4d4e-a25a-078531049988"",""points"":5,""question"":""If the Loan Amount on the Capital tab is changed from 150,000 to 180,000, does Net income on the Income Statement tab for Year 1 Month 1 update to within +/- 2% of 2,754?""},{""id"":"&amp;"""59331be9-78f8-4e95-840d-b3ae39bc254f"",""points"":5,""question"":""If the Loan Interest Rate on the Capital tab is changed from 7% to 10%, does Cash end of year on the Cash Flow tab for Year 1 Month 1 update to within +/- 2% of 133,865?""},{""id"":""697"&amp;"5ff2d-88db-493a-8fb7-92105424cd75"",""points"":5,""question"":""If the Mortgage Amount on the Capital tab is changed from 30,000 to 50,000, does the Loans balance on the Balance Sheet tab for Year 1 Month 1 update to within +/- 2% of 245,600?""},{""id"":"&amp;"""649b5c84-1dd9-42e1-819e-c81f3db99692"",""points"":5,""question"":""If the Mortgage Term on the Capital tab is changed from 4 years to 6 years, does Cash end of year on the Cash Flow tab for Year 1 Month 12 update to within +/- 2% of 165,000?""},{""id"":"&amp;"""90810784-6225-4eef-a335-1afa0b4969c6"",""points"":5,""question"":""If the Other Bank Debt Interest Rate on the Capital tab is changed from 4% to 7%, does Net income on the Income Statement tab for Year 1 Month 12 update to within +/- 2% of 7,385?""},{"""&amp;"id"":""a2095a5c-71a1-4d9b-8e13-c999279fb2ae"",""points"":5,""question"":""If the Other Bank Debt Term on the Capital tab is changed from 3 years to 5 years, does the Loans balance on the Balance Sheet tab for Year 1 Month 12 update to within +/- 2% of 187"&amp;",553?""},{""id"":""81476534-e1ad-490b-a48e-72cb4fdd596d"",""points"":5,""question"":""If the Loan Amount on the Capital tab is changed from 150,000 to 180,000, does Net income on the Income Statement tab for Year 1 Month 1 update to within +/- 2% of 2,754"&amp;"?""}]},{""id"":""b6bc7212-cbf4-4de8-81cb-0eafa356b993"",""name"":""Presentation"",""criteria"":[{""id"":""1414ac61-3d28-4895-bb32-e17178c19c01"",""points"":2,""question"":""Are the monthly payment, interest, principal, and balance values on the Loan Amort"&amp;"ization Schedule formatted with comma separators and two decimal places?""},{""id"":""a27a4eba-8878-48df-8dc8-4c6448c0244d"",""points"":2,""question"":""Are the four debt instrument sections on the Loan Amortization Schedule visually separated with bold s"&amp;"ection header labels, light grey background fill, and bottom borders on the last row of each schedule?""},{""id"":""24c24167-c9b1-479d-84b3-17e6342b9a30"",""points"":2,""question"":""Are gridlines hidden on the Loan Amortization Schedule tab, consistent w"&amp;"ith all other tabs in the model?""}]},{""id"":""6a242126-b0df-4306-a4ab-219bf2f24553"",""name"":""Pitfalls"",""criteria"":[{""id"":""aca61acb-e0a9-4cf4-a556-c7988d7622e5"",""points"":-5,""question"":""Are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#NUM!)?""},{""id"":""94574f9b-8161-486d-aa3d-2f4f8a80660a"",""points"":-3,""question"":""Is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{"sections":[{"id":"a65cddac-3207-416b-92e4-da3a3e155ec0","name":"Formula Correctness","criteria":[{"id":"81b0a18e-f962-4880-b46f-5f8f57c5fa50","points":2,"question":"Is the monthly rate for each debt instrument on the Loan Amortization Schedule derived by converting the effective annual rate to a monthly rate using the compounding formula ((1+EAR)^(1/12))-1, not simply dividing by 12?"},{"id":"f7b8b885-7d9e-408b-93d3-6df65b8a0e01","points":1,"question":"Is the number of payments for each debt instrument on the Loan Amortization Schedule derived by multiplying the term in years from the Capital tab by 12?"},{"id":"d779033a-295a-4dbf-99eb-56f2b8a0ed77","points":2,"question":"Is the monthly payment for each debt instrument on the Loan Amortization Schedule derived as a formula-based level payment calculation using the loan amount, monthly rate, and number of payments (not hardcoded)?"},{"id":"4ef24a45-f03c-40c5-b0dc-45556e0cde3c","points":1,"question":"Is the monthly interest for each debt instrument on the Loan Amortization Schedule calculated as the prior period ending loan balance multiplied by the monthly rate?"},{"id":"280535f7-0082-475c-9c81-225522df7ac6","points":2,"question":"Is the monthly principal for each debt instrument on the Loan Amortization Schedule calculated as the monthly payment minus the monthly interest?"},{"id":"de5a3178-eeec-4f0c-82fa-27c2018162cc","points":2,"question":"Is the loan balance for each debt instrument on the Loan Amortization Schedule calculated as the prior period ending balance minus the current period principal repayment?"},{"id":"5dc238d7-e0bf-4594-8423-a6a499172b67","points":1,"question":"Is the Month 1 loan balance for the Loan section on the Loan Amortization Schedule calculated as the original loan amount minus the Month 1 principal payment?"},{"id":"e16050ef-3dd6-463a-bf4f-1064d7bb1e85","points":2,"question":"Does the Mortgage schedule on the Loan Amortization Schedule correctly produce zero interest, principal, and balance values for months beyond the 48-month term?"},{"id":"456afc86-c30c-4a4a-a2ee-c3f0e80bfaa9","points":2,"question":"Does the Other Bank Debt schedule on the Loan Amortization Schedule correctly produce zero interest, principal, and balance values for months beyond the 36-month term?"},{"id":"bda71d69-717d-4b43-8dab-db1dac6a4991","points":2,"question":"Is the interest expense on the monthly Income Statement calculated as the sum of interest from all four debt instruments (Loan, Mortgage, Other Bank Debt, and Old Loans) for each corresponding month?"},{"id":"98037bfc-8a94-4570-afea-e1f10a0747d1","points":2,"question":"Is the Earnings before taxes line on the monthly Income Statement derived as EBITDA minus depreciation and amortization expense minus interest expense?"}]},{"id":"7e59ffa2-0d60-467f-99a1-24baad695b2c","name":"Model Integration","criteria":[{"id":"22097074-c990-4a24-a6cc-2a473ae0d2c8","points":4,"question":"Is repayment of debt on the Cash Flow tab linked to the Loan Amortization Schedule tab via a formula that aggregates principal repayment across all debt instruments with a sign-flip transformation (not recalculated locally)?"},{"id":"ba65ddac-990a-4695-95c1-d123f1169906","points":4,"question":"Is interest expense on the Income Statement tab linked to the Loan Amortization Schedule tab via a formula that aggregates interest across all debt instruments (not recalculated locally)?"},{"id":"bbdcdb7e-06e3-462d-8639-3879fb8f1999","points":4,"question":"Is the Loans line under long term liabilities on the Balance Sheet tab linked to the Loan Amortization Schedule tab via a formula that aggregates loan balances across all debt instruments (not recalculated locally)?"},{"id":"e7260d95-1854-47d8-9d0b-59ef8e8e80b2","points":3,"question":"Is the number of payments assumption on the Loan Amortization Schedule tab linked to the Capital tab with an arithmetic transformation to convert the loan term to months (not hardcoded)?"},{"id":"f6ad5fd0-e457-4020-9f76-6c4b269e2885","points":2,"question":"Is the loan amount assumption on the Loan Amortization Schedule tab linked to the Capital tab (not hardcoded)?"},{"id":"7cda6bca-52ca-4d93-9dab-742617071119","points":2,"question":"Is the Old Loans loan amount on the Loan Amortization Schedule tab linked to the Opening Balance Sheet tab (not hardcoded)?"}]},{"id":"a84db4e1-6d60-4e13-aa8b-318afc2229d9","name":"Output Validation","criteria":[{"id":"09e4a3a5-d9e7-4b4c-8843-aaa6074f6bb1","points":3,"question":"Is the Loan monthly payment assumption on the Loan Amortization Schedule tab within +/- 2% of 2954.99?"},{"id":"c03d7191-e062-40d4-aac0-74879ff03439","points":4,"question":"Is the Mortgage loan balance at Month 24 on the Loan Amortization Schedule tab within +/- 2% of 15443.25?"},{"id":"802839fa-f50b-4356-84f5-2c544eb1165b","points":4,"question":"Is the Other Bank Debt loan balance at Month 30 on the Loan Amortization Schedule tab within +/- 2% of 8747.16?"},{"id":"f2c69eee-4fde-4cd3-94ac-4b38844c892e","points":5,"question":"Is the Loan balance at Month 12 on the Loan Amortization Schedule tab within +/- 2% of 123916.40?"},{"id":"e48ade84-83b8-4549-9ed7-5dcfd961e11e","points":5,"question":"Is the Loans line on the Balance Sheet tab at Month 12 within +/- 2% of 180728.16?"},{"id":"fbc16da4-4023-402d-9f5b-617aca8a3422","points":5,"question":"Is the Loans line on the Balance Sheet tab at Month 36 within +/- 2% of 73979.56?"},{"id":"eb6284bf-5061-4a6f-b89d-d757f334c8e9","points":5,"question":"Is the repayment of debt on the Cash Flow tab at Month 36 within +/- 2% of -3225.17?"},{"id":"7d3396ca-d23d-4234-b20c-267357d4fcfa","points":5,"question":"Is the interest expense on the Income Statement tab at Month 60 within +/- 2% of 16.61?"}]},{"id":"e947cbba-fb19-41b5-b3c5-d79c88845187","name":"Perturbation","criteria":[{"id":"c1549091-8e39-4d4e-a25a-078531049988","points":5,"question":"If the Loan Amount on the Capital tab is changed from 150,000 to 180,000, does Net income on the Income Statement tab for Year 1 Month 1 update to within +/- 2% of 2,754?"},{"id":"59331be9-78f8-4e95-840d-b3ae39bc254f","points":5,"question":"If the Loan Interest Rate on the Capital tab is changed from 7% to 10%, does Cash end of year on the Cash Flow tab for Year 1 Month 1 update to within +/- 2% of 133,865?"},{"id":"6975ff2d-88db-493a-8fb7-92105424cd75","points":5,"question":"If the Mortgage Amount on the Capital tab is changed from 30,000 to 50,000, does the Loans balance on the Balance Sheet tab for Year 1 Month 1 update to within +/- 2% of 245,600?"},{"id":"649b5c84-1dd9-42e1-819e-c81f3db99692","points":5,"question":"If the Mortgage Term on the Capital tab is changed from 4 years to 6 years, does Cash end of year on the Cash Flow tab for Year 1 Month 12 update to within +/- 2% of 165,000?"},{"id":"90810784-6225-4eef-a335-1afa0b4969c6","points":5,"question":"If the Other Bank Debt Interest Rate on the Capital tab is changed from 4% to 7%, does Net income on the Income Statement tab for Year 1 Month 12 update to within +/- 2% of 7,385?"},{"id":"a2095a5c-71a1-4d9b-8e13-c999279fb2ae","points":5,"question":"If the Other Bank Debt Term on the Capital tab is changed from 3 years to 5 years, does the Loans balance on the Balance Sheet tab for Year 1 Month 12 update to within +/- 2% of 187,553?"},{"id":"81476534-e1ad-490b-a48e-72cb4fdd596d","points":5,"question":"If the Loan Amount on the Capital tab is changed from 150,000 to 180,000, does Net income on the Income Statement tab for Year 1 Month 1 update to within +/- 2% of 2,754?"}]},{"id":"b6bc7212-cbf4-4de8-81cb-0eafa356b993","name":"Presentation","criteria":[{"id":"1414ac61-3d28-4895-bb32-e17178c19c01","points":2,"question":"Are the monthly payment, interest, principal, and balance values on the Loan Amortization Schedule formatted with comma separators and two decimal places?"},{"id":"a27a4eba-8878-48df-8dc8-4c6448c0244d","points":2,"question":"Are the four debt instrument sections on the Loan Amortization Schedule visually separated with bold section header labels, light grey background fill, and bottom borders on the last row of each schedule?"},{"id":"24c24167-c9b1-479d-84b3-17e6342b9a30","points":2,"question":"Are gridlines hidden on the Loan Amortization Schedule tab, consistent with all other tabs in the model?"}]},{"id":"6a242126-b0df-4306-a4ab-219bf2f24553","name":"Pitfalls","criteria":[{"id":"aca61acb-e0a9-4cf4-a556-c7988d7622e5","points":-5,"question":"Are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#NUM!)?"},{"id":"94574f9b-8161-486d-aa3d-2f4f8a80660a","points":-3,"question":"Is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6" s="43" t="str">
        <f>IFERROR(__xludf.DUMMYFUNCTION("""COMPUTED_VALUE"""),"{""rating"":2,""feedback"":""Effective overall score ~68 (re-try needed band). Multiple required caps stack and the lowest binding cap is 80 (Old Loans still described as sourced from the Capital tab in the prompt: 'For each of the four debt instruments, "&amp;"pull the loan amount, interest rate, and term directly from the Capital tab'), while the rubric correctly grades Old Loans from Opening Balance Sheet — a direct prompt/rubric mismatch. Additional caps that apply: input workbook Capital terms were NOT corr"&amp;"ected (Mortgage D25=1 and Other Bank Debt D26=1 remain, should be 4 and 3; cap 90), the rubric still uses -3225.17 for Cash Flow repayment at Month 36 when that value is actually Month 37 — the true Month 36 raw value is -4678.87 (cap 88), the duplicate L"&amp;"oan Amount 150,000→180,000 / Net Income Y1 M1 ≈ 2,754 perturbation appears twice (c1549091 and 81476534; cap 92), and downstream Income Statement/Balance Sheet/Cash Flow integration is entirely absent from the prompt but heavily graded in the rubric (cap "&amp;"85). The prompt also underspecifies compounding monthly rate conversion, fixed level amortization methodology, and the interest/principal/balance row logic, and omits any formatting guidance. Output validation targets use rounded display values (2954.99, "&amp;"180728.16, 73979.56, 16.61) rather than exact raw values from the workbook. Presentation includes a gridlines-hidden criterion that should be removed and bundles header/fill/border into one stacked check. Pitfalls cover broad inherited tabs (4) Operating "&amp;"Expenses, 9) WACC, Financial Highlights, Sensitivity, Ratio, PD Charts, Valuation) unrelated to the changed scope, and misuse 'hidden' for sizing-based truncation. Required revisions: (1) rewrite prompt so Old Loans sources from 8) Opening Balance Sheet a"&amp;"nd the other three from 6) Capital, (2) correct input workbook D25=4 and D26=3, (3) add downstream IS/BS/CF integration language to the prompt, (4) specify compounding monthly rate and fixed level amortization methodology in non-formula language, (5) fix "&amp;"Month 36 Cash Flow target to -4678.87 (or move to Month 37 at -3225.17), (6) remove the duplicate Loan Amount perturbation, (7) replace rounded targets with exact raw values, (8) split or drop bundled presentation criteria and remove gridlines check, (9) "&amp;"scope pitfalls to the changed/relevant tabs and replace 'hidden' with 'truncated' for sizing issues.""}")</f>
        <v>{"rating":2,"feedback":"Effective overall score ~68 (re-try needed band). Multiple required caps stack and the lowest binding cap is 80 (Old Loans still described as sourced from the Capital tab in the prompt: 'For each of the four debt instruments, pull the loan amount, interest rate, and term directly from the Capital tab'), while the rubric correctly grades Old Loans from Opening Balance Sheet — a direct prompt/rubric mismatch. Additional caps that apply: input workbook Capital terms were NOT corrected (Mortgage D25=1 and Other Bank Debt D26=1 remain, should be 4 and 3; cap 90), the rubric still uses -3225.17 for Cash Flow repayment at Month 36 when that value is actually Month 37 — the true Month 36 raw value is -4678.87 (cap 88), the duplicate Loan Amount 150,000→180,000 / Net Income Y1 M1 ≈ 2,754 perturbation appears twice (c1549091 and 81476534; cap 92), and downstream Income Statement/Balance Sheet/Cash Flow integration is entirely absent from the prompt but heavily graded in the rubric (cap 85). The prompt also underspecifies compounding monthly rate conversion, fixed level amortization methodology, and the interest/principal/balance row logic, and omits any formatting guidance. Output validation targets use rounded display values (2954.99, 180728.16, 73979.56, 16.61) rather than exact raw values from the workbook. Presentation includes a gridlines-hidden criterion that should be removed and bundles header/fill/border into one stacked check. Pitfalls cover broad inherited tabs (4) Operating Expenses, 9) WACC, Financial Highlights, Sensitivity, Ratio, PD Charts, Valuation) unrelated to the changed scope, and misuse 'hidden' for sizing-based truncation. Required revisions: (1) rewrite prompt so Old Loans sources from 8) Opening Balance Sheet and the other three from 6) Capital, (2) correct input workbook D25=4 and D26=3, (3) add downstream IS/BS/CF integration language to the prompt, (4) specify compounding monthly rate and fixed level amortization methodology in non-formula language, (5) fix Month 36 Cash Flow target to -4678.87 (or move to Month 37 at -3225.17), (6) remove the duplicate Loan Amount perturbation, (7) replace rounded targets with exact raw values, (8) split or drop bundled presentation criteria and remove gridlines check, (9) scope pitfalls to the changed/relevant tabs and replace 'hidden' with 'truncated' for sizing issues."}</v>
      </c>
      <c r="U96"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96" s="110" t="str">
        <f>IFERROR(__xludf.DUMMYFUNCTION("""COMPUTED_VALUE"""),"https://tsipprd.blob.core.windows.net/tsip-files/imports/cb09ba27-c93f-488d-a521-1acfca174929/1779318018594_input.xlsx?sv=2026-02-06&amp;se=2026-05-23T18%3A00%3A06Z&amp;sr=b&amp;sp=r&amp;sig=TqWrbfIQgms5BKiqllBmbEPhbNZsM29drXY7ZiSWaRI%3D")</f>
        <v>https://tsipprd.blob.core.windows.net/tsip-files/imports/cb09ba27-c93f-488d-a521-1acfca174929/1779318018594_input.xlsx?sv=2026-02-06&amp;se=2026-05-23T18%3A00%3A06Z&amp;sr=b&amp;sp=r&amp;sig=TqWrbfIQgms5BKiqllBmbEPhbNZsM29drXY7ZiSWaRI%3D</v>
      </c>
      <c r="W96" s="110" t="str">
        <f>IFERROR(__xludf.DUMMYFUNCTION("""COMPUTED_VALUE"""),"https://tsipprd.blob.core.windows.net/tsip-files/imports/cb09ba27-c93f-488d-a521-1acfca174929/1779318018349_output.xlsx?sv=2026-02-06&amp;se=2026-05-23T18%3A00%3A06Z&amp;sr=b&amp;sp=r&amp;sig=mxeZXmstlh3AtVjYXulfZE3AO5aYqHTQFt%2FM6s7DXag%3D")</f>
        <v>https://tsipprd.blob.core.windows.net/tsip-files/imports/cb09ba27-c93f-488d-a521-1acfca174929/1779318018349_output.xlsx?sv=2026-02-06&amp;se=2026-05-23T18%3A00%3A06Z&amp;sr=b&amp;sp=r&amp;sig=mxeZXmstlh3AtVjYXulfZE3AO5aYqHTQFt%2FM6s7DXag%3D</v>
      </c>
      <c r="X96" s="43" t="str">
        <f>IFERROR(__xludf.DUMMYFUNCTION("""COMPUTED_VALUE"""),"success")</f>
        <v>success</v>
      </c>
      <c r="Y96" s="43">
        <f>IFERROR(__xludf.DUMMYFUNCTION("""COMPUTED_VALUE"""),2.0)</f>
        <v>2</v>
      </c>
      <c r="Z96" s="43" t="str">
        <f>IFERROR(__xludf.DUMMYFUNCTION("""COMPUTED_VALUE"""),"Effective overall score ~68 (re-try needed band). Multiple required caps stack and the lowest binding cap is 80 (Old Loans still described as sourced from the Capital tab in the prompt: 'For each of the four debt instruments, pull the loan amount, interes"&amp;"t rate, and term directly from the Capital tab'), while the rubric correctly grades Old Loans from Opening Balance Sheet — a direct prompt/rubric mismatch. Additional caps that apply: input workbook Capital terms were NOT corrected (Mortgage D25=1 and Oth"&amp;"er Bank Debt D26=1 remain, should be 4 and 3; cap 90), the rubric still uses -3225.17 for Cash Flow repayment at Month 36 when that value is actually Month 37 — the true Month 36 raw value is -4678.87 (cap 88), the duplicate Loan Amount 150,000→180,000 / "&amp;"Net Income Y1 M1 ≈ 2,754 perturbation appears twice (c1549091 and 81476534; cap 92), and downstream Income Statement/Balance Sheet/Cash Flow integration is entirely absent from the prompt but heavily graded in the rubric (cap 85). The prompt also underspe"&amp;"cifies compounding monthly rate conversion, fixed level amortization methodology, and the interest/principal/balance row logic, and omits any formatting guidance. Output validation targets use rounded display values (2954.99, 180728.16, 73979.56, 16.61) r"&amp;"ather than exact raw values from the workbook. Presentation includes a gridlines-hidden criterion that should be removed and bundles header/fill/border into one stacked check. Pitfalls cover broad inherited tabs (4) Operating Expenses, 9) WACC, Financial "&amp;"Highlights, Sensitivity, Ratio, PD Charts, Valuation) unrelated to the changed scope, and misuse 'hidden' for sizing-based truncation. Required revisions: (1) rewrite prompt so Old Loans sources from 8) Opening Balance Sheet and the other three from 6) Ca"&amp;"pital, (2) correct input workbook D25=4 and D26=3, (3) add downstream IS/BS/CF integration language to the prompt, (4) specify compounding monthly rate and fixed level amortization methodology in non-formula language, (5) fix Month 36 Cash Flow target to "&amp;"-4678.87 (or move to Month 37 at -3225.17), (6) remove the duplicate Loan Amount perturbation, (7) replace rounded targets with exact raw values, (8) split or drop bundled presentation criteria and remove gridlines check, (9) scope pitfalls to the changed"&amp;"/relevant tabs and replace 'hidden' with 'truncated' for sizing issues.")</f>
        <v>Effective overall score ~68 (re-try needed band). Multiple required caps stack and the lowest binding cap is 80 (Old Loans still described as sourced from the Capital tab in the prompt: 'For each of the four debt instruments, pull the loan amount, interest rate, and term directly from the Capital tab'), while the rubric correctly grades Old Loans from Opening Balance Sheet — a direct prompt/rubric mismatch. Additional caps that apply: input workbook Capital terms were NOT corrected (Mortgage D25=1 and Other Bank Debt D26=1 remain, should be 4 and 3; cap 90), the rubric still uses -3225.17 for Cash Flow repayment at Month 36 when that value is actually Month 37 — the true Month 36 raw value is -4678.87 (cap 88), the duplicate Loan Amount 150,000→180,000 / Net Income Y1 M1 ≈ 2,754 perturbation appears twice (c1549091 and 81476534; cap 92), and downstream Income Statement/Balance Sheet/Cash Flow integration is entirely absent from the prompt but heavily graded in the rubric (cap 85). The prompt also underspecifies compounding monthly rate conversion, fixed level amortization methodology, and the interest/principal/balance row logic, and omits any formatting guidance. Output validation targets use rounded display values (2954.99, 180728.16, 73979.56, 16.61) rather than exact raw values from the workbook. Presentation includes a gridlines-hidden criterion that should be removed and bundles header/fill/border into one stacked check. Pitfalls cover broad inherited tabs (4) Operating Expenses, 9) WACC, Financial Highlights, Sensitivity, Ratio, PD Charts, Valuation) unrelated to the changed scope, and misuse 'hidden' for sizing-based truncation. Required revisions: (1) rewrite prompt so Old Loans sources from 8) Opening Balance Sheet and the other three from 6) Capital, (2) correct input workbook D25=4 and D26=3, (3) add downstream IS/BS/CF integration language to the prompt, (4) specify compounding monthly rate and fixed level amortization methodology in non-formula language, (5) fix Month 36 Cash Flow target to -4678.87 (or move to Month 37 at -3225.17), (6) remove the duplicate Loan Amount perturbation, (7) replace rounded targets with exact raw values, (8) split or drop bundled presentation criteria and remove gridlines check, (9) scope pitfalls to the changed/relevant tabs and replace 'hidden' with 'truncated' for sizing issues.</v>
      </c>
      <c r="AA96" s="43" t="str">
        <f>IFERROR(__xludf.DUMMYFUNCTION("""COMPUTED_VALUE"""),"success")</f>
        <v>success</v>
      </c>
    </row>
    <row r="97">
      <c r="A97" s="110" t="str">
        <f t="shared" si="1"/>
        <v>www.tsip.ai/claim/6d3cd0ec-2c8d-4de3-a2ec-977b59f551da</v>
      </c>
      <c r="B97" s="43" t="str">
        <f>IFERROR(__xludf.DUMMYFUNCTION("""COMPUTED_VALUE"""),"6d3cd0ec-2c8d-4de3-a2ec-977b59f551da")</f>
        <v>6d3cd0ec-2c8d-4de3-a2ec-977b59f551da</v>
      </c>
      <c r="C97" s="43" t="str">
        <f>IFERROR(__xludf.DUMMYFUNCTION("""COMPUTED_VALUE"""),"sheets-training")</f>
        <v>sheets-training</v>
      </c>
      <c r="D97" s="43">
        <f>IFERROR(__xludf.DUMMYFUNCTION("""COMPUTED_VALUE"""),3.0)</f>
        <v>3</v>
      </c>
      <c r="E97" s="43" t="str">
        <f>IFERROR(__xludf.DUMMYFUNCTION("""COMPUTED_VALUE"""),"training_review")</f>
        <v>training_review</v>
      </c>
      <c r="F97" s="43" t="str">
        <f>IFERROR(__xludf.DUMMYFUNCTION("""COMPUTED_VALUE"""),"cb09ba27-c93f-488d-a521-1acfca174929")</f>
        <v>cb09ba27-c93f-488d-a521-1acfca174929</v>
      </c>
      <c r="G97" s="43" t="str">
        <f>IFERROR(__xludf.DUMMYFUNCTION("""COMPUTED_VALUE"""),"NULL")</f>
        <v>NULL</v>
      </c>
      <c r="H97" s="43" t="str">
        <f>IFERROR(__xludf.DUMMYFUNCTION("""COMPUTED_VALUE"""),"""2026-05-21T16:07:20.299Z""")</f>
        <v>"2026-05-21T16:07:20.299Z"</v>
      </c>
      <c r="I97" s="43" t="str">
        <f>IFERROR(__xludf.DUMMYFUNCTION("""COMPUTED_VALUE"""),"NULL")</f>
        <v>NULL</v>
      </c>
      <c r="J97" s="43" t="str">
        <f>IFERROR(__xludf.DUMMYFUNCTION("""COMPUTED_VALUE"""),"NULL")</f>
        <v>NULL</v>
      </c>
      <c r="K97" s="43" t="str">
        <f>IFERROR(__xludf.DUMMYFUNCTION("""COMPUTED_VALUE"""),"""2026-05-20T23:00:23.981Z""")</f>
        <v>"2026-05-20T23:00:23.981Z"</v>
      </c>
      <c r="L97" s="43" t="str">
        <f>IFERROR(__xludf.DUMMYFUNCTION("""COMPUTED_VALUE"""),"""2026-05-21T16:07:20.299Z""")</f>
        <v>"2026-05-21T16:07:20.299Z"</v>
      </c>
      <c r="M97" s="43" t="str">
        <f>IFERROR(__xludf.DUMMYFUNCTION("""COMPUTED_VALUE"""),"9f47fdc9-68f1-43f1-9021-5c4a8143dcd6")</f>
        <v>9f47fdc9-68f1-43f1-9021-5c4a8143dcd6</v>
      </c>
      <c r="N97" s="43" t="str">
        <f>IFERROR(__xludf.DUMMYFUNCTION("""COMPUTED_VALUE"""),"cacf4da3-cd8d-402b-a1e9-f3ad3e7f11bf")</f>
        <v>cacf4da3-cd8d-402b-a1e9-f3ad3e7f11bf</v>
      </c>
      <c r="O97" s="43" t="str">
        <f>IFERROR(__xludf.DUMMYFUNCTION("""COMPUTED_VALUE"""),"{}")</f>
        <v>{}</v>
      </c>
      <c r="P97" s="43" t="str">
        <f>IFERROR(__xludf.DUMMYFUNCTION("""COMPUTED_VALUE"""),"training_review")</f>
        <v>training_review</v>
      </c>
      <c r="Q97" s="43" t="str">
        <f>IFERROR(__xludf.DUMMYFUNCTION("""COMPUTED_VALUE"""),"sheets-training")</f>
        <v>sheets-training</v>
      </c>
      <c r="R97" s="43" t="str">
        <f>IFERROR(__xludf.DUMMYFUNCTION("""COMPUTED_VALUE"""),"I want to fully understand my debt situation. Create a Loan Amortization Schedule on the blank ""Loan Amortization Schedule"" tab for Loan, Mortgage, Other Bank Debt, and Old Loans. Pull the loan amount, annual interest rate, and loan term for each instru"&amp;"ment directly from the Capital tab. Using those inputs, derive the monthly interest rate, total number of monthly payments, and fully amortizing monthly payment amount for each debt instrument.
Build a monthly amortization schedule across the existing fi"&amp;"ve-year model horizon that includes beginning balance, interest expense, principal repayment, total payment, and ending balance for each debt instrument. Ensure balances roll forward between periods and formulas are applied dynamically and consistently ac"&amp;"ross the schedule.
Link interest expense from the Loan Amortization Schedule into the Income Statement dynamically for each corresponding monthly period. Link issuance of debt and debt principal repayments from the Loan Amortization Schedule into the Cas"&amp;"h Flow Statement dynamically for each corresponding monthly period. Link ending debt balances from the Loan Amortization Schedule into the Balance Sheet dynamically for each corresponding monthly period.
Format monthly payment, interest, principal repaym"&amp;"ent, and ending balance values on the Loan Amortization Schedule tab using comma separators and two decimal places. Format the section header labels for each debt instrument on the Loan Amortization Schedule tab using bold text and a light grey background"&amp;" fill. Add bottom borders to the final row of each debt instrument schedule section. Hide gridlines on the Loan Amortization Schedule tab.")</f>
        <v>I want to fully understand my debt situation. Create a Loan Amortization Schedule on the blank "Loan Amortization Schedule" tab for Loan, Mortgage, Other Bank Debt, and Old Loans. Pull the loan amount, annual interest rate, and loan term for each instrument directly from the Capital tab. Using those inputs, derive the monthly interest rate, total number of monthly payments, and fully amortizing monthly payment amount for each debt instrument.
Build a monthly amortization schedule across the existing five-year model horizon that includes beginning balance, interest expense, principal repayment, total payment, and ending balance for each debt instrument. Ensure balances roll forward between periods and formulas are applied dynamically and consistently across the schedule.
Link interest expense from the Loan Amortization Schedule into the Income Statement dynamically for each corresponding monthly period. Link issuance of debt and debt principal repayments from the Loan Amortization Schedule into the Cash Flow Statement dynamically for each corresponding monthly period. Link ending debt balances from the Loan Amortization Schedule into the Balance Sheet dynamically for each corresponding monthly period.
Format monthly payment, interest, principal repayment, and ending balance values on the Loan Amortization Schedule tab using comma separators and two decimal places. Format the section header labels for each debt instrument on the Loan Amortization Schedule tab using bold text and a light grey background fill. Add bottom borders to the final row of each debt instrument schedule section. Hide gridlines on the Loan Amortization Schedule tab.</v>
      </c>
      <c r="S97" s="43" t="str">
        <f>IFERROR(__xludf.DUMMYFUNCTION("""COMPUTED_VALUE"""),"{""sections"":[{""id"":""9b5424af-0d18-4e8f-b596-4013445ba738"",""name"":""Formula Correctness"",""criteria"":[{""id"":""96632561-15c5-4ef5-94b8-b2fe150d79f9"",""points"":2,""question"":""On the Loan Amortization Schedule, is the Loan monthly rate dynamic"&amp;"ally derived from the annual interest rate input on the Capital tab?""},{""id"":""872906b4-894a-43b0-bf76-393d07191492"",""points"":1,""question"":""Is the number of payments for each debt instrument on the Loan Amortization Schedule derived by multiplyin"&amp;"g the term in years from the Capital tab by 12?""},{""id"":""fa6d7872-1b16-46f3-a959-ceb7698c6aaa"",""points"":2,""question"":""Is the Loan monthly payment on the Loan Amortization Schedule derived as a formula-based level payment calculation using the lo"&amp;"an amount, monthly rate, and number of payments (not hardcoded)?""},{""id"":""9a71e0f4-60f6-4e6a-9e74-61f24e8c1317"",""points"":1,""question"":""Is the Mortgage monthly interest on the Loan Amortization Schedule calculated as the prior period ending loan "&amp;"balance multiplied by the monthly rate?""},{""id"":""14c1ba2d-7ee5-468d-808a-b27833c5d252"",""points"":2,""question"":""Is the Other Bank Debt monthly principal on the Loan Amortization Schedule calculated as the monthly payment minus the monthly interest"&amp;"?""},{""id"":""e48105c4-4523-4172-9316-2335a13b21ef"",""points"":2,""question"":""Is the Other Bank Debtloan balance for on the Loan Amortization Schedule calculated as the prior period ending balance minus the current period principal repayment?""},{""id"&amp;""":""6900546f-f070-4d80-a91f-5099bca60f5b"",""points"":1,""question"":""Is the Month 1 loan balance for the Loan section on the Loan Amortization Schedule calculated as the original loan amount minus the Month 1 principal payment?""},{""id"":""435dc1fc-40"&amp;"1f-4619-8bc0-8283d5250a56"",""points"":2,""question"":""Does the Mortgage schedule on the Loan Amortization Schedule correctly produce zero interest, principal, and balance values for months beyond the 48-month term?""},{""id"":""9eb6f1bc-11c3-43a3-ad9e-8"&amp;"85cf287bd16"",""points"":2,""question"":""Does the Other Bank Debt schedule on the Loan Amortization Schedule correctly produce zero interest, principal, and balance values for months beyond the 36-month term?""},{""id"":""13b90c28-2ada-4d3a-9dd2-eda87775"&amp;"88c5"",""points"":2,""question"":""On the Loan Amortization Schedule, is the Mortgage monthly rate dynamically derived from the annual interest rate input on the Capital tab?""},{""id"":""5b0af8f7-b3c5-40f1-9694-d85b9fa97b37"",""points"":2,""question"":"""&amp;"On the Loan Amortization Schedule, is the Other Bank Debt monthly rate dynamically derived from the annual interest rate input on the Capital tab?""},{""id"":""10f8af5e-8a9c-4094-a9f5-fdde37fef0cb"",""points"":2,""question"":""On the Loan Amortization Sch"&amp;"edule, is the Old Loans monthly rate dynamically derived from the annual interest rate input on the Capital tab?""},{""id"":""d2410dd6-064c-4941-9189-b0fb505a735b"",""points"":2,""question"":""Is the interest expense on the monthly Income Statement calcul"&amp;"ated as the sum of interest from all four debt instruments (Loan, Mortgage, Other Bank Debt, and Old Loans) for each corresponding month?""}]},{""id"":""2b29a28a-b99b-4bc3-815a-0607babb78f7"",""name"":""Model Integration"",""criteria"":[{""id"":""1cbba49a"&amp;"-220c-4203-ab1c-3b7d865b09e2"",""points"":4,""question"":""Is repayment of debt on the Cash Flow tab linked dynamically to principal repayment from the Loan Amortization Schedule (not recalculated locally)?""},{""id"":""57011505-4d68-4669-abf2-065243ddc16"&amp;"5"",""points"":4,""question"":""Is interest expense on the Income Statement tab linked to the Loan Amortization Schedule tab via a formula that aggregates interest across all debt instruments (not recalculated locally)?""},{""id"":""96ef90bb-9a49-4363-a05"&amp;"6-3d938de5c7a6"",""points"":4,""question"":""Is the Loans line under long term liabilities on the Balance Sheet tab linked to the Loan Amortization Schedule tab via a formula that aggregates loan balances across all debt instruments (not recalculated loca"&amp;"lly)?""},{""id"":""60957986-d637-4350-941a-8dd25253bab9"",""points"":3,""question"":""Is the number of payments assumption on the Loan Amortization Schedule tab linked to the Capital tab with an arithmetic transformation to convert the loan term to months"&amp;" (not hardcoded)?""},{""id"":""9812721d-f673-4d6b-b3be-17a73098da98"",""points"":2,""question"":""Is the loan amount assumption on the Loan Amortization Schedule tab linked to the Capital tab (not hardcoded)?""},{""id"":""4f8aaf04-6998-4d7a-ac52-ab2995961"&amp;"621"",""points"":2,""question"":""Is the Old Loans loan amount on the Loan Amortization Schedule tab linked to the Opening Balance Sheet tab (not hardcoded)?""}]},{""id"":""22a2cbe6-4a05-4465-bb9b-c8a3367171d7"",""name"":""Output Validation"",""criteria"""&amp;":[{""id"":""e5407077-0743-4e44-9335-82e5e360d1b4"",""points"":3,""question"":""Is the Loan monthly payment assumption on the Loan Amortization Schedule tab within +/- 2% of 2954.99?""},{""id"":""75383165-7a87-49ab-a053-75f68ccc4763"",""points"":4,""questi"&amp;"on"":""Is the Mortgage Loan Balance at Month 24 on the Loan Amortization Schedule tab within +/- 2% of 15443.25?""},{""id"":""371c48cf-2124-4b9f-960d-5b62b2845325"",""points"":4,""question"":""Is the Other Bank Debt Loan Balance at Month 30 on the Loan Am"&amp;"ortization Schedule tab within +/- 2% of 8747.16?""},{""id"":""f6c75ae3-a5bc-4854-9420-e22dee265d6e"",""points"":5,""question"":""Is the Loan balance at Month 12 on the Loan Amortization Schedule tab within +/- 2% of 123916.40?""},{""id"":""eb8b13c0-62f7-"&amp;"4e10-a7b0-5098c416aa5b"",""points"":5,""question"":""Is the Loans line on the Balance Sheet tab at Month 12 within +/- 2% of 180728.16?""},{""id"":""e023e02c-0146-4800-83b0-d28f6798ccfc"",""points"":5,""question"":""Is the Loans line on the Balance Sheet "&amp;"tab at Month 36 within +/- 2% of 73979.56?""},{""id"":""2689e36f-9f4e-4427-acc9-43f49842f4c9"",""points"":5,""question"":""Is the repayment of debt on the Cash Flow tab at Month 36 within +/- 2% of -4,678.87?""},{""id"":""20d5840e-581d-4431-9b00-7b121d6d8"&amp;"953"",""points"":5,""question"":""Is the interest expense on the Income Statement tab at Month 60 within +/- 2% of 16.61?""}]},{""id"":""4010facd-5c5f-4a4a-a676-2ccc78950f18"",""name"":""Perturbation"",""criteria"":[{""id"":""580cf742-18d5-434c-ba02-87c64"&amp;"cb52417"",""points"":5,""question"":""If the Loan Amount on the Capital tab is changed from 150,000 to 180,000, does Net income on the Income Statement tab for Year 1 Month 1 update to within +/- 2% of 2,754?""},{""id"":""e073efeb-0b65-4481-9154-084a3420e"&amp;"38c"",""points"":5,""question"":""If the Loan Interest Rate on the Capital tab is changed from 7% to 10%, does Cash end of year on the Cash Flow tab for Year 1 Month 1 update to within +/- 2% of 133,863?""},{""id"":""74f7af64-ecfc-42dc-8fea-fd2867866f07"""&amp;",""points"":5,""question"":""If the Mortgage Amount on the Capital tab is changed from 30,000 to 50,000, does the Loans balance on the Balance Sheet tab for Year 1 Month 1 update to within +/- 2% of 245,600?""},{""id"":""b8f4ea9e-51fe-4bdb-8d0c-56d7a84511"&amp;"a0"",""points"":5,""question"":""If the Mortgage Term on the Capital tab is changed from 4 years to 6 years, does Cash end of year on the Cash Flow tab for Year 1 Month 12 update to within +/- 2% of 165,367?""},{""id"":""e8297a04-85c7-4049-bbe1-23a4f11f9d"&amp;"b2"",""points"":5,""question"":""If the Other Bank Debt Interest Rate on the Capital tab is changed from 4% to 7%, does Net income on the Income Statement tab for Year 1 Month 12 update to within +/- 2% of 7,413?""},{""id"":""81d00b6a-edd8-4274-9b5e-c0a41"&amp;"810d5ed"",""points"":5,""question"":""If the Other Bank Debt Term on the Capital tab is changed from 3 years to 5 years, does the Loans balance on the Balance Sheet tab for Year 1 Month 12 update to within +/- 2% of 187,514?""}]},{""id"":""a99923b9-1bb7-4"&amp;"d00-8c9a-2f4b9350b9b3"",""name"":""Presentation"",""criteria"":[{""id"":""d84757d5-2149-4c81-aae2-5da0245b6846"",""points"":2,""question"":""Are monthly payment, interest, principal, and balance values formatted with comma separators?""},{""id"":""52655b5"&amp;"c-093d-4ea7-ac9f-b565b94f96fb"",""points"":2,""question"":""Are gridlines hidden on the Loan Amortization Schedule tab, consistent with all other tabs in the model?""},{""id"":""7e2e3e6b-dcba-4fe6-b6ca-52e0df787de1"",""points"":2,""question"":""Are monthl"&amp;"y payment, interest, principal, and balance values formatted with two decimal places?""},{""id"":""a3e6ae34-800f-41ac-8525-e4d81515d102"",""points"":2,""question"":""Are the section header labels for each debt instrument on the Loan Amortization Schedule "&amp;"tab formatted in bold text?""},{""id"":""892102c4-4b6c-4bc7-a137-753eff27e07e"",""points"":2,""question"":""Do the section header rows for each debt instrument on the Loan Amortization Schedule tab use a light grey background fill?""},{""id"":""17cc5dc4-4"&amp;"114-453c-a592-6325ed51648b"",""points"":2,""question"":""Do the final rows of each debt instrument schedule on the Loan Amortization Schedule tab contain bottom borders?""}]},{""id"":""5c2841cf-6c11-43f6-92a1-5a5dfe12ea48"",""name"":""Pitfalls"",""criteri"&amp;"a"":[{""id"":""318924d9-f13c-4b77-9118-5dfb792c4e1b"",""points"":-5,""question"":""Are there any error values (#REF!, #DIV/0!, #VALUE!, #NAME?, #N/A, #NUM!) on the Loan Amortization Schedule, Income Statement, Balance Sheet, or Cash Flow tabs?""},{""id"":"&amp;"""ff912dc4-84df-4a8d-83c0-8901283c71de"",""points"":-3,""question"":""Is any text truncated due to insufficient column widths or row heights on the Loan Amortization Schedule, Income Statement, Balance Sheet, or Cash Flow tabs?""}]}]}")</f>
        <v>{"sections":[{"id":"9b5424af-0d18-4e8f-b596-4013445ba738","name":"Formula Correctness","criteria":[{"id":"96632561-15c5-4ef5-94b8-b2fe150d79f9","points":2,"question":"On the Loan Amortization Schedule, is the Loan monthly rate dynamically derived from the annual interest rate input on the Capital tab?"},{"id":"872906b4-894a-43b0-bf76-393d07191492","points":1,"question":"Is the number of payments for each debt instrument on the Loan Amortization Schedule derived by multiplying the term in years from the Capital tab by 12?"},{"id":"fa6d7872-1b16-46f3-a959-ceb7698c6aaa","points":2,"question":"Is the Loan monthly payment on the Loan Amortization Schedule derived as a formula-based level payment calculation using the loan amount, monthly rate, and number of payments (not hardcoded)?"},{"id":"9a71e0f4-60f6-4e6a-9e74-61f24e8c1317","points":1,"question":"Is the Mortgage monthly interest on the Loan Amortization Schedule calculated as the prior period ending loan balance multiplied by the monthly rate?"},{"id":"14c1ba2d-7ee5-468d-808a-b27833c5d252","points":2,"question":"Is the Other Bank Debt monthly principal on the Loan Amortization Schedule calculated as the monthly payment minus the monthly interest?"},{"id":"e48105c4-4523-4172-9316-2335a13b21ef","points":2,"question":"Is the Other Bank Debtloan balance for on the Loan Amortization Schedule calculated as the prior period ending balance minus the current period principal repayment?"},{"id":"6900546f-f070-4d80-a91f-5099bca60f5b","points":1,"question":"Is the Month 1 loan balance for the Loan section on the Loan Amortization Schedule calculated as the original loan amount minus the Month 1 principal payment?"},{"id":"435dc1fc-401f-4619-8bc0-8283d5250a56","points":2,"question":"Does the Mortgage schedule on the Loan Amortization Schedule correctly produce zero interest, principal, and balance values for months beyond the 48-month term?"},{"id":"9eb6f1bc-11c3-43a3-ad9e-885cf287bd16","points":2,"question":"Does the Other Bank Debt schedule on the Loan Amortization Schedule correctly produce zero interest, principal, and balance values for months beyond the 36-month term?"},{"id":"13b90c28-2ada-4d3a-9dd2-eda8777588c5","points":2,"question":"On the Loan Amortization Schedule, is the Mortgage monthly rate dynamically derived from the annual interest rate input on the Capital tab?"},{"id":"5b0af8f7-b3c5-40f1-9694-d85b9fa97b37","points":2,"question":"On the Loan Amortization Schedule, is the Other Bank Debt monthly rate dynamically derived from the annual interest rate input on the Capital tab?"},{"id":"10f8af5e-8a9c-4094-a9f5-fdde37fef0cb","points":2,"question":"On the Loan Amortization Schedule, is the Old Loans monthly rate dynamically derived from the annual interest rate input on the Capital tab?"},{"id":"d2410dd6-064c-4941-9189-b0fb505a735b","points":2,"question":"Is the interest expense on the monthly Income Statement calculated as the sum of interest from all four debt instruments (Loan, Mortgage, Other Bank Debt, and Old Loans) for each corresponding month?"}]},{"id":"2b29a28a-b99b-4bc3-815a-0607babb78f7","name":"Model Integration","criteria":[{"id":"1cbba49a-220c-4203-ab1c-3b7d865b09e2","points":4,"question":"Is repayment of debt on the Cash Flow tab linked dynamically to principal repayment from the Loan Amortization Schedule (not recalculated locally)?"},{"id":"57011505-4d68-4669-abf2-065243ddc165","points":4,"question":"Is interest expense on the Income Statement tab linked to the Loan Amortization Schedule tab via a formula that aggregates interest across all debt instruments (not recalculated locally)?"},{"id":"96ef90bb-9a49-4363-a056-3d938de5c7a6","points":4,"question":"Is the Loans line under long term liabilities on the Balance Sheet tab linked to the Loan Amortization Schedule tab via a formula that aggregates loan balances across all debt instruments (not recalculated locally)?"},{"id":"60957986-d637-4350-941a-8dd25253bab9","points":3,"question":"Is the number of payments assumption on the Loan Amortization Schedule tab linked to the Capital tab with an arithmetic transformation to convert the loan term to months (not hardcoded)?"},{"id":"9812721d-f673-4d6b-b3be-17a73098da98","points":2,"question":"Is the loan amount assumption on the Loan Amortization Schedule tab linked to the Capital tab (not hardcoded)?"},{"id":"4f8aaf04-6998-4d7a-ac52-ab2995961621","points":2,"question":"Is the Old Loans loan amount on the Loan Amortization Schedule tab linked to the Opening Balance Sheet tab (not hardcoded)?"}]},{"id":"22a2cbe6-4a05-4465-bb9b-c8a3367171d7","name":"Output Validation","criteria":[{"id":"e5407077-0743-4e44-9335-82e5e360d1b4","points":3,"question":"Is the Loan monthly payment assumption on the Loan Amortization Schedule tab within +/- 2% of 2954.99?"},{"id":"75383165-7a87-49ab-a053-75f68ccc4763","points":4,"question":"Is the Mortgage Loan Balance at Month 24 on the Loan Amortization Schedule tab within +/- 2% of 15443.25?"},{"id":"371c48cf-2124-4b9f-960d-5b62b2845325","points":4,"question":"Is the Other Bank Debt Loan Balance at Month 30 on the Loan Amortization Schedule tab within +/- 2% of 8747.16?"},{"id":"f6c75ae3-a5bc-4854-9420-e22dee265d6e","points":5,"question":"Is the Loan balance at Month 12 on the Loan Amortization Schedule tab within +/- 2% of 123916.40?"},{"id":"eb8b13c0-62f7-4e10-a7b0-5098c416aa5b","points":5,"question":"Is the Loans line on the Balance Sheet tab at Month 12 within +/- 2% of 180728.16?"},{"id":"e023e02c-0146-4800-83b0-d28f6798ccfc","points":5,"question":"Is the Loans line on the Balance Sheet tab at Month 36 within +/- 2% of 73979.56?"},{"id":"2689e36f-9f4e-4427-acc9-43f49842f4c9","points":5,"question":"Is the repayment of debt on the Cash Flow tab at Month 36 within +/- 2% of -4,678.87?"},{"id":"20d5840e-581d-4431-9b00-7b121d6d8953","points":5,"question":"Is the interest expense on the Income Statement tab at Month 60 within +/- 2% of 16.61?"}]},{"id":"4010facd-5c5f-4a4a-a676-2ccc78950f18","name":"Perturbation","criteria":[{"id":"580cf742-18d5-434c-ba02-87c64cb52417","points":5,"question":"If the Loan Amount on the Capital tab is changed from 150,000 to 180,000, does Net income on the Income Statement tab for Year 1 Month 1 update to within +/- 2% of 2,754?"},{"id":"e073efeb-0b65-4481-9154-084a3420e38c","points":5,"question":"If the Loan Interest Rate on the Capital tab is changed from 7% to 10%, does Cash end of year on the Cash Flow tab for Year 1 Month 1 update to within +/- 2% of 133,863?"},{"id":"74f7af64-ecfc-42dc-8fea-fd2867866f07","points":5,"question":"If the Mortgage Amount on the Capital tab is changed from 30,000 to 50,000, does the Loans balance on the Balance Sheet tab for Year 1 Month 1 update to within +/- 2% of 245,600?"},{"id":"b8f4ea9e-51fe-4bdb-8d0c-56d7a84511a0","points":5,"question":"If the Mortgage Term on the Capital tab is changed from 4 years to 6 years, does Cash end of year on the Cash Flow tab for Year 1 Month 12 update to within +/- 2% of 165,367?"},{"id":"e8297a04-85c7-4049-bbe1-23a4f11f9db2","points":5,"question":"If the Other Bank Debt Interest Rate on the Capital tab is changed from 4% to 7%, does Net income on the Income Statement tab for Year 1 Month 12 update to within +/- 2% of 7,413?"},{"id":"81d00b6a-edd8-4274-9b5e-c0a41810d5ed","points":5,"question":"If the Other Bank Debt Term on the Capital tab is changed from 3 years to 5 years, does the Loans balance on the Balance Sheet tab for Year 1 Month 12 update to within +/- 2% of 187,514?"}]},{"id":"a99923b9-1bb7-4d00-8c9a-2f4b9350b9b3","name":"Presentation","criteria":[{"id":"d84757d5-2149-4c81-aae2-5da0245b6846","points":2,"question":"Are monthly payment, interest, principal, and balance values formatted with comma separators?"},{"id":"52655b5c-093d-4ea7-ac9f-b565b94f96fb","points":2,"question":"Are gridlines hidden on the Loan Amortization Schedule tab, consistent with all other tabs in the model?"},{"id":"7e2e3e6b-dcba-4fe6-b6ca-52e0df787de1","points":2,"question":"Are monthly payment, interest, principal, and balance values formatted with two decimal places?"},{"id":"a3e6ae34-800f-41ac-8525-e4d81515d102","points":2,"question":"Are the section header labels for each debt instrument on the Loan Amortization Schedule tab formatted in bold text?"},{"id":"892102c4-4b6c-4bc7-a137-753eff27e07e","points":2,"question":"Do the section header rows for each debt instrument on the Loan Amortization Schedule tab use a light grey background fill?"},{"id":"17cc5dc4-4114-453c-a592-6325ed51648b","points":2,"question":"Do the final rows of each debt instrument schedule on the Loan Amortization Schedule tab contain bottom borders?"}]},{"id":"5c2841cf-6c11-43f6-92a1-5a5dfe12ea48","name":"Pitfalls","criteria":[{"id":"318924d9-f13c-4b77-9118-5dfb792c4e1b","points":-5,"question":"Are there any error values (#REF!, #DIV/0!, #VALUE!, #NAME?, #N/A, #NUM!) on the Loan Amortization Schedule, Income Statement, Balance Sheet, or Cash Flow tabs?"},{"id":"ff912dc4-84df-4a8d-83c0-8901283c71de","points":-3,"question":"Is any text truncated due to insufficient column widths or row heights on the Loan Amortization Schedule, Income Statement, Balance Sheet, or Cash Flow tabs?"}]}]}</v>
      </c>
      <c r="T97" s="43" t="str">
        <f>IFERROR(__xludf.DUMMYFUNCTION("""COMPUTED_VALUE"""),"{""rating"":2,""feedback"":""Effective score ~70, decision band re-try needed. The submission has two central, capped defects. First, the revised prompt explicitly instructs the model to pull loan amount, annual interest rate, and term for all four instru"&amp;"ments — including Old Loans — directly from the Capital tab, and the rubric reinforces this by asking whether the Old Loans monthly rate is derived from the Capital tab (criterion 10f8af5e). Per ground truth, Old Loans must source from 8) Opening Balance "&amp;"Sheet, so this is a central source-tab miss that triggers the 80 cap, even though one rubric criterion (4f8aaf04) does correctly ask whether the Old Loans loan amount links to the Opening Balance Sheet — this creates an internal contradiction. Second, the"&amp;" submitted input workbook still has Mortgage term = 1 and Other Bank Debt term = 1 on the 6) Capital tab; these were not corrected to 4 and 3, which independently caps the score at 90. Additional medium issues: methodology in the prompt is underspecified "&amp;"(no compounding-aware annual-to-monthly rate conversion, no explicit statement that interest is computed on the prior period ending balance, that principal equals payment minus interest, or that balances zero after term/payoff); the rubric still includes "&amp;"a gridline-hiding criterion that should be deleted; the Month 24 Mortgage and Month 30 Other Bank Debt validation targets cannot be reconciled against ground truth without recalculation given the uncorrected input terms; and several output-validation targ"&amp;"ets use rounded display values (e.g., 2954.99, 180728.16, -4,678.87, 16.61) rather than exact raw values. Strengths: downstream Income Statement/Balance Sheet/Cash Flow integration is present in both prompt and rubric, the Cash Flow Month 36 target is cor"&amp;"rectly -4,678.87 (no period mismatch), there is no duplicate Loan Amount perturbation, pitfalls are scoped to the relevant tabs, and 'truncated' is used correctly. Required revisions: (1) rewrite the prompt to source Old Loans from 8) Opening Balance Shee"&amp;"t and the other three instruments from 6) Capital; (2) correct rubric criterion 10f8af5e (and any term/payment-months criterion) so Old Loans is graded against Opening Balance Sheet, not Capital; (3) fix the input workbook 6) Capital terms to 5 / 4 / 3; ("&amp;"4) add compounding-aware monthly rate, fixed level amortizing payment, prior-balance interest, principal = payment − interest, and post-term zeroing language to the prompt; (5) replace rounded validation targets with exact raw values and remove the gridli"&amp;"nes criterion.""}")</f>
        <v>{"rating":2,"feedback":"Effective score ~70, decision band re-try needed. The submission has two central, capped defects. First, the revised prompt explicitly instructs the model to pull loan amount, annual interest rate, and term for all four instruments — including Old Loans — directly from the Capital tab, and the rubric reinforces this by asking whether the Old Loans monthly rate is derived from the Capital tab (criterion 10f8af5e). Per ground truth, Old Loans must source from 8) Opening Balance Sheet, so this is a central source-tab miss that triggers the 80 cap, even though one rubric criterion (4f8aaf04) does correctly ask whether the Old Loans loan amount links to the Opening Balance Sheet — this creates an internal contradiction. Second, the submitted input workbook still has Mortgage term = 1 and Other Bank Debt term = 1 on the 6) Capital tab; these were not corrected to 4 and 3, which independently caps the score at 90. Additional medium issues: methodology in the prompt is underspecified (no compounding-aware annual-to-monthly rate conversion, no explicit statement that interest is computed on the prior period ending balance, that principal equals payment minus interest, or that balances zero after term/payoff); the rubric still includes a gridline-hiding criterion that should be deleted; the Month 24 Mortgage and Month 30 Other Bank Debt validation targets cannot be reconciled against ground truth without recalculation given the uncorrected input terms; and several output-validation targets use rounded display values (e.g., 2954.99, 180728.16, -4,678.87, 16.61) rather than exact raw values. Strengths: downstream Income Statement/Balance Sheet/Cash Flow integration is present in both prompt and rubric, the Cash Flow Month 36 target is correctly -4,678.87 (no period mismatch), there is no duplicate Loan Amount perturbation, pitfalls are scoped to the relevant tabs, and 'truncated' is used correctly. Required revisions: (1) rewrite the prompt to source Old Loans from 8) Opening Balance Sheet and the other three instruments from 6) Capital; (2) correct rubric criterion 10f8af5e (and any term/payment-months criterion) so Old Loans is graded against Opening Balance Sheet, not Capital; (3) fix the input workbook 6) Capital terms to 5 / 4 / 3; (4) add compounding-aware monthly rate, fixed level amortizing payment, prior-balance interest, principal = payment − interest, and post-term zeroing language to the prompt; (5) replace rounded validation targets with exact raw values and remove the gridlines criterion."}</v>
      </c>
      <c r="U97"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97" s="110" t="str">
        <f>IFERROR(__xludf.DUMMYFUNCTION("""COMPUTED_VALUE"""),"https://tsipprd.blob.core.windows.net/tsip-files/imports/cb09ba27-c93f-488d-a521-1acfca174929/1779318018594_input.xlsx?sv=2026-02-06&amp;se=2026-05-23T18%3A00%3A06Z&amp;sr=b&amp;sp=r&amp;sig=TqWrbfIQgms5BKiqllBmbEPhbNZsM29drXY7ZiSWaRI%3D")</f>
        <v>https://tsipprd.blob.core.windows.net/tsip-files/imports/cb09ba27-c93f-488d-a521-1acfca174929/1779318018594_input.xlsx?sv=2026-02-06&amp;se=2026-05-23T18%3A00%3A06Z&amp;sr=b&amp;sp=r&amp;sig=TqWrbfIQgms5BKiqllBmbEPhbNZsM29drXY7ZiSWaRI%3D</v>
      </c>
      <c r="W97" s="110" t="str">
        <f>IFERROR(__xludf.DUMMYFUNCTION("""COMPUTED_VALUE"""),"https://tsipprd.blob.core.windows.net/tsip-files/9f47fdc9-68f1-43f1-9021-5c4a8143dcd6/6d3cd0ec-2c8d-4de3-a2ec-977b59f551da/1779379514807_output__1_.xlsx?sv=2026-02-06&amp;se=2026-05-23T18%3A00%3A06Z&amp;sr=b&amp;sp=r&amp;sig=7hnIUqFI3uAHCjQGHVM2wiP7umLvmR8VNcT0l5yNbU4%3D")</f>
        <v>https://tsipprd.blob.core.windows.net/tsip-files/9f47fdc9-68f1-43f1-9021-5c4a8143dcd6/6d3cd0ec-2c8d-4de3-a2ec-977b59f551da/1779379514807_output__1_.xlsx?sv=2026-02-06&amp;se=2026-05-23T18%3A00%3A06Z&amp;sr=b&amp;sp=r&amp;sig=7hnIUqFI3uAHCjQGHVM2wiP7umLvmR8VNcT0l5yNbU4%3D</v>
      </c>
      <c r="X97" s="43" t="str">
        <f>IFERROR(__xludf.DUMMYFUNCTION("""COMPUTED_VALUE"""),"success")</f>
        <v>success</v>
      </c>
      <c r="Y97" s="43">
        <f>IFERROR(__xludf.DUMMYFUNCTION("""COMPUTED_VALUE"""),2.0)</f>
        <v>2</v>
      </c>
      <c r="Z97" s="43" t="str">
        <f>IFERROR(__xludf.DUMMYFUNCTION("""COMPUTED_VALUE"""),"Effective score ~70, decision band re-try needed. The submission has two central, capped defects. First, the revised prompt explicitly instructs the model to pull loan amount, annual interest rate, and term for all four instruments — including Old Loans —"&amp;" directly from the Capital tab, and the rubric reinforces this by asking whether the Old Loans monthly rate is derived from the Capital tab (criterion 10f8af5e). Per ground truth, Old Loans must source from 8) Opening Balance Sheet, so this is a central s"&amp;"ource-tab miss that triggers the 80 cap, even though one rubric criterion (4f8aaf04) does correctly ask whether the Old Loans loan amount links to the Opening Balance Sheet — this creates an internal contradiction. Second, the submitted input workbook sti"&amp;"ll has Mortgage term = 1 and Other Bank Debt term = 1 on the 6) Capital tab; these were not corrected to 4 and 3, which independently caps the score at 90. Additional medium issues: methodology in the prompt is underspecified (no compounding-aware annual-"&amp;"to-monthly rate conversion, no explicit statement that interest is computed on the prior period ending balance, that principal equals payment minus interest, or that balances zero after term/payoff); the rubric still includes a gridline-hiding criterion t"&amp;"hat should be deleted; the Month 24 Mortgage and Month 30 Other Bank Debt validation targets cannot be reconciled against ground truth without recalculation given the uncorrected input terms; and several output-validation targets use rounded display value"&amp;"s (e.g., 2954.99, 180728.16, -4,678.87, 16.61) rather than exact raw values. Strengths: downstream Income Statement/Balance Sheet/Cash Flow integration is present in both prompt and rubric, the Cash Flow Month 36 target is correctly -4,678.87 (no period m"&amp;"ismatch), there is no duplicate Loan Amount perturbation, pitfalls are scoped to the relevant tabs, and 'truncated' is used correctly. Required revisions: (1) rewrite the prompt to source Old Loans from 8) Opening Balance Sheet and the other three instrum"&amp;"ents from 6) Capital; (2) correct rubric criterion 10f8af5e (and any term/payment-months criterion) so Old Loans is graded against Opening Balance Sheet, not Capital; (3) fix the input workbook 6) Capital terms to 5 / 4 / 3; (4) add compounding-aware mont"&amp;"hly rate, fixed level amortizing payment, prior-balance interest, principal = payment − interest, and post-term zeroing language to the prompt; (5) replace rounded validation targets with exact raw values and remove the gridlines criterion.")</f>
        <v>Effective score ~70, decision band re-try needed. The submission has two central, capped defects. First, the revised prompt explicitly instructs the model to pull loan amount, annual interest rate, and term for all four instruments — including Old Loans — directly from the Capital tab, and the rubric reinforces this by asking whether the Old Loans monthly rate is derived from the Capital tab (criterion 10f8af5e). Per ground truth, Old Loans must source from 8) Opening Balance Sheet, so this is a central source-tab miss that triggers the 80 cap, even though one rubric criterion (4f8aaf04) does correctly ask whether the Old Loans loan amount links to the Opening Balance Sheet — this creates an internal contradiction. Second, the submitted input workbook still has Mortgage term = 1 and Other Bank Debt term = 1 on the 6) Capital tab; these were not corrected to 4 and 3, which independently caps the score at 90. Additional medium issues: methodology in the prompt is underspecified (no compounding-aware annual-to-monthly rate conversion, no explicit statement that interest is computed on the prior period ending balance, that principal equals payment minus interest, or that balances zero after term/payoff); the rubric still includes a gridline-hiding criterion that should be deleted; the Month 24 Mortgage and Month 30 Other Bank Debt validation targets cannot be reconciled against ground truth without recalculation given the uncorrected input terms; and several output-validation targets use rounded display values (e.g., 2954.99, 180728.16, -4,678.87, 16.61) rather than exact raw values. Strengths: downstream Income Statement/Balance Sheet/Cash Flow integration is present in both prompt and rubric, the Cash Flow Month 36 target is correctly -4,678.87 (no period mismatch), there is no duplicate Loan Amount perturbation, pitfalls are scoped to the relevant tabs, and 'truncated' is used correctly. Required revisions: (1) rewrite the prompt to source Old Loans from 8) Opening Balance Sheet and the other three instruments from 6) Capital; (2) correct rubric criterion 10f8af5e (and any term/payment-months criterion) so Old Loans is graded against Opening Balance Sheet, not Capital; (3) fix the input workbook 6) Capital terms to 5 / 4 / 3; (4) add compounding-aware monthly rate, fixed level amortizing payment, prior-balance interest, principal = payment − interest, and post-term zeroing language to the prompt; (5) replace rounded validation targets with exact raw values and remove the gridlines criterion.</v>
      </c>
      <c r="AA97" s="43" t="str">
        <f>IFERROR(__xludf.DUMMYFUNCTION("""COMPUTED_VALUE"""),"success")</f>
        <v>success</v>
      </c>
    </row>
    <row r="98">
      <c r="A98" s="110" t="str">
        <f t="shared" si="1"/>
        <v>www.tsip.ai/claim/751bb434-cd06-4b41-b5bf-54b962e71345</v>
      </c>
      <c r="B98" s="43" t="str">
        <f>IFERROR(__xludf.DUMMYFUNCTION("""COMPUTED_VALUE"""),"751bb434-cd06-4b41-b5bf-54b962e71345")</f>
        <v>751bb434-cd06-4b41-b5bf-54b962e71345</v>
      </c>
      <c r="C98" s="43" t="str">
        <f>IFERROR(__xludf.DUMMYFUNCTION("""COMPUTED_VALUE"""),"sheets-training")</f>
        <v>sheets-training</v>
      </c>
      <c r="D98" s="43">
        <f>IFERROR(__xludf.DUMMYFUNCTION("""COMPUTED_VALUE"""),3.0)</f>
        <v>3</v>
      </c>
      <c r="E98" s="43" t="str">
        <f>IFERROR(__xludf.DUMMYFUNCTION("""COMPUTED_VALUE"""),"training_review")</f>
        <v>training_review</v>
      </c>
      <c r="F98" s="43" t="str">
        <f>IFERROR(__xludf.DUMMYFUNCTION("""COMPUTED_VALUE"""),"cb09ba27-c93f-488d-a521-1acfca174929")</f>
        <v>cb09ba27-c93f-488d-a521-1acfca174929</v>
      </c>
      <c r="G98" s="43" t="str">
        <f>IFERROR(__xludf.DUMMYFUNCTION("""COMPUTED_VALUE"""),"NULL")</f>
        <v>NULL</v>
      </c>
      <c r="H98" s="43" t="str">
        <f>IFERROR(__xludf.DUMMYFUNCTION("""COMPUTED_VALUE"""),"""2026-05-20T23:01:40.245Z""")</f>
        <v>"2026-05-20T23:01:40.245Z"</v>
      </c>
      <c r="I98" s="43" t="str">
        <f>IFERROR(__xludf.DUMMYFUNCTION("""COMPUTED_VALUE"""),"NULL")</f>
        <v>NULL</v>
      </c>
      <c r="J98" s="43" t="str">
        <f>IFERROR(__xludf.DUMMYFUNCTION("""COMPUTED_VALUE"""),"""2026-05-20T23:29:05.118Z""")</f>
        <v>"2026-05-20T23:29:05.118Z"</v>
      </c>
      <c r="K98" s="43" t="str">
        <f>IFERROR(__xludf.DUMMYFUNCTION("""COMPUTED_VALUE"""),"""2026-05-20T23:00:23.981Z""")</f>
        <v>"2026-05-20T23:00:23.981Z"</v>
      </c>
      <c r="L98" s="43" t="str">
        <f>IFERROR(__xludf.DUMMYFUNCTION("""COMPUTED_VALUE"""),"""2026-05-20T23:29:05.118Z""")</f>
        <v>"2026-05-20T23:29:05.118Z"</v>
      </c>
      <c r="M98" s="43" t="str">
        <f>IFERROR(__xludf.DUMMYFUNCTION("""COMPUTED_VALUE"""),"NULL")</f>
        <v>NULL</v>
      </c>
      <c r="N98" s="43" t="str">
        <f>IFERROR(__xludf.DUMMYFUNCTION("""COMPUTED_VALUE"""),"cacf4da3-cd8d-402b-a1e9-f3ad3e7f11bf")</f>
        <v>cacf4da3-cd8d-402b-a1e9-f3ad3e7f11bf</v>
      </c>
      <c r="O98" s="43" t="str">
        <f>IFERROR(__xludf.DUMMYFUNCTION("""COMPUTED_VALUE"""),"{}")</f>
        <v>{}</v>
      </c>
      <c r="P98" s="43" t="str">
        <f>IFERROR(__xludf.DUMMYFUNCTION("""COMPUTED_VALUE"""),"training_review")</f>
        <v>training_review</v>
      </c>
      <c r="Q98" s="43" t="str">
        <f>IFERROR(__xludf.DUMMYFUNCTION("""COMPUTED_VALUE"""),"sheets-training")</f>
        <v>sheets-training</v>
      </c>
      <c r="R98"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98" s="43" t="str">
        <f>IFERROR(__xludf.DUMMYFUNCTION("""COMPUTED_VALUE"""),"{""sections"":[{""id"":""a94f6080-6e52-415b-b85a-fbe3cf18805c"",""name"":""Formula Correctness"",""criteria"":[{""id"":""5ff40524-639f-4946-9bfc-904fe9ace4b0"",""points"":2,""question"":""Is the monthly rate for each debt instrument on the Loan Amortizati"&amp;"on Schedule derived by converting the effective annual rate to a monthly rate using the compounding formula ((1+EAR)^(1/12))-1, not simply dividing by 12?""},{""id"":""cde73b3e-f537-4f6d-a2e3-c0ec306534a8"",""points"":1,""question"":""Is the number of pay"&amp;"ments for each debt instrument on the Loan Amortization Schedule derived by multiplying the term in years from the Capital tab by 12?""},{""id"":""e3200776-c114-4ca8-9534-08d2182a4a91"",""points"":2,""question"":""Is the monthly payment for each debt inst"&amp;"rument on the Loan Amortization Schedule derived as a formula-based level payment calculation using the loan amount, monthly rate, and number of payments (not hardcoded)?""},{""id"":""43164f89-e96e-4167-9041-0732dc9b62ed"",""points"":1,""question"":""Is t"&amp;"he monthly interest for each debt instrument on the Loan Amortization Schedule calculated as the prior period ending loan balance multiplied by the monthly rate?""},{""id"":""9893ef55-c46b-4475-b740-260be9f0e010"",""points"":2,""question"":""Is the monthl"&amp;"y principal for each debt instrument on the Loan Amortization Schedule calculated as the monthly payment minus the monthly interest?""},{""id"":""1dc741f5-71d2-423e-a4d4-37b67d8a6872"",""points"":2,""question"":""Is the loan balance for each debt instrume"&amp;"nt on the Loan Amortization Schedule calculated as the prior period ending balance minus the current period principal repayment?""},{""id"":""ed727156-3c21-4611-b5c0-e78274dd73e4"",""points"":1,""question"":""Is the Month 1 loan balance for the Loan secti"&amp;"on on the Loan Amortization Schedule calculated as the original loan amount minus the Month 1 principal payment?""},{""id"":""ff4442c7-a189-4c7d-bdd4-b8815bb066a3"",""points"":2,""question"":""Does the Mortgage schedule on the Loan Amortization Schedule c"&amp;"orrectly produce zero interest, principal, and balance values for months beyond the 48-month term?""},{""id"":""d4c2c95b-31b0-4398-b442-8abd1d18f1fd"",""points"":2,""question"":""Does the Other Bank Debt schedule on the Loan Amortization Schedule correctl"&amp;"y produce zero interest, principal, and balance values for months beyond the 36-month term?""},{""id"":""36444dea-1936-4a08-9fd8-96295130b1e8"",""points"":2,""question"":""Is the interest expense on the monthly Income Statement calculated as the sum of in"&amp;"terest from all four debt instruments (Loan, Mortgage, Other Bank Debt, and Old Loans) for each corresponding month?""},{""id"":""49a6f0f6-55a3-41d8-b8fe-640911d39f71"",""points"":2,""question"":""Is the Earnings before taxes line on the monthly Income St"&amp;"atement derived as EBITDA minus depreciation and amortization expense minus interest expense?""}]},{""id"":""e816880d-c8b7-4303-909c-fbb1f4a3cbde"",""name"":""Model Integration"",""criteria"":[{""id"":""b4f21abe-64c1-413a-b50f-8ec281d7ce12"",""points"":4,"&amp;"""question"":""Is repayment of debt on the Cash Flow tab linked to the Loan Amortization Schedule tab via a formula that aggregates principal repayment across all debt instruments with a sign-flip transformation (not recalculated locally)?""},{""id"":""10"&amp;"bfc7a7-ce76-460b-9796-9c0e12dd0743"",""points"":4,""question"":""Is interest expense on the Income Statement tab linked to the Loan Amortization Schedule tab via a formula that aggregates interest across all debt instruments (not recalculated locally)?""}"&amp;",{""id"":""9627c1a8-93f7-4325-b79a-f2117f2775da"",""points"":4,""question"":""Is the Loans line under long term liabilities on the Balance Sheet tab linked to the Loan Amortization Schedule tab via a formula that aggregates loan balances across all debt i"&amp;"nstruments (not recalculated locally)?""},{""id"":""d1431351-3754-4f4d-ac93-078c911ee53c"",""points"":3,""question"":""Is the number of payments assumption on the Loan Amortization Schedule tab linked to the Capital tab with an arithmetic transformation t"&amp;"o convert the loan term to months (not hardcoded)?""},{""id"":""30d8a093-b77b-4e22-a370-524a0702efba"",""points"":2,""question"":""Is the loan amount assumption on the Loan Amortization Schedule tab linked to the Capital tab (not hardcoded)?""},{""id"":"""&amp;"13f4a385-9030-443c-9353-9ffb4b1bb91b"",""points"":2,""question"":""Is the Old Loans loan amount on the Loan Amortization Schedule tab linked to the Opening Balance Sheet tab (not hardcoded)?""}]},{""id"":""11d874c4-16ab-4792-b5b7-4c3020ed33ad"",""name"":"&amp;"""Output Validation"",""criteria"":[{""id"":""dfdfb542-68f3-4ccd-8078-04456812ec92"",""points"":3,""question"":""Is the Loan monthly payment assumption on the Loan Amortization Schedule tab within +/- 2% of 2954.99?""},{""id"":""a2f5562d-dcec-4006-8da5-ef"&amp;"d70855653e"",""points"":4,""question"":""Is the Mortgage loan balance at Month 24 on the Loan Amortization Schedule tab within +/- 2% of 15443.25?""},{""id"":""e503e32a-11e7-416d-af88-7e56f2634f23"",""points"":4,""question"":""Is the Other Bank Debt loan "&amp;"balance at Month 30 on the Loan Amortization Schedule tab within +/- 2% of 8747.16?""},{""id"":""5472554d-25a1-42a9-bd87-3c37f34feb6e"",""points"":5,""question"":""Is the Loan balance at Month 12 on the Loan Amortization Schedule tab within +/- 2% of 1239"&amp;"16.40?""},{""id"":""aeee3488-f869-4426-8fa1-f8dbe98ceb2a"",""points"":5,""question"":""Is the Loans line on the Balance Sheet tab at Month 12 within +/- 2% of 180728.16?""},{""id"":""f0beab7e-2d38-4d22-bb24-426ed60c7215"",""points"":5,""question"":""Is th"&amp;"e Loans line on the Balance Sheet tab at Month 36 within +/- 2% of 73979.56?""},{""id"":""a06dc0a4-bed0-4069-9004-37ad02ee798c"",""points"":5,""question"":""Is the repayment of debt on the Cash Flow tab at Month 36 within +/- 2% of -3225.17?""},{""id"":"""&amp;"78af4360-c8ac-4acd-a5f5-8d86c96d11f8"",""points"":5,""question"":""Is the interest expense on the Income Statement tab at Month 60 within +/- 2% of 16.61?""}]},{""id"":""3d43e8a8-9996-480f-adf8-70d6845fb14c"",""name"":""Perturbation"",""criteria"":[{""id"&amp;""":""9b22acd2-c46f-470b-85e3-57c39c32fa82"",""points"":5,""question"":""If the Loan Amount on the Capital tab is changed from 150,000 to 180,000, does Net income on the Income Statement tab for Year 1 Month 1 update to within +/- 2% of 2,754?""},{""id"":"&amp;"""5d169e5b-76d6-404f-845b-6acc9c30d36c"",""points"":5,""question"":""If the Loan Interest Rate on the Capital tab is changed from 7% to 10%, does Cash end of year on the Cash Flow tab for Year 1 Month 1 update to within +/- 2% of 133,865?""},{""id"":""9b8"&amp;"08127-5ce6-46d1-a40b-e3323b8e4bbf"",""points"":5,""question"":""If the Mortgage Amount on the Capital tab is changed from 30,000 to 50,000, does the Loans balance on the Balance Sheet tab for Year 1 Month 1 update to within +/- 2% of 245,600?""},{""id"":"&amp;"""875b6818-41da-4abf-9596-06ed7996c74f"",""points"":5,""question"":""If the Mortgage Term on the Capital tab is changed from 4 years to 6 years, does Cash end of year on the Cash Flow tab for Year 1 Month 12 update to within +/- 2% of 165,000?""},{""id"":"&amp;"""7f41613e-c2a7-4699-bf8e-945f328ff0fc"",""points"":5,""question"":""If the Other Bank Debt Interest Rate on the Capital tab is changed from 4% to 7%, does Net income on the Income Statement tab for Year 1 Month 12 update to within +/- 2% of 7,385?""},{"""&amp;"id"":""33b5cc29-b27f-40a2-9969-80cddeac5c2e"",""points"":5,""question"":""If the Other Bank Debt Term on the Capital tab is changed from 3 years to 5 years, does the Loans balance on the Balance Sheet tab for Year 1 Month 12 update to within +/- 2% of 187"&amp;",553?""},{""id"":""234b2b3a-b4bf-495a-ae91-9909317861e6"",""points"":5,""question"":""If the Loan Amount on the Capital tab is changed from 150,000 to 180,000, does Net income on the Income Statement tab for Year 1 Month 1 update to within +/- 2% of 2,754"&amp;"?""}]},{""id"":""7505b2af-cbfe-476e-9130-c368561f9d5b"",""name"":""Presentation"",""criteria"":[{""id"":""20721f0f-0768-4533-942f-f46d68f85cde"",""points"":2,""question"":""Are the monthly payment, interest, principal, and balance values on the Loan Amort"&amp;"ization Schedule formatted with comma separators and two decimal places?""},{""id"":""74d11b1b-a347-42c6-93d2-51f6c7ae7aa9"",""points"":2,""question"":""Are the four debt instrument sections on the Loan Amortization Schedule visually separated with bold s"&amp;"ection header labels, light grey background fill, and bottom borders on the last row of each schedule?""},{""id"":""f960f86a-d913-4b71-92c4-da8a19f3ea36"",""points"":2,""question"":""Are gridlines hidden on the Loan Amortization Schedule tab, consistent w"&amp;"ith all other tabs in the model?""}]},{""id"":""f45dfa3d-9227-46e8-a20f-c256a894da21"",""name"":""Pitfalls"",""criteria"":[{""id"":""122cc653-f641-4759-afcc-92a723415cae"",""points"":-5,""question"":""Are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#NUM!)?""},{""id"":""b1d4e056-de20-440a-95c6-52f9cbd2cb2f"",""points"":-3,""question"":""Is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{"sections":[{"id":"a94f6080-6e52-415b-b85a-fbe3cf18805c","name":"Formula Correctness","criteria":[{"id":"5ff40524-639f-4946-9bfc-904fe9ace4b0","points":2,"question":"Is the monthly rate for each debt instrument on the Loan Amortization Schedule derived by converting the effective annual rate to a monthly rate using the compounding formula ((1+EAR)^(1/12))-1, not simply dividing by 12?"},{"id":"cde73b3e-f537-4f6d-a2e3-c0ec306534a8","points":1,"question":"Is the number of payments for each debt instrument on the Loan Amortization Schedule derived by multiplying the term in years from the Capital tab by 12?"},{"id":"e3200776-c114-4ca8-9534-08d2182a4a91","points":2,"question":"Is the monthly payment for each debt instrument on the Loan Amortization Schedule derived as a formula-based level payment calculation using the loan amount, monthly rate, and number of payments (not hardcoded)?"},{"id":"43164f89-e96e-4167-9041-0732dc9b62ed","points":1,"question":"Is the monthly interest for each debt instrument on the Loan Amortization Schedule calculated as the prior period ending loan balance multiplied by the monthly rate?"},{"id":"9893ef55-c46b-4475-b740-260be9f0e010","points":2,"question":"Is the monthly principal for each debt instrument on the Loan Amortization Schedule calculated as the monthly payment minus the monthly interest?"},{"id":"1dc741f5-71d2-423e-a4d4-37b67d8a6872","points":2,"question":"Is the loan balance for each debt instrument on the Loan Amortization Schedule calculated as the prior period ending balance minus the current period principal repayment?"},{"id":"ed727156-3c21-4611-b5c0-e78274dd73e4","points":1,"question":"Is the Month 1 loan balance for the Loan section on the Loan Amortization Schedule calculated as the original loan amount minus the Month 1 principal payment?"},{"id":"ff4442c7-a189-4c7d-bdd4-b8815bb066a3","points":2,"question":"Does the Mortgage schedule on the Loan Amortization Schedule correctly produce zero interest, principal, and balance values for months beyond the 48-month term?"},{"id":"d4c2c95b-31b0-4398-b442-8abd1d18f1fd","points":2,"question":"Does the Other Bank Debt schedule on the Loan Amortization Schedule correctly produce zero interest, principal, and balance values for months beyond the 36-month term?"},{"id":"36444dea-1936-4a08-9fd8-96295130b1e8","points":2,"question":"Is the interest expense on the monthly Income Statement calculated as the sum of interest from all four debt instruments (Loan, Mortgage, Other Bank Debt, and Old Loans) for each corresponding month?"},{"id":"49a6f0f6-55a3-41d8-b8fe-640911d39f71","points":2,"question":"Is the Earnings before taxes line on the monthly Income Statement derived as EBITDA minus depreciation and amortization expense minus interest expense?"}]},{"id":"e816880d-c8b7-4303-909c-fbb1f4a3cbde","name":"Model Integration","criteria":[{"id":"b4f21abe-64c1-413a-b50f-8ec281d7ce12","points":4,"question":"Is repayment of debt on the Cash Flow tab linked to the Loan Amortization Schedule tab via a formula that aggregates principal repayment across all debt instruments with a sign-flip transformation (not recalculated locally)?"},{"id":"10bfc7a7-ce76-460b-9796-9c0e12dd0743","points":4,"question":"Is interest expense on the Income Statement tab linked to the Loan Amortization Schedule tab via a formula that aggregates interest across all debt instruments (not recalculated locally)?"},{"id":"9627c1a8-93f7-4325-b79a-f2117f2775da","points":4,"question":"Is the Loans line under long term liabilities on the Balance Sheet tab linked to the Loan Amortization Schedule tab via a formula that aggregates loan balances across all debt instruments (not recalculated locally)?"},{"id":"d1431351-3754-4f4d-ac93-078c911ee53c","points":3,"question":"Is the number of payments assumption on the Loan Amortization Schedule tab linked to the Capital tab with an arithmetic transformation to convert the loan term to months (not hardcoded)?"},{"id":"30d8a093-b77b-4e22-a370-524a0702efba","points":2,"question":"Is the loan amount assumption on the Loan Amortization Schedule tab linked to the Capital tab (not hardcoded)?"},{"id":"13f4a385-9030-443c-9353-9ffb4b1bb91b","points":2,"question":"Is the Old Loans loan amount on the Loan Amortization Schedule tab linked to the Opening Balance Sheet tab (not hardcoded)?"}]},{"id":"11d874c4-16ab-4792-b5b7-4c3020ed33ad","name":"Output Validation","criteria":[{"id":"dfdfb542-68f3-4ccd-8078-04456812ec92","points":3,"question":"Is the Loan monthly payment assumption on the Loan Amortization Schedule tab within +/- 2% of 2954.99?"},{"id":"a2f5562d-dcec-4006-8da5-efd70855653e","points":4,"question":"Is the Mortgage loan balance at Month 24 on the Loan Amortization Schedule tab within +/- 2% of 15443.25?"},{"id":"e503e32a-11e7-416d-af88-7e56f2634f23","points":4,"question":"Is the Other Bank Debt loan balance at Month 30 on the Loan Amortization Schedule tab within +/- 2% of 8747.16?"},{"id":"5472554d-25a1-42a9-bd87-3c37f34feb6e","points":5,"question":"Is the Loan balance at Month 12 on the Loan Amortization Schedule tab within +/- 2% of 123916.40?"},{"id":"aeee3488-f869-4426-8fa1-f8dbe98ceb2a","points":5,"question":"Is the Loans line on the Balance Sheet tab at Month 12 within +/- 2% of 180728.16?"},{"id":"f0beab7e-2d38-4d22-bb24-426ed60c7215","points":5,"question":"Is the Loans line on the Balance Sheet tab at Month 36 within +/- 2% of 73979.56?"},{"id":"a06dc0a4-bed0-4069-9004-37ad02ee798c","points":5,"question":"Is the repayment of debt on the Cash Flow tab at Month 36 within +/- 2% of -3225.17?"},{"id":"78af4360-c8ac-4acd-a5f5-8d86c96d11f8","points":5,"question":"Is the interest expense on the Income Statement tab at Month 60 within +/- 2% of 16.61?"}]},{"id":"3d43e8a8-9996-480f-adf8-70d6845fb14c","name":"Perturbation","criteria":[{"id":"9b22acd2-c46f-470b-85e3-57c39c32fa82","points":5,"question":"If the Loan Amount on the Capital tab is changed from 150,000 to 180,000, does Net income on the Income Statement tab for Year 1 Month 1 update to within +/- 2% of 2,754?"},{"id":"5d169e5b-76d6-404f-845b-6acc9c30d36c","points":5,"question":"If the Loan Interest Rate on the Capital tab is changed from 7% to 10%, does Cash end of year on the Cash Flow tab for Year 1 Month 1 update to within +/- 2% of 133,865?"},{"id":"9b808127-5ce6-46d1-a40b-e3323b8e4bbf","points":5,"question":"If the Mortgage Amount on the Capital tab is changed from 30,000 to 50,000, does the Loans balance on the Balance Sheet tab for Year 1 Month 1 update to within +/- 2% of 245,600?"},{"id":"875b6818-41da-4abf-9596-06ed7996c74f","points":5,"question":"If the Mortgage Term on the Capital tab is changed from 4 years to 6 years, does Cash end of year on the Cash Flow tab for Year 1 Month 12 update to within +/- 2% of 165,000?"},{"id":"7f41613e-c2a7-4699-bf8e-945f328ff0fc","points":5,"question":"If the Other Bank Debt Interest Rate on the Capital tab is changed from 4% to 7%, does Net income on the Income Statement tab for Year 1 Month 12 update to within +/- 2% of 7,385?"},{"id":"33b5cc29-b27f-40a2-9969-80cddeac5c2e","points":5,"question":"If the Other Bank Debt Term on the Capital tab is changed from 3 years to 5 years, does the Loans balance on the Balance Sheet tab for Year 1 Month 12 update to within +/- 2% of 187,553?"},{"id":"234b2b3a-b4bf-495a-ae91-9909317861e6","points":5,"question":"If the Loan Amount on the Capital tab is changed from 150,000 to 180,000, does Net income on the Income Statement tab for Year 1 Month 1 update to within +/- 2% of 2,754?"}]},{"id":"7505b2af-cbfe-476e-9130-c368561f9d5b","name":"Presentation","criteria":[{"id":"20721f0f-0768-4533-942f-f46d68f85cde","points":2,"question":"Are the monthly payment, interest, principal, and balance values on the Loan Amortization Schedule formatted with comma separators and two decimal places?"},{"id":"74d11b1b-a347-42c6-93d2-51f6c7ae7aa9","points":2,"question":"Are the four debt instrument sections on the Loan Amortization Schedule visually separated with bold section header labels, light grey background fill, and bottom borders on the last row of each schedule?"},{"id":"f960f86a-d913-4b71-92c4-da8a19f3ea36","points":2,"question":"Are gridlines hidden on the Loan Amortization Schedule tab, consistent with all other tabs in the model?"}]},{"id":"f45dfa3d-9227-46e8-a20f-c256a894da21","name":"Pitfalls","criteria":[{"id":"122cc653-f641-4759-afcc-92a723415cae","points":-5,"question":"Are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#NUM!)?"},{"id":"b1d4e056-de20-440a-95c6-52f9cbd2cb2f","points":-3,"question":"Is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8" s="43" t="str">
        <f>IFERROR(__xludf.DUMMYFUNCTION("""COMPUTED_VALUE"""),"{""rating"":3,""feedback"":""Effective score ~78–80, decision band: missing some items / re-try borderline. Several central defects remain. The prompt explicitly tells the model to pull loan amount, interest rate, and term from the Capital tab 'for each o"&amp;"f the four debt instruments' — Old Loans must source from 8) Opening Balance Sheet, and this misstatement triggers the Old-Loans-from-Capital cap at 80 even though the rubric correctly links Old Loans amount to Opening Balance Sheet (creating a prompt/rub"&amp;"ric contradiction). The submitted input workbook still has Mortgage term = 1 and Other Bank Debt term = 1 on 6) Capital instead of the required 4 and 3 (cap 90). The rubric's Cash Flow repayment Month 36 check still uses -3,225.17, which is the Month 37 v"&amp;"alue; the true Month 36 figure is -4,678.87 (cap 88). The Perturbation section also contains an exact duplicate Loan Amount 150,000→180,000 / Net Income Year 1 Month 1 / 2,754 criterion (IDs 9b22acd2 and 234b2b3a), triggering the duplicate-perturbation ca"&amp;"p at 92. The prompt also omits required downstream integration to Income Statement, Balance Sheet, and Cash Flow, and underspecifies methodology (compounding monthly rate conversion, fixed level payment, interest on prior balance, principal = payment − in"&amp;"terest, balance reduction, term zero-out), while the rubric heavily grades these — a prompt/rubric mismatch. Numeric output-validation targets use rounded values (2954.99, 180728.16, 73979.56, 16.61) rather than the exact raw values. Presentation includes"&amp;" a gridline-hiding criterion that should be dropped, and the Pitfalls tab list is overly broad with inherited-issue tabs (PD Charts, Valuation, Sensitivity, Ratio, Financial Highlights, WACC, Operating Expenses) unrelated to this build. Required revisions"&amp;": fix prompt to state Old Loans assumptions come from 8) Opening Balance Sheet; correct Capital terms to 5/4/3 in the input workbook; replace the Month 36 -3,225.17 target with -4,678.87 (or relabel to Month 37); remove the duplicate Loan-Amount perturbat"&amp;"ion; add downstream Income Statement / Balance Sheet / Cash Flow integration language to the prompt; specify compounding monthly rate, level amortizing payment, interest on prior balance, principal = payment − interest, balance roll-forward, and term-base"&amp;"d zeroing in prose; tighten output-validation values to exact raw figures; drop the gridline criterion and scope Pitfalls to the changed/relevant tabs (6) Capital, 8) Opening Balance Sheet, Loan Amortization Schedule, Income Statement, Balance Sheet, Cash"&amp;" Flow).""}")</f>
        <v>{"rating":3,"feedback":"Effective score ~78–80, decision band: missing some items / re-try borderline. Several central defects remain. The prompt explicitly tells the model to pull loan amount, interest rate, and term from the Capital tab 'for each of the four debt instruments' — Old Loans must source from 8) Opening Balance Sheet, and this misstatement triggers the Old-Loans-from-Capital cap at 80 even though the rubric correctly links Old Loans amount to Opening Balance Sheet (creating a prompt/rubric contradiction). The submitted input workbook still has Mortgage term = 1 and Other Bank Debt term = 1 on 6) Capital instead of the required 4 and 3 (cap 90). The rubric's Cash Flow repayment Month 36 check still uses -3,225.17, which is the Month 37 value; the true Month 36 figure is -4,678.87 (cap 88). The Perturbation section also contains an exact duplicate Loan Amount 150,000→180,000 / Net Income Year 1 Month 1 / 2,754 criterion (IDs 9b22acd2 and 234b2b3a), triggering the duplicate-perturbation cap at 92. The prompt also omits required downstream integration to Income Statement, Balance Sheet, and Cash Flow, and underspecifies methodology (compounding monthly rate conversion, fixed level payment, interest on prior balance, principal = payment − interest, balance reduction, term zero-out), while the rubric heavily grades these — a prompt/rubric mismatch. Numeric output-validation targets use rounded values (2954.99, 180728.16, 73979.56, 16.61) rather than the exact raw values. Presentation includes a gridline-hiding criterion that should be dropped, and the Pitfalls tab list is overly broad with inherited-issue tabs (PD Charts, Valuation, Sensitivity, Ratio, Financial Highlights, WACC, Operating Expenses) unrelated to this build. Required revisions: fix prompt to state Old Loans assumptions come from 8) Opening Balance Sheet; correct Capital terms to 5/4/3 in the input workbook; replace the Month 36 -3,225.17 target with -4,678.87 (or relabel to Month 37); remove the duplicate Loan-Amount perturbation; add downstream Income Statement / Balance Sheet / Cash Flow integration language to the prompt; specify compounding monthly rate, level amortizing payment, interest on prior balance, principal = payment − interest, balance roll-forward, and term-based zeroing in prose; tighten output-validation values to exact raw figures; drop the gridline criterion and scope Pitfalls to the changed/relevant tabs (6) Capital, 8) Opening Balance Sheet, Loan Amortization Schedule, Income Statement, Balance Sheet, Cash Flow)."}</v>
      </c>
      <c r="U98"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98" s="110" t="str">
        <f>IFERROR(__xludf.DUMMYFUNCTION("""COMPUTED_VALUE"""),"https://tsipprd.blob.core.windows.net/tsip-files/imports/cb09ba27-c93f-488d-a521-1acfca174929/1779318018594_input.xlsx?sv=2026-02-06&amp;se=2026-05-23T18%3A00%3A09Z&amp;sr=b&amp;sp=r&amp;sig=iR1TVcLw0tB7Inz4aMqZnJ3GVtJ9LTyT5Erou1emE%2Bo%3D")</f>
        <v>https://tsipprd.blob.core.windows.net/tsip-files/imports/cb09ba27-c93f-488d-a521-1acfca174929/1779318018594_input.xlsx?sv=2026-02-06&amp;se=2026-05-23T18%3A00%3A09Z&amp;sr=b&amp;sp=r&amp;sig=iR1TVcLw0tB7Inz4aMqZnJ3GVtJ9LTyT5Erou1emE%2Bo%3D</v>
      </c>
      <c r="W98" s="110" t="str">
        <f>IFERROR(__xludf.DUMMYFUNCTION("""COMPUTED_VALUE"""),"https://tsipprd.blob.core.windows.net/tsip-files/imports/cb09ba27-c93f-488d-a521-1acfca174929/1779318018349_output.xlsx?sv=2026-02-06&amp;se=2026-05-23T18%3A00%3A09Z&amp;sr=b&amp;sp=r&amp;sig=aQdXiJ10sZV%2Fg7JsuNIihJoRos%2FD5ZKyQ3YYhWheu%2F4%3D")</f>
        <v>https://tsipprd.blob.core.windows.net/tsip-files/imports/cb09ba27-c93f-488d-a521-1acfca174929/1779318018349_output.xlsx?sv=2026-02-06&amp;se=2026-05-23T18%3A00%3A09Z&amp;sr=b&amp;sp=r&amp;sig=aQdXiJ10sZV%2Fg7JsuNIihJoRos%2FD5ZKyQ3YYhWheu%2F4%3D</v>
      </c>
      <c r="X98" s="43" t="str">
        <f>IFERROR(__xludf.DUMMYFUNCTION("""COMPUTED_VALUE"""),"success")</f>
        <v>success</v>
      </c>
      <c r="Y98" s="43">
        <f>IFERROR(__xludf.DUMMYFUNCTION("""COMPUTED_VALUE"""),3.0)</f>
        <v>3</v>
      </c>
      <c r="Z98" s="43" t="str">
        <f>IFERROR(__xludf.DUMMYFUNCTION("""COMPUTED_VALUE"""),"Effective score ~78–80, decision band: missing some items / re-try borderline. Several central defects remain. The prompt explicitly tells the model to pull loan amount, interest rate, and term from the Capital tab 'for each of the four debt instruments' "&amp;"— Old Loans must source from 8) Opening Balance Sheet, and this misstatement triggers the Old-Loans-from-Capital cap at 80 even though the rubric correctly links Old Loans amount to Opening Balance Sheet (creating a prompt/rubric contradiction). The submi"&amp;"tted input workbook still has Mortgage term = 1 and Other Bank Debt term = 1 on 6) Capital instead of the required 4 and 3 (cap 90). The rubric's Cash Flow repayment Month 36 check still uses -3,225.17, which is the Month 37 value; the true Month 36 figur"&amp;"e is -4,678.87 (cap 88). The Perturbation section also contains an exact duplicate Loan Amount 150,000→180,000 / Net Income Year 1 Month 1 / 2,754 criterion (IDs 9b22acd2 and 234b2b3a), triggering the duplicate-perturbation cap at 92. The prompt also omit"&amp;"s required downstream integration to Income Statement, Balance Sheet, and Cash Flow, and underspecifies methodology (compounding monthly rate conversion, fixed level payment, interest on prior balance, principal = payment − interest, balance reduction, te"&amp;"rm zero-out), while the rubric heavily grades these — a prompt/rubric mismatch. Numeric output-validation targets use rounded values (2954.99, 180728.16, 73979.56, 16.61) rather than the exact raw values. Presentation includes a gridline-hiding criterion "&amp;"that should be dropped, and the Pitfalls tab list is overly broad with inherited-issue tabs (PD Charts, Valuation, Sensitivity, Ratio, Financial Highlights, WACC, Operating Expenses) unrelated to this build. Required revisions: fix prompt to state Old Loa"&amp;"ns assumptions come from 8) Opening Balance Sheet; correct Capital terms to 5/4/3 in the input workbook; replace the Month 36 -3,225.17 target with -4,678.87 (or relabel to Month 37); remove the duplicate Loan-Amount perturbation; add downstream Income St"&amp;"atement / Balance Sheet / Cash Flow integration language to the prompt; specify compounding monthly rate, level amortizing payment, interest on prior balance, principal = payment − interest, balance roll-forward, and term-based zeroing in prose; tighten o"&amp;"utput-validation values to exact raw figures; drop the gridline criterion and scope Pitfalls to the changed/relevant tabs (6) Capital, 8) Opening Balance Sheet, Loan Amortization Schedule, Income Statement, Balance Sheet, Cash Flow).")</f>
        <v>Effective score ~78–80, decision band: missing some items / re-try borderline. Several central defects remain. The prompt explicitly tells the model to pull loan amount, interest rate, and term from the Capital tab 'for each of the four debt instruments' — Old Loans must source from 8) Opening Balance Sheet, and this misstatement triggers the Old-Loans-from-Capital cap at 80 even though the rubric correctly links Old Loans amount to Opening Balance Sheet (creating a prompt/rubric contradiction). The submitted input workbook still has Mortgage term = 1 and Other Bank Debt term = 1 on 6) Capital instead of the required 4 and 3 (cap 90). The rubric's Cash Flow repayment Month 36 check still uses -3,225.17, which is the Month 37 value; the true Month 36 figure is -4,678.87 (cap 88). The Perturbation section also contains an exact duplicate Loan Amount 150,000→180,000 / Net Income Year 1 Month 1 / 2,754 criterion (IDs 9b22acd2 and 234b2b3a), triggering the duplicate-perturbation cap at 92. The prompt also omits required downstream integration to Income Statement, Balance Sheet, and Cash Flow, and underspecifies methodology (compounding monthly rate conversion, fixed level payment, interest on prior balance, principal = payment − interest, balance reduction, term zero-out), while the rubric heavily grades these — a prompt/rubric mismatch. Numeric output-validation targets use rounded values (2954.99, 180728.16, 73979.56, 16.61) rather than the exact raw values. Presentation includes a gridline-hiding criterion that should be dropped, and the Pitfalls tab list is overly broad with inherited-issue tabs (PD Charts, Valuation, Sensitivity, Ratio, Financial Highlights, WACC, Operating Expenses) unrelated to this build. Required revisions: fix prompt to state Old Loans assumptions come from 8) Opening Balance Sheet; correct Capital terms to 5/4/3 in the input workbook; replace the Month 36 -3,225.17 target with -4,678.87 (or relabel to Month 37); remove the duplicate Loan-Amount perturbation; add downstream Income Statement / Balance Sheet / Cash Flow integration language to the prompt; specify compounding monthly rate, level amortizing payment, interest on prior balance, principal = payment − interest, balance roll-forward, and term-based zeroing in prose; tighten output-validation values to exact raw figures; drop the gridline criterion and scope Pitfalls to the changed/relevant tabs (6) Capital, 8) Opening Balance Sheet, Loan Amortization Schedule, Income Statement, Balance Sheet, Cash Flow).</v>
      </c>
      <c r="AA98" s="43" t="str">
        <f>IFERROR(__xludf.DUMMYFUNCTION("""COMPUTED_VALUE"""),"success")</f>
        <v>success</v>
      </c>
    </row>
    <row r="99">
      <c r="A99" s="110" t="str">
        <f t="shared" si="1"/>
        <v>www.tsip.ai/claim/f8a8ed3d-7c74-45cf-b9de-9dd2c10bd0d7</v>
      </c>
      <c r="B99" s="43" t="str">
        <f>IFERROR(__xludf.DUMMYFUNCTION("""COMPUTED_VALUE"""),"f8a8ed3d-7c74-45cf-b9de-9dd2c10bd0d7")</f>
        <v>f8a8ed3d-7c74-45cf-b9de-9dd2c10bd0d7</v>
      </c>
      <c r="C99" s="43" t="str">
        <f>IFERROR(__xludf.DUMMYFUNCTION("""COMPUTED_VALUE"""),"sheets-training")</f>
        <v>sheets-training</v>
      </c>
      <c r="D99" s="43">
        <f>IFERROR(__xludf.DUMMYFUNCTION("""COMPUTED_VALUE"""),3.0)</f>
        <v>3</v>
      </c>
      <c r="E99" s="43" t="str">
        <f>IFERROR(__xludf.DUMMYFUNCTION("""COMPUTED_VALUE"""),"training_review")</f>
        <v>training_review</v>
      </c>
      <c r="F99" s="43" t="str">
        <f>IFERROR(__xludf.DUMMYFUNCTION("""COMPUTED_VALUE"""),"cb09ba27-c93f-488d-a521-1acfca174929")</f>
        <v>cb09ba27-c93f-488d-a521-1acfca174929</v>
      </c>
      <c r="G99" s="43" t="str">
        <f>IFERROR(__xludf.DUMMYFUNCTION("""COMPUTED_VALUE"""),"NULL")</f>
        <v>NULL</v>
      </c>
      <c r="H99" s="43" t="str">
        <f>IFERROR(__xludf.DUMMYFUNCTION("""COMPUTED_VALUE"""),"""2026-05-20T23:28:02.811Z""")</f>
        <v>"2026-05-20T23:28:02.811Z"</v>
      </c>
      <c r="I99" s="43" t="str">
        <f>IFERROR(__xludf.DUMMYFUNCTION("""COMPUTED_VALUE"""),"NULL")</f>
        <v>NULL</v>
      </c>
      <c r="J99" s="43" t="str">
        <f>IFERROR(__xludf.DUMMYFUNCTION("""COMPUTED_VALUE"""),"""2026-05-20T23:29:05.118Z""")</f>
        <v>"2026-05-20T23:29:05.118Z"</v>
      </c>
      <c r="K99" s="43" t="str">
        <f>IFERROR(__xludf.DUMMYFUNCTION("""COMPUTED_VALUE"""),"""2026-05-20T23:00:23.981Z""")</f>
        <v>"2026-05-20T23:00:23.981Z"</v>
      </c>
      <c r="L99" s="43" t="str">
        <f>IFERROR(__xludf.DUMMYFUNCTION("""COMPUTED_VALUE"""),"""2026-05-20T23:29:05.118Z""")</f>
        <v>"2026-05-20T23:29:05.118Z"</v>
      </c>
      <c r="M99" s="43" t="str">
        <f>IFERROR(__xludf.DUMMYFUNCTION("""COMPUTED_VALUE"""),"700b3d35-181d-41d3-9eda-5bae243ee865")</f>
        <v>700b3d35-181d-41d3-9eda-5bae243ee865</v>
      </c>
      <c r="N99" s="43" t="str">
        <f>IFERROR(__xludf.DUMMYFUNCTION("""COMPUTED_VALUE"""),"cacf4da3-cd8d-402b-a1e9-f3ad3e7f11bf")</f>
        <v>cacf4da3-cd8d-402b-a1e9-f3ad3e7f11bf</v>
      </c>
      <c r="O99" s="43" t="str">
        <f>IFERROR(__xludf.DUMMYFUNCTION("""COMPUTED_VALUE"""),"{}")</f>
        <v>{}</v>
      </c>
      <c r="P99" s="43" t="str">
        <f>IFERROR(__xludf.DUMMYFUNCTION("""COMPUTED_VALUE"""),"training_review")</f>
        <v>training_review</v>
      </c>
      <c r="Q99" s="43" t="str">
        <f>IFERROR(__xludf.DUMMYFUNCTION("""COMPUTED_VALUE"""),"sheets-training")</f>
        <v>sheets-training</v>
      </c>
      <c r="R9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
test test")</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
test test</v>
      </c>
      <c r="S99" s="43" t="str">
        <f>IFERROR(__xludf.DUMMYFUNCTION("""COMPUTED_VALUE"""),"{""sections"":[{""id"":""ad739582-b8ab-4d16-bfce-4c4ef23a2d40"",""name"":""Formula Correctness"",""criteria"":[{""id"":""10e0c8bd-199f-48df-a595-403ec0ffb17a"",""points"":2,""question"":""Is the monthly rate for each debt instrument on the Loan Amortizati"&amp;"on Schedule derived by converting the effective annual rate to a monthly rate using the compounding formula ((1+EAR)^(1/12))-1, not simply dividing by 12?""},{""id"":""422b15f1-6668-480c-988c-57cf4c830759"",""points"":1,""question"":""Is the number of pay"&amp;"ments for each debt instrument on the Loan Amortization Schedule derived by multiplying the term in years from the Capital tab by 12?""},{""id"":""3fea80c4-0b0d-4850-b041-fc6f4b45396a"",""points"":2,""question"":""Is the monthly payment for each debt inst"&amp;"rument on the Loan Amortization Schedule derived as a formula-based level payment calculation using the loan amount, monthly rate, and number of payments (not hardcoded)?""},{""id"":""7fe41fcb-4a63-480b-9b77-09f9ffdb5b92"",""points"":1,""question"":""Is t"&amp;"he monthly interest for each debt instrument on the Loan Amortization Schedule calculated as the prior period ending loan balance multiplied by the monthly rate?""},{""id"":""e8759b68-5094-4de7-94dc-20774f758876"",""points"":2,""question"":""Is the monthl"&amp;"y principal for each debt instrument on the Loan Amortization Schedule calculated as the monthly payment minus the monthly interest?""},{""id"":""d6af27e5-468a-488b-ab6e-20a1292dc016"",""points"":2,""question"":""Is the loan balance for each debt instrume"&amp;"nt on the Loan Amortization Schedule calculated as the prior period ending balance minus the current period principal repayment?""},{""id"":""a517efe5-0cbe-4521-8e5c-44f2608e1819"",""points"":1,""question"":""Is the Month 1 loan balance for the Loan secti"&amp;"on on the Loan Amortization Schedule calculated as the original loan amount minus the Month 1 principal payment?""},{""id"":""c4913dc7-88b6-4efe-adc1-b96a317dabe4"",""points"":2,""question"":""Does the Mortgage schedule on the Loan Amortization Schedule c"&amp;"orrectly produce zero interest, principal, and balance values for months beyond the 48-month term?""},{""id"":""4887c9e8-b5ba-44c5-a174-d8fe48fe4835"",""points"":2,""question"":""Does the Other Bank Debt schedule on the Loan Amortization Schedule correctl"&amp;"y produce zero interest, principal, and balance values for months beyond the 36-month term?""},{""id"":""f22135f2-6d32-4675-af92-dd8480e30baf"",""points"":2,""question"":""Is the interest expense on the monthly Income Statement calculated as the sum of in"&amp;"terest from all four debt instruments (Loan, Mortgage, Other Bank Debt, and Old Loans) for each corresponding month?""},{""id"":""035104dd-a4b7-4436-935a-5b0b0ed259f1"",""points"":2,""question"":""Is the Earnings before taxes line on the monthly Income St"&amp;"atement derived as EBITDA minus depreciation and amortization expense minus interest expense?""}]},{""id"":""0d547735-3001-449e-8881-f04939896805"",""name"":""Model Integration"",""criteria"":[{""id"":""e35f2fe9-95d9-4ffa-beec-d1227815013e"",""points"":4,"&amp;"""question"":""Is repayment of debt on the Cash Flow tab linked to the Loan Amortization Schedule tab via a formula that aggregates principal repayment across all debt instruments with a sign-flip transformation (not recalculated locally)?""},{""id"":""a8"&amp;"f4dcd3-e976-481d-bf79-a990caed8442"",""points"":4,""question"":""Is interest expense on the Income Statement tab linked to the Loan Amortization Schedule tab via a formula that aggregates interest across all debt instruments (not recalculated locally)?""}"&amp;",{""id"":""45de4d43-da22-421e-bf1e-2f891ddcc9a6"",""points"":4,""question"":""Is the Loans line under long term liabilities on the Balance Sheet tab linked to the Loan Amortization Schedule tab via a formula that aggregates loan balances across all debt i"&amp;"nstruments (not recalculated locally)?""},{""id"":""f9822eae-ad4d-4b64-b37a-2b7b11b2cccc"",""points"":3,""question"":""Is the number of payments assumption on the Loan Amortization Schedule tab linked to the Capital tab with an arithmetic transformation t"&amp;"o convert the loan term to months (not hardcoded)?""},{""id"":""8d06a7ef-85ea-4931-b469-361fc10605da"",""points"":2,""question"":""Is the loan amount assumption on the Loan Amortization Schedule tab linked to the Capital tab (not hardcoded)?""},{""id"":"""&amp;"c72fccdc-1e0f-4b62-b91a-22cdf975cbda"",""points"":2,""question"":""Is the Old Loans loan amount on the Loan Amortization Schedule tab linked to the Opening Balance Sheet tab (not hardcoded)?""}]},{""id"":""1f573bae-0584-421f-9bd8-4a3e1c77509f"",""name"":"&amp;"""Output Validation"",""criteria"":[{""id"":""1ac2445d-73ce-42dd-9ab6-4e1c9d127b9e"",""points"":3,""question"":""Is the Loan monthly payment assumption on the Loan Amortization Schedule tab within +/- 2% of 2954.99?""},{""id"":""52a7fa40-1080-4af4-a0d5-f4"&amp;"45f7271ffc"",""points"":4,""question"":""Is the Mortgage loan balance at Month 24 on the Loan Amortization Schedule tab within +/- 2% of 15443.25?""},{""id"":""1eba8797-61d3-432b-802f-3fba78d25f57"",""points"":4,""question"":""Is the Other Bank Debt loan "&amp;"balance at Month 30 on the Loan Amortization Schedule tab within +/- 2% of 8747.16?""},{""id"":""2e1bfa09-a775-4326-853e-340d11fd25a1"",""points"":5,""question"":""Is the Loan balance at Month 12 on the Loan Amortization Schedule tab within +/- 2% of 1239"&amp;"16.40?""},{""id"":""037b51e2-5237-4a24-b2e4-4e0dbdd2501c"",""points"":5,""question"":""Is the Loans line on the Balance Sheet tab at Month 12 within +/- 2% of 180728.16?""},{""id"":""8457e375-2ad6-4f22-a5eb-7798519f78dc"",""points"":5,""question"":""Is th"&amp;"e Loans line on the Balance Sheet tab at Month 36 within +/- 2% of 73979.56?""},{""id"":""a3fbc267-53c1-458e-80ee-2f99402bc840"",""points"":5,""question"":""Is the repayment of debt on the Cash Flow tab at Month 36 within +/- 2% of -3225.17?""},{""id"":"""&amp;"a0df43b4-d716-4e3b-baf7-12201b9a0fcd"",""points"":5,""question"":""Is the interest expense on the Income Statement tab at Month 60 within +/- 2% of 16.61?""}]},{""id"":""7cf9f949-ac67-47a2-81b8-2ec94a0f2a2d"",""name"":""Perturbation"",""criteria"":[{""id"&amp;""":""13964d25-3080-48ce-9b88-18332429e93a"",""points"":5,""question"":""If the Loan Amount on the Capital tab is changed from 150,000 to 180,000, does Net income on the Income Statement tab for Year 1 Month 1 update to within +/- 2% of 2,754?""},{""id"":"&amp;"""61cc3a8f-69cf-4ee7-9147-ae08f284360d"",""points"":5,""question"":""If the Loan Interest Rate on the Capital tab is changed from 7% to 10%, does Cash end of year on the Cash Flow tab for Year 1 Month 1 update to within +/- 2% of 133,865?""},{""id"":""e97"&amp;"f25d1-aabd-468f-8c81-7cb3c1c09199"",""points"":5,""question"":""If the Mortgage Amount on the Capital tab is changed from 30,000 to 50,000, does the Loans balance on the Balance Sheet tab for Year 1 Month 1 update to within +/- 2% of 245,600?""},{""id"":"&amp;"""c08d8ae1-3404-4876-af78-d92f4d395606"",""points"":5,""question"":""If the Mortgage Term on the Capital tab is changed from 4 years to 6 years, does Cash end of year on the Cash Flow tab for Year 1 Month 12 update to within +/- 2% of 165,000?""},{""id"":"&amp;"""b4a7abed-550e-4a7e-9f8f-0af9fbd962a1"",""points"":5,""question"":""If the Other Bank Debt Interest Rate on the Capital tab is changed from 4% to 7%, does Net income on the Income Statement tab for Year 1 Month 12 update to within +/- 2% of 7,385?""},{"""&amp;"id"":""2c32804c-c34f-4d68-a0e2-a236c7a6b8bc"",""points"":5,""question"":""If the Other Bank Debt Term on the Capital tab is changed from 3 years to 5 years, does the Loans balance on the Balance Sheet tab for Year 1 Month 12 update to within +/- 2% of 187"&amp;",553?""},{""id"":""18ddc3e9-caa9-454f-9b75-7677cdaa1083"",""points"":5,""question"":""If the Loan Amount on the Capital tab is changed from 150,000 to 180,000, does Net income on the Income Statement tab for Year 1 Month 1 update to within +/- 2% of 2,754"&amp;"?""}]},{""id"":""310431c5-f154-470d-9387-30d4bcfeba60"",""name"":""Presentation"",""criteria"":[{""id"":""9b3f80f1-42b9-482d-8315-da846b2daacc"",""points"":2,""question"":""Are the monthly payment, interest, principal, and balance values on the Loan Amort"&amp;"ization Schedule formatted with comma separators and two decimal places?""},{""id"":""b64ef200-d4d1-48fa-a9d9-dc1c0c7e68ac"",""points"":2,""question"":""Are the four debt instrument sections on the Loan Amortization Schedule visually separated with bold s"&amp;"ection header labels, light grey background fill, and bottom borders on the last row of each schedule?""},{""id"":""45b8553e-0bf4-426a-9a4e-b661fd6caf63"",""points"":2,""question"":""Are gridlines hidden on the Loan Amortization Schedule tab, consistent w"&amp;"ith all other tabs in the model?""}]},{""id"":""8e5f80de-71fd-4a76-9491-add379e6b40c"",""name"":""Pitfalls"",""criteria"":[{""id"":""2586c158-e9ac-43e9-9bca-9379a01bfd08"",""points"":-5,""question"":""Are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#NUM!)?""},{""id"":""af7fbce7-281e-4701-873a-82d252a6d19c"",""points"":-3,""question"":""Is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{"sections":[{"id":"ad739582-b8ab-4d16-bfce-4c4ef23a2d40","name":"Formula Correctness","criteria":[{"id":"10e0c8bd-199f-48df-a595-403ec0ffb17a","points":2,"question":"Is the monthly rate for each debt instrument on the Loan Amortization Schedule derived by converting the effective annual rate to a monthly rate using the compounding formula ((1+EAR)^(1/12))-1, not simply dividing by 12?"},{"id":"422b15f1-6668-480c-988c-57cf4c830759","points":1,"question":"Is the number of payments for each debt instrument on the Loan Amortization Schedule derived by multiplying the term in years from the Capital tab by 12?"},{"id":"3fea80c4-0b0d-4850-b041-fc6f4b45396a","points":2,"question":"Is the monthly payment for each debt instrument on the Loan Amortization Schedule derived as a formula-based level payment calculation using the loan amount, monthly rate, and number of payments (not hardcoded)?"},{"id":"7fe41fcb-4a63-480b-9b77-09f9ffdb5b92","points":1,"question":"Is the monthly interest for each debt instrument on the Loan Amortization Schedule calculated as the prior period ending loan balance multiplied by the monthly rate?"},{"id":"e8759b68-5094-4de7-94dc-20774f758876","points":2,"question":"Is the monthly principal for each debt instrument on the Loan Amortization Schedule calculated as the monthly payment minus the monthly interest?"},{"id":"d6af27e5-468a-488b-ab6e-20a1292dc016","points":2,"question":"Is the loan balance for each debt instrument on the Loan Amortization Schedule calculated as the prior period ending balance minus the current period principal repayment?"},{"id":"a517efe5-0cbe-4521-8e5c-44f2608e1819","points":1,"question":"Is the Month 1 loan balance for the Loan section on the Loan Amortization Schedule calculated as the original loan amount minus the Month 1 principal payment?"},{"id":"c4913dc7-88b6-4efe-adc1-b96a317dabe4","points":2,"question":"Does the Mortgage schedule on the Loan Amortization Schedule correctly produce zero interest, principal, and balance values for months beyond the 48-month term?"},{"id":"4887c9e8-b5ba-44c5-a174-d8fe48fe4835","points":2,"question":"Does the Other Bank Debt schedule on the Loan Amortization Schedule correctly produce zero interest, principal, and balance values for months beyond the 36-month term?"},{"id":"f22135f2-6d32-4675-af92-dd8480e30baf","points":2,"question":"Is the interest expense on the monthly Income Statement calculated as the sum of interest from all four debt instruments (Loan, Mortgage, Other Bank Debt, and Old Loans) for each corresponding month?"},{"id":"035104dd-a4b7-4436-935a-5b0b0ed259f1","points":2,"question":"Is the Earnings before taxes line on the monthly Income Statement derived as EBITDA minus depreciation and amortization expense minus interest expense?"}]},{"id":"0d547735-3001-449e-8881-f04939896805","name":"Model Integration","criteria":[{"id":"e35f2fe9-95d9-4ffa-beec-d1227815013e","points":4,"question":"Is repayment of debt on the Cash Flow tab linked to the Loan Amortization Schedule tab via a formula that aggregates principal repayment across all debt instruments with a sign-flip transformation (not recalculated locally)?"},{"id":"a8f4dcd3-e976-481d-bf79-a990caed8442","points":4,"question":"Is interest expense on the Income Statement tab linked to the Loan Amortization Schedule tab via a formula that aggregates interest across all debt instruments (not recalculated locally)?"},{"id":"45de4d43-da22-421e-bf1e-2f891ddcc9a6","points":4,"question":"Is the Loans line under long term liabilities on the Balance Sheet tab linked to the Loan Amortization Schedule tab via a formula that aggregates loan balances across all debt instruments (not recalculated locally)?"},{"id":"f9822eae-ad4d-4b64-b37a-2b7b11b2cccc","points":3,"question":"Is the number of payments assumption on the Loan Amortization Schedule tab linked to the Capital tab with an arithmetic transformation to convert the loan term to months (not hardcoded)?"},{"id":"8d06a7ef-85ea-4931-b469-361fc10605da","points":2,"question":"Is the loan amount assumption on the Loan Amortization Schedule tab linked to the Capital tab (not hardcoded)?"},{"id":"c72fccdc-1e0f-4b62-b91a-22cdf975cbda","points":2,"question":"Is the Old Loans loan amount on the Loan Amortization Schedule tab linked to the Opening Balance Sheet tab (not hardcoded)?"}]},{"id":"1f573bae-0584-421f-9bd8-4a3e1c77509f","name":"Output Validation","criteria":[{"id":"1ac2445d-73ce-42dd-9ab6-4e1c9d127b9e","points":3,"question":"Is the Loan monthly payment assumption on the Loan Amortization Schedule tab within +/- 2% of 2954.99?"},{"id":"52a7fa40-1080-4af4-a0d5-f445f7271ffc","points":4,"question":"Is the Mortgage loan balance at Month 24 on the Loan Amortization Schedule tab within +/- 2% of 15443.25?"},{"id":"1eba8797-61d3-432b-802f-3fba78d25f57","points":4,"question":"Is the Other Bank Debt loan balance at Month 30 on the Loan Amortization Schedule tab within +/- 2% of 8747.16?"},{"id":"2e1bfa09-a775-4326-853e-340d11fd25a1","points":5,"question":"Is the Loan balance at Month 12 on the Loan Amortization Schedule tab within +/- 2% of 123916.40?"},{"id":"037b51e2-5237-4a24-b2e4-4e0dbdd2501c","points":5,"question":"Is the Loans line on the Balance Sheet tab at Month 12 within +/- 2% of 180728.16?"},{"id":"8457e375-2ad6-4f22-a5eb-7798519f78dc","points":5,"question":"Is the Loans line on the Balance Sheet tab at Month 36 within +/- 2% of 73979.56?"},{"id":"a3fbc267-53c1-458e-80ee-2f99402bc840","points":5,"question":"Is the repayment of debt on the Cash Flow tab at Month 36 within +/- 2% of -3225.17?"},{"id":"a0df43b4-d716-4e3b-baf7-12201b9a0fcd","points":5,"question":"Is the interest expense on the Income Statement tab at Month 60 within +/- 2% of 16.61?"}]},{"id":"7cf9f949-ac67-47a2-81b8-2ec94a0f2a2d","name":"Perturbation","criteria":[{"id":"13964d25-3080-48ce-9b88-18332429e93a","points":5,"question":"If the Loan Amount on the Capital tab is changed from 150,000 to 180,000, does Net income on the Income Statement tab for Year 1 Month 1 update to within +/- 2% of 2,754?"},{"id":"61cc3a8f-69cf-4ee7-9147-ae08f284360d","points":5,"question":"If the Loan Interest Rate on the Capital tab is changed from 7% to 10%, does Cash end of year on the Cash Flow tab for Year 1 Month 1 update to within +/- 2% of 133,865?"},{"id":"e97f25d1-aabd-468f-8c81-7cb3c1c09199","points":5,"question":"If the Mortgage Amount on the Capital tab is changed from 30,000 to 50,000, does the Loans balance on the Balance Sheet tab for Year 1 Month 1 update to within +/- 2% of 245,600?"},{"id":"c08d8ae1-3404-4876-af78-d92f4d395606","points":5,"question":"If the Mortgage Term on the Capital tab is changed from 4 years to 6 years, does Cash end of year on the Cash Flow tab for Year 1 Month 12 update to within +/- 2% of 165,000?"},{"id":"b4a7abed-550e-4a7e-9f8f-0af9fbd962a1","points":5,"question":"If the Other Bank Debt Interest Rate on the Capital tab is changed from 4% to 7%, does Net income on the Income Statement tab for Year 1 Month 12 update to within +/- 2% of 7,385?"},{"id":"2c32804c-c34f-4d68-a0e2-a236c7a6b8bc","points":5,"question":"If the Other Bank Debt Term on the Capital tab is changed from 3 years to 5 years, does the Loans balance on the Balance Sheet tab for Year 1 Month 12 update to within +/- 2% of 187,553?"},{"id":"18ddc3e9-caa9-454f-9b75-7677cdaa1083","points":5,"question":"If the Loan Amount on the Capital tab is changed from 150,000 to 180,000, does Net income on the Income Statement tab for Year 1 Month 1 update to within +/- 2% of 2,754?"}]},{"id":"310431c5-f154-470d-9387-30d4bcfeba60","name":"Presentation","criteria":[{"id":"9b3f80f1-42b9-482d-8315-da846b2daacc","points":2,"question":"Are the monthly payment, interest, principal, and balance values on the Loan Amortization Schedule formatted with comma separators and two decimal places?"},{"id":"b64ef200-d4d1-48fa-a9d9-dc1c0c7e68ac","points":2,"question":"Are the four debt instrument sections on the Loan Amortization Schedule visually separated with bold section header labels, light grey background fill, and bottom borders on the last row of each schedule?"},{"id":"45b8553e-0bf4-426a-9a4e-b661fd6caf63","points":2,"question":"Are gridlines hidden on the Loan Amortization Schedule tab, consistent with all other tabs in the model?"}]},{"id":"8e5f80de-71fd-4a76-9491-add379e6b40c","name":"Pitfalls","criteria":[{"id":"2586c158-e9ac-43e9-9bca-9379a01bfd08","points":-5,"question":"Are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#NUM!)?"},{"id":"af7fbce7-281e-4701-873a-82d252a6d19c","points":-3,"question":"Is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99" s="43" t="str">
        <f>IFERROR(__xludf.DUMMYFUNCTION("""COMPUTED_VALUE"""),"{""rating"":2,""feedback"":""Effective overall score around 55/100, decision band re-try needed. The submitted prompt is materially incomplete and contains stray 'test test' text: it incorrectly says all four debt instruments (including Old Loans) source "&amp;"from 6) Capital instead of pulling Old Loans assumptions from 8) Opening Balance Sheet, omits any mention of downstream integration into the Income Statement, Balance Sheet, and Cash Flow, underspecifies the methodology (no compounding-aware monthly rate "&amp;"conversion, no fixed level amortizing payment, no statement that interest equals prior-period ending balance times the monthly rate, no payoff/term zeroing), and provides no formatting guidance. The submitted input workbook still has Mortgage Term=1 and O"&amp;"ther Bank Debt Term=1 on 6) Capital instead of the required 4 and 3 (the output/golden workbook does show 5/4/3), which by itself caps the overall score at 90. The rubric still uses the period-mismatched -3225.17 Cash Flow repayment target at Month 36 (th"&amp;"at value is the Month 37 figure; the true Month 36 value is roughly -4678.87), which caps at 88, and it contains a literal duplicate perturbation (Loan Amount 150,000 to 180,000 → Net Income Year 1 Month 1 ≈ 2,754 appears twice as 13964d25 and 18ddc3e9), "&amp;"which caps at 92. The rubric also grades downstream Income Statement/Balance Sheet/Cash Flow linkage that the prompt never requests (prompt/rubric mismatch), keeps a gridlines-hidden presentation check, and uses broad pitfall sweeps across many unrelated "&amp;"tabs (4) Operating Expenses, 9) WACC, Financial Highlights, Sensitivity Analysis, Ratio Analysis, PD Charts, Valuation) rather than scoping to the tabs actually changed. Required revisions: remove the 'test test' filler and rewrite the prompt to explicitl"&amp;"y source Old Loans from 8) Opening Balance Sheet while Loan/Mortgage/Other Bank Debt come from 6) Capital, specify compounding monthly rate conversion and a fixed level amortizing payment with interest on prior balance and principal = payment − interest a"&amp;"nd term/payoff zeroing, add Income Statement interest, Balance Sheet Loans, and Cash Flow issuance/repayment linkage requirements, and add material formatting guidance; correct the input workbook Capital terms to 5/4/3; in the rubric either move the -3225"&amp;".17 target to Month 37 or replace with the true raw Month 36 value (~-4678.868767), delete the duplicate Loan-Amount perturbation, use exact raw target values (e.g., 2954.985953, 180728.157517, 73979.560146, 16.613982) instead of rounded display values, a"&amp;"dd a criterion that Old Loans rate/term sourcing comes from 8) Opening Balance Sheet rather than Capital, drop the gridlines check, scope pitfalls to the actually relevant tabs (6) Capital, 8) Opening Balance Sheet, Loan Amortization Schedule, Income Stat"&amp;"ement, Balance Sheet, Cash Flow), and split bundled presentation criteria.""}")</f>
        <v>{"rating":2,"feedback":"Effective overall score around 55/100, decision band re-try needed. The submitted prompt is materially incomplete and contains stray 'test test' text: it incorrectly says all four debt instruments (including Old Loans) source from 6) Capital instead of pulling Old Loans assumptions from 8) Opening Balance Sheet, omits any mention of downstream integration into the Income Statement, Balance Sheet, and Cash Flow, underspecifies the methodology (no compounding-aware monthly rate conversion, no fixed level amortizing payment, no statement that interest equals prior-period ending balance times the monthly rate, no payoff/term zeroing), and provides no formatting guidance. The submitted input workbook still has Mortgage Term=1 and Other Bank Debt Term=1 on 6) Capital instead of the required 4 and 3 (the output/golden workbook does show 5/4/3), which by itself caps the overall score at 90. The rubric still uses the period-mismatched -3225.17 Cash Flow repayment target at Month 36 (that value is the Month 37 figure; the true Month 36 value is roughly -4678.87), which caps at 88, and it contains a literal duplicate perturbation (Loan Amount 150,000 to 180,000 → Net Income Year 1 Month 1 ≈ 2,754 appears twice as 13964d25 and 18ddc3e9), which caps at 92. The rubric also grades downstream Income Statement/Balance Sheet/Cash Flow linkage that the prompt never requests (prompt/rubric mismatch), keeps a gridlines-hidden presentation check, and uses broad pitfall sweeps across many unrelated tabs (4) Operating Expenses, 9) WACC, Financial Highlights, Sensitivity Analysis, Ratio Analysis, PD Charts, Valuation) rather than scoping to the tabs actually changed. Required revisions: remove the 'test test' filler and rewrite the prompt to explicitly source Old Loans from 8) Opening Balance Sheet while Loan/Mortgage/Other Bank Debt come from 6) Capital, specify compounding monthly rate conversion and a fixed level amortizing payment with interest on prior balance and principal = payment − interest and term/payoff zeroing, add Income Statement interest, Balance Sheet Loans, and Cash Flow issuance/repayment linkage requirements, and add material formatting guidance; correct the input workbook Capital terms to 5/4/3; in the rubric either move the -3225.17 target to Month 37 or replace with the true raw Month 36 value (~-4678.868767), delete the duplicate Loan-Amount perturbation, use exact raw target values (e.g., 2954.985953, 180728.157517, 73979.560146, 16.613982) instead of rounded display values, add a criterion that Old Loans rate/term sourcing comes from 8) Opening Balance Sheet rather than Capital, drop the gridlines check, scope pitfalls to the actually relevant tabs (6) Capital, 8) Opening Balance Sheet, Loan Amortization Schedule, Income Statement, Balance Sheet, Cash Flow), and split bundled presentation criteria."}</v>
      </c>
      <c r="U99"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99" s="110" t="str">
        <f>IFERROR(__xludf.DUMMYFUNCTION("""COMPUTED_VALUE"""),"https://tsipprd.blob.core.windows.net/tsip-files/imports/cb09ba27-c93f-488d-a521-1acfca174929/1779318018594_input.xlsx?sv=2026-02-06&amp;se=2026-05-23T18%3A00%3A09Z&amp;sr=b&amp;sp=r&amp;sig=iR1TVcLw0tB7Inz4aMqZnJ3GVtJ9LTyT5Erou1emE%2Bo%3D")</f>
        <v>https://tsipprd.blob.core.windows.net/tsip-files/imports/cb09ba27-c93f-488d-a521-1acfca174929/1779318018594_input.xlsx?sv=2026-02-06&amp;se=2026-05-23T18%3A00%3A09Z&amp;sr=b&amp;sp=r&amp;sig=iR1TVcLw0tB7Inz4aMqZnJ3GVtJ9LTyT5Erou1emE%2Bo%3D</v>
      </c>
      <c r="W99" s="110" t="str">
        <f>IFERROR(__xludf.DUMMYFUNCTION("""COMPUTED_VALUE"""),"https://tsipprd.blob.core.windows.net/tsip-files/imports/cb09ba27-c93f-488d-a521-1acfca174929/1779318018349_output.xlsx?sv=2026-02-06&amp;se=2026-05-23T18%3A00%3A09Z&amp;sr=b&amp;sp=r&amp;sig=aQdXiJ10sZV%2Fg7JsuNIihJoRos%2FD5ZKyQ3YYhWheu%2F4%3D")</f>
        <v>https://tsipprd.blob.core.windows.net/tsip-files/imports/cb09ba27-c93f-488d-a521-1acfca174929/1779318018349_output.xlsx?sv=2026-02-06&amp;se=2026-05-23T18%3A00%3A09Z&amp;sr=b&amp;sp=r&amp;sig=aQdXiJ10sZV%2Fg7JsuNIihJoRos%2FD5ZKyQ3YYhWheu%2F4%3D</v>
      </c>
      <c r="X99" s="43" t="str">
        <f>IFERROR(__xludf.DUMMYFUNCTION("""COMPUTED_VALUE"""),"success")</f>
        <v>success</v>
      </c>
      <c r="Y99" s="43">
        <f>IFERROR(__xludf.DUMMYFUNCTION("""COMPUTED_VALUE"""),2.0)</f>
        <v>2</v>
      </c>
      <c r="Z99" s="43" t="str">
        <f>IFERROR(__xludf.DUMMYFUNCTION("""COMPUTED_VALUE"""),"Effective overall score around 55/100, decision band re-try needed. The submitted prompt is materially incomplete and contains stray 'test test' text: it incorrectly says all four debt instruments (including Old Loans) source from 6) Capital instead of pu"&amp;"lling Old Loans assumptions from 8) Opening Balance Sheet, omits any mention of downstream integration into the Income Statement, Balance Sheet, and Cash Flow, underspecifies the methodology (no compounding-aware monthly rate conversion, no fixed level am"&amp;"ortizing payment, no statement that interest equals prior-period ending balance times the monthly rate, no payoff/term zeroing), and provides no formatting guidance. The submitted input workbook still has Mortgage Term=1 and Other Bank Debt Term=1 on 6) C"&amp;"apital instead of the required 4 and 3 (the output/golden workbook does show 5/4/3), which by itself caps the overall score at 90. The rubric still uses the period-mismatched -3225.17 Cash Flow repayment target at Month 36 (that value is the Month 37 figu"&amp;"re; the true Month 36 value is roughly -4678.87), which caps at 88, and it contains a literal duplicate perturbation (Loan Amount 150,000 to 180,000 → Net Income Year 1 Month 1 ≈ 2,754 appears twice as 13964d25 and 18ddc3e9), which caps at 92. The rubric "&amp;"also grades downstream Income Statement/Balance Sheet/Cash Flow linkage that the prompt never requests (prompt/rubric mismatch), keeps a gridlines-hidden presentation check, and uses broad pitfall sweeps across many unrelated tabs (4) Operating Expenses, "&amp;"9) WACC, Financial Highlights, Sensitivity Analysis, Ratio Analysis, PD Charts, Valuation) rather than scoping to the tabs actually changed. Required revisions: remove the 'test test' filler and rewrite the prompt to explicitly source Old Loans from 8) Op"&amp;"ening Balance Sheet while Loan/Mortgage/Other Bank Debt come from 6) Capital, specify compounding monthly rate conversion and a fixed level amortizing payment with interest on prior balance and principal = payment − interest and term/payoff zeroing, add I"&amp;"ncome Statement interest, Balance Sheet Loans, and Cash Flow issuance/repayment linkage requirements, and add material formatting guidance; correct the input workbook Capital terms to 5/4/3; in the rubric either move the -3225.17 target to Month 37 or rep"&amp;"lace with the true raw Month 36 value (~-4678.868767), delete the duplicate Loan-Amount perturbation, use exact raw target values (e.g., 2954.985953, 180728.157517, 73979.560146, 16.613982) instead of rounded display values, add a criterion that Old Loans"&amp;" rate/term sourcing comes from 8) Opening Balance Sheet rather than Capital, drop the gridlines check, scope pitfalls to the actually relevant tabs (6) Capital, 8) Opening Balance Sheet, Loan Amortization Schedule, Income Statement, Balance Sheet, Cash Fl"&amp;"ow), and split bundled presentation criteria.")</f>
        <v>Effective overall score around 55/100, decision band re-try needed. The submitted prompt is materially incomplete and contains stray 'test test' text: it incorrectly says all four debt instruments (including Old Loans) source from 6) Capital instead of pulling Old Loans assumptions from 8) Opening Balance Sheet, omits any mention of downstream integration into the Income Statement, Balance Sheet, and Cash Flow, underspecifies the methodology (no compounding-aware monthly rate conversion, no fixed level amortizing payment, no statement that interest equals prior-period ending balance times the monthly rate, no payoff/term zeroing), and provides no formatting guidance. The submitted input workbook still has Mortgage Term=1 and Other Bank Debt Term=1 on 6) Capital instead of the required 4 and 3 (the output/golden workbook does show 5/4/3), which by itself caps the overall score at 90. The rubric still uses the period-mismatched -3225.17 Cash Flow repayment target at Month 36 (that value is the Month 37 figure; the true Month 36 value is roughly -4678.87), which caps at 88, and it contains a literal duplicate perturbation (Loan Amount 150,000 to 180,000 → Net Income Year 1 Month 1 ≈ 2,754 appears twice as 13964d25 and 18ddc3e9), which caps at 92. The rubric also grades downstream Income Statement/Balance Sheet/Cash Flow linkage that the prompt never requests (prompt/rubric mismatch), keeps a gridlines-hidden presentation check, and uses broad pitfall sweeps across many unrelated tabs (4) Operating Expenses, 9) WACC, Financial Highlights, Sensitivity Analysis, Ratio Analysis, PD Charts, Valuation) rather than scoping to the tabs actually changed. Required revisions: remove the 'test test' filler and rewrite the prompt to explicitly source Old Loans from 8) Opening Balance Sheet while Loan/Mortgage/Other Bank Debt come from 6) Capital, specify compounding monthly rate conversion and a fixed level amortizing payment with interest on prior balance and principal = payment − interest and term/payoff zeroing, add Income Statement interest, Balance Sheet Loans, and Cash Flow issuance/repayment linkage requirements, and add material formatting guidance; correct the input workbook Capital terms to 5/4/3; in the rubric either move the -3225.17 target to Month 37 or replace with the true raw Month 36 value (~-4678.868767), delete the duplicate Loan-Amount perturbation, use exact raw target values (e.g., 2954.985953, 180728.157517, 73979.560146, 16.613982) instead of rounded display values, add a criterion that Old Loans rate/term sourcing comes from 8) Opening Balance Sheet rather than Capital, drop the gridlines check, scope pitfalls to the actually relevant tabs (6) Capital, 8) Opening Balance Sheet, Loan Amortization Schedule, Income Statement, Balance Sheet, Cash Flow), and split bundled presentation criteria.</v>
      </c>
      <c r="AA99" s="43" t="str">
        <f>IFERROR(__xludf.DUMMYFUNCTION("""COMPUTED_VALUE"""),"success")</f>
        <v>success</v>
      </c>
    </row>
    <row r="100">
      <c r="A100" s="110" t="str">
        <f t="shared" si="1"/>
        <v>www.tsip.ai/claim/605053db-cfdd-4b95-9484-aa07b268091a</v>
      </c>
      <c r="B100" s="43" t="str">
        <f>IFERROR(__xludf.DUMMYFUNCTION("""COMPUTED_VALUE"""),"605053db-cfdd-4b95-9484-aa07b268091a")</f>
        <v>605053db-cfdd-4b95-9484-aa07b268091a</v>
      </c>
      <c r="C100" s="43" t="str">
        <f>IFERROR(__xludf.DUMMYFUNCTION("""COMPUTED_VALUE"""),"sheets-training")</f>
        <v>sheets-training</v>
      </c>
      <c r="D100" s="43">
        <f>IFERROR(__xludf.DUMMYFUNCTION("""COMPUTED_VALUE"""),3.0)</f>
        <v>3</v>
      </c>
      <c r="E100" s="43" t="str">
        <f>IFERROR(__xludf.DUMMYFUNCTION("""COMPUTED_VALUE"""),"training_review")</f>
        <v>training_review</v>
      </c>
      <c r="F100" s="43" t="str">
        <f>IFERROR(__xludf.DUMMYFUNCTION("""COMPUTED_VALUE"""),"cb09ba27-c93f-488d-a521-1acfca174929")</f>
        <v>cb09ba27-c93f-488d-a521-1acfca174929</v>
      </c>
      <c r="G100" s="43" t="str">
        <f>IFERROR(__xludf.DUMMYFUNCTION("""COMPUTED_VALUE"""),"NULL")</f>
        <v>NULL</v>
      </c>
      <c r="H100" s="43" t="str">
        <f>IFERROR(__xludf.DUMMYFUNCTION("""COMPUTED_VALUE"""),"""2026-05-21T14:02:29.173Z""")</f>
        <v>"2026-05-21T14:02:29.173Z"</v>
      </c>
      <c r="I100" s="43" t="str">
        <f>IFERROR(__xludf.DUMMYFUNCTION("""COMPUTED_VALUE"""),"NULL")</f>
        <v>NULL</v>
      </c>
      <c r="J100" s="43" t="str">
        <f>IFERROR(__xludf.DUMMYFUNCTION("""COMPUTED_VALUE"""),"NULL")</f>
        <v>NULL</v>
      </c>
      <c r="K100" s="43" t="str">
        <f>IFERROR(__xludf.DUMMYFUNCTION("""COMPUTED_VALUE"""),"""2026-05-20T23:00:23.981Z""")</f>
        <v>"2026-05-20T23:00:23.981Z"</v>
      </c>
      <c r="L100" s="43" t="str">
        <f>IFERROR(__xludf.DUMMYFUNCTION("""COMPUTED_VALUE"""),"""2026-05-21T14:02:29.173Z""")</f>
        <v>"2026-05-21T14:02:29.173Z"</v>
      </c>
      <c r="M100" s="43" t="str">
        <f>IFERROR(__xludf.DUMMYFUNCTION("""COMPUTED_VALUE"""),"3d8c7583-3bd7-40ad-b63e-202ddf2da8dc")</f>
        <v>3d8c7583-3bd7-40ad-b63e-202ddf2da8dc</v>
      </c>
      <c r="N100" s="43" t="str">
        <f>IFERROR(__xludf.DUMMYFUNCTION("""COMPUTED_VALUE"""),"cacf4da3-cd8d-402b-a1e9-f3ad3e7f11bf")</f>
        <v>cacf4da3-cd8d-402b-a1e9-f3ad3e7f11bf</v>
      </c>
      <c r="O100" s="43" t="str">
        <f>IFERROR(__xludf.DUMMYFUNCTION("""COMPUTED_VALUE"""),"{}")</f>
        <v>{}</v>
      </c>
      <c r="P100" s="43" t="str">
        <f>IFERROR(__xludf.DUMMYFUNCTION("""COMPUTED_VALUE"""),"training_review")</f>
        <v>training_review</v>
      </c>
      <c r="Q100" s="43" t="str">
        <f>IFERROR(__xludf.DUMMYFUNCTION("""COMPUTED_VALUE"""),"sheets-training")</f>
        <v>sheets-training</v>
      </c>
      <c r="R100"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100"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0"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100"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00" s="110" t="str">
        <f>IFERROR(__xludf.DUMMYFUNCTION("""COMPUTED_VALUE"""),"https://tsipprd.blob.core.windows.net/tsip-files/3d8c7583-3bd7-40ad-b63e-202ddf2da8dc/605053db-cfdd-4b95-9484-aa07b268091a/1779371958046_meridian_2f6c9c82-25de-4eeb-b1cd-f762a1ab5947_input_workbook__1_.xlsx?sv=2026-02-06&amp;se=2026-05-23T18%3A15%3A01Z&amp;sr=b&amp;s"&amp;"p=r&amp;sig=BriiNfOYvaQ4EOuHZGe2WLlY%2Fd2nJnUO1idTSUmGBS8%3D")</f>
        <v>https://tsipprd.blob.core.windows.net/tsip-files/3d8c7583-3bd7-40ad-b63e-202ddf2da8dc/605053db-cfdd-4b95-9484-aa07b268091a/1779371958046_meridian_2f6c9c82-25de-4eeb-b1cd-f762a1ab5947_input_workbook__1_.xlsx?sv=2026-02-06&amp;se=2026-05-23T18%3A15%3A01Z&amp;sr=b&amp;sp=r&amp;sig=BriiNfOYvaQ4EOuHZGe2WLlY%2Fd2nJnUO1idTSUmGBS8%3D</v>
      </c>
      <c r="W100" s="110" t="str">
        <f>IFERROR(__xludf.DUMMYFUNCTION("""COMPUTED_VALUE"""),"https://tsipprd.blob.core.windows.net/tsip-files/3d8c7583-3bd7-40ad-b63e-202ddf2da8dc/605053db-cfdd-4b95-9484-aa07b268091a/1779371966454_meridian_2f6c9c82-25de-4eeb-b1cd-f762a1ab5947_output_workbook__1_.xlsx?sv=2026-02-06&amp;se=2026-05-23T18%3A15%3A01Z&amp;sr=b&amp;"&amp;"sp=r&amp;sig=nck6ZPECFp9DGfHm5NEex8UKn0J4LjZPJ5alOofRDVY%3D")</f>
        <v>https://tsipprd.blob.core.windows.net/tsip-files/3d8c7583-3bd7-40ad-b63e-202ddf2da8dc/605053db-cfdd-4b95-9484-aa07b268091a/1779371966454_meridian_2f6c9c82-25de-4eeb-b1cd-f762a1ab5947_output_workbook__1_.xlsx?sv=2026-02-06&amp;se=2026-05-23T18%3A15%3A01Z&amp;sr=b&amp;sp=r&amp;sig=nck6ZPECFp9DGfHm5NEex8UKn0J4LjZPJ5alOofRDVY%3D</v>
      </c>
      <c r="X100" s="43" t="str">
        <f>IFERROR(__xludf.DUMMYFUNCTION("""COMPUTED_VALUE"""),"success")</f>
        <v>success</v>
      </c>
      <c r="Y100" s="43">
        <f>IFERROR(__xludf.DUMMYFUNCTION("""COMPUTED_VALUE"""),2.0)</f>
        <v>2</v>
      </c>
      <c r="Z100"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100" s="43" t="str">
        <f>IFERROR(__xludf.DUMMYFUNCTION("""COMPUTED_VALUE"""),"success")</f>
        <v>success</v>
      </c>
    </row>
    <row r="101">
      <c r="A101" s="110" t="str">
        <f t="shared" si="1"/>
        <v>www.tsip.ai/claim/1c8f6062-9e4e-4485-9f8c-7107b036222c</v>
      </c>
      <c r="B101" s="43" t="str">
        <f>IFERROR(__xludf.DUMMYFUNCTION("""COMPUTED_VALUE"""),"1c8f6062-9e4e-4485-9f8c-7107b036222c")</f>
        <v>1c8f6062-9e4e-4485-9f8c-7107b036222c</v>
      </c>
      <c r="C101" s="43" t="str">
        <f>IFERROR(__xludf.DUMMYFUNCTION("""COMPUTED_VALUE"""),"sheets-training")</f>
        <v>sheets-training</v>
      </c>
      <c r="D101" s="43">
        <f>IFERROR(__xludf.DUMMYFUNCTION("""COMPUTED_VALUE"""),3.0)</f>
        <v>3</v>
      </c>
      <c r="E101" s="43" t="str">
        <f>IFERROR(__xludf.DUMMYFUNCTION("""COMPUTED_VALUE"""),"training_review")</f>
        <v>training_review</v>
      </c>
      <c r="F101" s="43" t="str">
        <f>IFERROR(__xludf.DUMMYFUNCTION("""COMPUTED_VALUE"""),"cb09ba27-c93f-488d-a521-1acfca174929")</f>
        <v>cb09ba27-c93f-488d-a521-1acfca174929</v>
      </c>
      <c r="G101" s="43" t="str">
        <f>IFERROR(__xludf.DUMMYFUNCTION("""COMPUTED_VALUE"""),"NULL")</f>
        <v>NULL</v>
      </c>
      <c r="H101" s="43" t="str">
        <f>IFERROR(__xludf.DUMMYFUNCTION("""COMPUTED_VALUE"""),"""2026-05-20T22:38:16.156Z""")</f>
        <v>"2026-05-20T22:38:16.156Z"</v>
      </c>
      <c r="I101" s="43" t="str">
        <f>IFERROR(__xludf.DUMMYFUNCTION("""COMPUTED_VALUE"""),"NULL")</f>
        <v>NULL</v>
      </c>
      <c r="J101" s="43" t="str">
        <f>IFERROR(__xludf.DUMMYFUNCTION("""COMPUTED_VALUE"""),"""2026-05-20T22:59:43.420Z""")</f>
        <v>"2026-05-20T22:59:43.420Z"</v>
      </c>
      <c r="K101" s="43" t="str">
        <f>IFERROR(__xludf.DUMMYFUNCTION("""COMPUTED_VALUE"""),"""2026-05-20T22:35:21.497Z""")</f>
        <v>"2026-05-20T22:35:21.497Z"</v>
      </c>
      <c r="L101" s="43" t="str">
        <f>IFERROR(__xludf.DUMMYFUNCTION("""COMPUTED_VALUE"""),"""2026-05-20T22:59:43.420Z""")</f>
        <v>"2026-05-20T22:59:43.420Z"</v>
      </c>
      <c r="M101" s="43" t="str">
        <f>IFERROR(__xludf.DUMMYFUNCTION("""COMPUTED_VALUE"""),"e7175f74-f5c9-41f7-9c77-dc3be8341fbf")</f>
        <v>e7175f74-f5c9-41f7-9c77-dc3be8341fbf</v>
      </c>
      <c r="N101" s="43" t="str">
        <f>IFERROR(__xludf.DUMMYFUNCTION("""COMPUTED_VALUE"""),"cacf4da3-cd8d-402b-a1e9-f3ad3e7f11bf")</f>
        <v>cacf4da3-cd8d-402b-a1e9-f3ad3e7f11bf</v>
      </c>
      <c r="O101" s="43" t="str">
        <f>IFERROR(__xludf.DUMMYFUNCTION("""COMPUTED_VALUE"""),"{}")</f>
        <v>{}</v>
      </c>
      <c r="P101" s="43" t="str">
        <f>IFERROR(__xludf.DUMMYFUNCTION("""COMPUTED_VALUE"""),"training_review")</f>
        <v>training_review</v>
      </c>
      <c r="Q101" s="43" t="str">
        <f>IFERROR(__xludf.DUMMYFUNCTION("""COMPUTED_VALUE"""),"sheets-training")</f>
        <v>sheets-training</v>
      </c>
      <c r="R101"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01"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1"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01" s="43" t="str">
        <f>IFERROR(__xludf.DUMMYFUNCTION("""COMPUTED_VALUE"""),"train yourself!")</f>
        <v>train yourself!</v>
      </c>
      <c r="V101" s="110" t="str">
        <f>IFERROR(__xludf.DUMMYFUNCTION("""COMPUTED_VALUE"""),"https://tsipprd.blob.core.windows.net/tsip-files/imports/cb09ba27-c93f-488d-a521-1acfca174929/1779316481981_input.xlsx?sv=2026-02-06&amp;se=2026-05-23T18%3A15%3A01Z&amp;sr=b&amp;sp=r&amp;sig=5VM3rPn2neyreO3TaDhtNDjF2aoq%2BIgeXrqjXg%2F8GPY%3D")</f>
        <v>https://tsipprd.blob.core.windows.net/tsip-files/imports/cb09ba27-c93f-488d-a521-1acfca174929/1779316481981_input.xlsx?sv=2026-02-06&amp;se=2026-05-23T18%3A15%3A01Z&amp;sr=b&amp;sp=r&amp;sig=5VM3rPn2neyreO3TaDhtNDjF2aoq%2BIgeXrqjXg%2F8GPY%3D</v>
      </c>
      <c r="W101" s="110" t="str">
        <f>IFERROR(__xludf.DUMMYFUNCTION("""COMPUTED_VALUE"""),"https://tsipprd.blob.core.windows.net/tsip-files/imports/cb09ba27-c93f-488d-a521-1acfca174929/1779316482562_output.xlsx?sv=2026-02-06&amp;se=2026-05-23T18%3A15%3A01Z&amp;sr=b&amp;sp=r&amp;sig=kpUeR4GhXrINPJH5wXGwshoP38LSESDFCUFNEi%2Bq8dE%3D")</f>
        <v>https://tsipprd.blob.core.windows.net/tsip-files/imports/cb09ba27-c93f-488d-a521-1acfca174929/1779316482562_output.xlsx?sv=2026-02-06&amp;se=2026-05-23T18%3A15%3A01Z&amp;sr=b&amp;sp=r&amp;sig=kpUeR4GhXrINPJH5wXGwshoP38LSESDFCUFNEi%2Bq8dE%3D</v>
      </c>
      <c r="X101" s="43" t="str">
        <f>IFERROR(__xludf.DUMMYFUNCTION("""COMPUTED_VALUE"""),"success")</f>
        <v>success</v>
      </c>
      <c r="Y101" s="43">
        <f>IFERROR(__xludf.DUMMYFUNCTION("""COMPUTED_VALUE"""),2.0)</f>
        <v>2</v>
      </c>
      <c r="Z101"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01" s="43" t="str">
        <f>IFERROR(__xludf.DUMMYFUNCTION("""COMPUTED_VALUE"""),"success")</f>
        <v>success</v>
      </c>
    </row>
    <row r="102">
      <c r="A102" s="110" t="str">
        <f t="shared" si="1"/>
        <v>www.tsip.ai/claim/605053db-cfdd-4b95-9484-aa07b268091a</v>
      </c>
      <c r="B102" s="43" t="str">
        <f>IFERROR(__xludf.DUMMYFUNCTION("""COMPUTED_VALUE"""),"605053db-cfdd-4b95-9484-aa07b268091a")</f>
        <v>605053db-cfdd-4b95-9484-aa07b268091a</v>
      </c>
      <c r="C102" s="43" t="str">
        <f>IFERROR(__xludf.DUMMYFUNCTION("""COMPUTED_VALUE"""),"sheets-training")</f>
        <v>sheets-training</v>
      </c>
      <c r="D102" s="43">
        <f>IFERROR(__xludf.DUMMYFUNCTION("""COMPUTED_VALUE"""),3.0)</f>
        <v>3</v>
      </c>
      <c r="E102" s="43" t="str">
        <f>IFERROR(__xludf.DUMMYFUNCTION("""COMPUTED_VALUE"""),"training_review")</f>
        <v>training_review</v>
      </c>
      <c r="F102" s="43" t="str">
        <f>IFERROR(__xludf.DUMMYFUNCTION("""COMPUTED_VALUE"""),"cb09ba27-c93f-488d-a521-1acfca174929")</f>
        <v>cb09ba27-c93f-488d-a521-1acfca174929</v>
      </c>
      <c r="G102" s="43" t="str">
        <f>IFERROR(__xludf.DUMMYFUNCTION("""COMPUTED_VALUE"""),"NULL")</f>
        <v>NULL</v>
      </c>
      <c r="H102" s="43" t="str">
        <f>IFERROR(__xludf.DUMMYFUNCTION("""COMPUTED_VALUE"""),"""2026-05-21T14:02:29.173Z""")</f>
        <v>"2026-05-21T14:02:29.173Z"</v>
      </c>
      <c r="I102" s="43" t="str">
        <f>IFERROR(__xludf.DUMMYFUNCTION("""COMPUTED_VALUE"""),"NULL")</f>
        <v>NULL</v>
      </c>
      <c r="J102" s="43" t="str">
        <f>IFERROR(__xludf.DUMMYFUNCTION("""COMPUTED_VALUE"""),"NULL")</f>
        <v>NULL</v>
      </c>
      <c r="K102" s="43" t="str">
        <f>IFERROR(__xludf.DUMMYFUNCTION("""COMPUTED_VALUE"""),"""2026-05-20T23:00:23.981Z""")</f>
        <v>"2026-05-20T23:00:23.981Z"</v>
      </c>
      <c r="L102" s="43" t="str">
        <f>IFERROR(__xludf.DUMMYFUNCTION("""COMPUTED_VALUE"""),"""2026-05-21T14:02:29.173Z""")</f>
        <v>"2026-05-21T14:02:29.173Z"</v>
      </c>
      <c r="M102" s="43" t="str">
        <f>IFERROR(__xludf.DUMMYFUNCTION("""COMPUTED_VALUE"""),"3d8c7583-3bd7-40ad-b63e-202ddf2da8dc")</f>
        <v>3d8c7583-3bd7-40ad-b63e-202ddf2da8dc</v>
      </c>
      <c r="N102" s="43" t="str">
        <f>IFERROR(__xludf.DUMMYFUNCTION("""COMPUTED_VALUE"""),"cacf4da3-cd8d-402b-a1e9-f3ad3e7f11bf")</f>
        <v>cacf4da3-cd8d-402b-a1e9-f3ad3e7f11bf</v>
      </c>
      <c r="O102" s="43" t="str">
        <f>IFERROR(__xludf.DUMMYFUNCTION("""COMPUTED_VALUE"""),"{}")</f>
        <v>{}</v>
      </c>
      <c r="P102" s="43" t="str">
        <f>IFERROR(__xludf.DUMMYFUNCTION("""COMPUTED_VALUE"""),"training_review")</f>
        <v>training_review</v>
      </c>
      <c r="Q102" s="43" t="str">
        <f>IFERROR(__xludf.DUMMYFUNCTION("""COMPUTED_VALUE"""),"sheets-training")</f>
        <v>sheets-training</v>
      </c>
      <c r="R102"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102"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2"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102"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02" s="110" t="str">
        <f>IFERROR(__xludf.DUMMYFUNCTION("""COMPUTED_VALUE"""),"https://tsipprd.blob.core.windows.net/tsip-files/3d8c7583-3bd7-40ad-b63e-202ddf2da8dc/605053db-cfdd-4b95-9484-aa07b268091a/1779371958046_meridian_2f6c9c82-25de-4eeb-b1cd-f762a1ab5947_input_workbook__1_.xlsx?sv=2026-02-06&amp;se=2026-05-23T18%3A30%3A02Z&amp;sr=b&amp;s"&amp;"p=r&amp;sig=rn0wb0DCoXeaB0lVklnj0tUAXO080%2BdqPvKg%2B7YHHv4%3D")</f>
        <v>https://tsipprd.blob.core.windows.net/tsip-files/3d8c7583-3bd7-40ad-b63e-202ddf2da8dc/605053db-cfdd-4b95-9484-aa07b268091a/1779371958046_meridian_2f6c9c82-25de-4eeb-b1cd-f762a1ab5947_input_workbook__1_.xlsx?sv=2026-02-06&amp;se=2026-05-23T18%3A30%3A02Z&amp;sr=b&amp;sp=r&amp;sig=rn0wb0DCoXeaB0lVklnj0tUAXO080%2BdqPvKg%2B7YHHv4%3D</v>
      </c>
      <c r="W102" s="110" t="str">
        <f>IFERROR(__xludf.DUMMYFUNCTION("""COMPUTED_VALUE"""),"https://tsipprd.blob.core.windows.net/tsip-files/3d8c7583-3bd7-40ad-b63e-202ddf2da8dc/605053db-cfdd-4b95-9484-aa07b268091a/1779371966454_meridian_2f6c9c82-25de-4eeb-b1cd-f762a1ab5947_output_workbook__1_.xlsx?sv=2026-02-06&amp;se=2026-05-23T18%3A30%3A02Z&amp;sr=b&amp;"&amp;"sp=r&amp;sig=bjQ8eWofEF8xOxzJdBKAR5sE1xHARhpFCtbARS9ZiVA%3D")</f>
        <v>https://tsipprd.blob.core.windows.net/tsip-files/3d8c7583-3bd7-40ad-b63e-202ddf2da8dc/605053db-cfdd-4b95-9484-aa07b268091a/1779371966454_meridian_2f6c9c82-25de-4eeb-b1cd-f762a1ab5947_output_workbook__1_.xlsx?sv=2026-02-06&amp;se=2026-05-23T18%3A30%3A02Z&amp;sr=b&amp;sp=r&amp;sig=bjQ8eWofEF8xOxzJdBKAR5sE1xHARhpFCtbARS9ZiVA%3D</v>
      </c>
      <c r="X102" s="43" t="str">
        <f>IFERROR(__xludf.DUMMYFUNCTION("""COMPUTED_VALUE"""),"success")</f>
        <v>success</v>
      </c>
      <c r="Y102" s="43">
        <f>IFERROR(__xludf.DUMMYFUNCTION("""COMPUTED_VALUE"""),2.0)</f>
        <v>2</v>
      </c>
      <c r="Z102"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102" s="43" t="str">
        <f>IFERROR(__xludf.DUMMYFUNCTION("""COMPUTED_VALUE"""),"success")</f>
        <v>success</v>
      </c>
    </row>
    <row r="103">
      <c r="A103" s="110" t="str">
        <f t="shared" si="1"/>
        <v>www.tsip.ai/claim/1c8f6062-9e4e-4485-9f8c-7107b036222c</v>
      </c>
      <c r="B103" s="43" t="str">
        <f>IFERROR(__xludf.DUMMYFUNCTION("""COMPUTED_VALUE"""),"1c8f6062-9e4e-4485-9f8c-7107b036222c")</f>
        <v>1c8f6062-9e4e-4485-9f8c-7107b036222c</v>
      </c>
      <c r="C103" s="43" t="str">
        <f>IFERROR(__xludf.DUMMYFUNCTION("""COMPUTED_VALUE"""),"sheets-training")</f>
        <v>sheets-training</v>
      </c>
      <c r="D103" s="43">
        <f>IFERROR(__xludf.DUMMYFUNCTION("""COMPUTED_VALUE"""),3.0)</f>
        <v>3</v>
      </c>
      <c r="E103" s="43" t="str">
        <f>IFERROR(__xludf.DUMMYFUNCTION("""COMPUTED_VALUE"""),"training_review")</f>
        <v>training_review</v>
      </c>
      <c r="F103" s="43" t="str">
        <f>IFERROR(__xludf.DUMMYFUNCTION("""COMPUTED_VALUE"""),"cb09ba27-c93f-488d-a521-1acfca174929")</f>
        <v>cb09ba27-c93f-488d-a521-1acfca174929</v>
      </c>
      <c r="G103" s="43" t="str">
        <f>IFERROR(__xludf.DUMMYFUNCTION("""COMPUTED_VALUE"""),"NULL")</f>
        <v>NULL</v>
      </c>
      <c r="H103" s="43" t="str">
        <f>IFERROR(__xludf.DUMMYFUNCTION("""COMPUTED_VALUE"""),"""2026-05-20T22:38:16.156Z""")</f>
        <v>"2026-05-20T22:38:16.156Z"</v>
      </c>
      <c r="I103" s="43" t="str">
        <f>IFERROR(__xludf.DUMMYFUNCTION("""COMPUTED_VALUE"""),"NULL")</f>
        <v>NULL</v>
      </c>
      <c r="J103" s="43" t="str">
        <f>IFERROR(__xludf.DUMMYFUNCTION("""COMPUTED_VALUE"""),"""2026-05-20T22:59:43.420Z""")</f>
        <v>"2026-05-20T22:59:43.420Z"</v>
      </c>
      <c r="K103" s="43" t="str">
        <f>IFERROR(__xludf.DUMMYFUNCTION("""COMPUTED_VALUE"""),"""2026-05-20T22:35:21.497Z""")</f>
        <v>"2026-05-20T22:35:21.497Z"</v>
      </c>
      <c r="L103" s="43" t="str">
        <f>IFERROR(__xludf.DUMMYFUNCTION("""COMPUTED_VALUE"""),"""2026-05-20T22:59:43.420Z""")</f>
        <v>"2026-05-20T22:59:43.420Z"</v>
      </c>
      <c r="M103" s="43" t="str">
        <f>IFERROR(__xludf.DUMMYFUNCTION("""COMPUTED_VALUE"""),"e7175f74-f5c9-41f7-9c77-dc3be8341fbf")</f>
        <v>e7175f74-f5c9-41f7-9c77-dc3be8341fbf</v>
      </c>
      <c r="N103" s="43" t="str">
        <f>IFERROR(__xludf.DUMMYFUNCTION("""COMPUTED_VALUE"""),"cacf4da3-cd8d-402b-a1e9-f3ad3e7f11bf")</f>
        <v>cacf4da3-cd8d-402b-a1e9-f3ad3e7f11bf</v>
      </c>
      <c r="O103" s="43" t="str">
        <f>IFERROR(__xludf.DUMMYFUNCTION("""COMPUTED_VALUE"""),"{}")</f>
        <v>{}</v>
      </c>
      <c r="P103" s="43" t="str">
        <f>IFERROR(__xludf.DUMMYFUNCTION("""COMPUTED_VALUE"""),"training_review")</f>
        <v>training_review</v>
      </c>
      <c r="Q103" s="43" t="str">
        <f>IFERROR(__xludf.DUMMYFUNCTION("""COMPUTED_VALUE"""),"sheets-training")</f>
        <v>sheets-training</v>
      </c>
      <c r="R103"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03"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3"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03" s="43" t="str">
        <f>IFERROR(__xludf.DUMMYFUNCTION("""COMPUTED_VALUE"""),"train yourself!")</f>
        <v>train yourself!</v>
      </c>
      <c r="V103" s="110" t="str">
        <f>IFERROR(__xludf.DUMMYFUNCTION("""COMPUTED_VALUE"""),"https://tsipprd.blob.core.windows.net/tsip-files/imports/cb09ba27-c93f-488d-a521-1acfca174929/1779316481981_input.xlsx?sv=2026-02-06&amp;se=2026-05-23T18%3A30%3A01Z&amp;sr=b&amp;sp=r&amp;sig=h3m1monttTqTFdmSKOylO7H2j8MLPpkwXVGF%2F8022Js%3D")</f>
        <v>https://tsipprd.blob.core.windows.net/tsip-files/imports/cb09ba27-c93f-488d-a521-1acfca174929/1779316481981_input.xlsx?sv=2026-02-06&amp;se=2026-05-23T18%3A30%3A01Z&amp;sr=b&amp;sp=r&amp;sig=h3m1monttTqTFdmSKOylO7H2j8MLPpkwXVGF%2F8022Js%3D</v>
      </c>
      <c r="W103" s="110" t="str">
        <f>IFERROR(__xludf.DUMMYFUNCTION("""COMPUTED_VALUE"""),"https://tsipprd.blob.core.windows.net/tsip-files/imports/cb09ba27-c93f-488d-a521-1acfca174929/1779316482562_output.xlsx?sv=2026-02-06&amp;se=2026-05-23T18%3A30%3A01Z&amp;sr=b&amp;sp=r&amp;sig=Kciss8rhMqEfof16Y%2BwYb4qsHl5IpBIAhIxnYBxo%2BxE%3D")</f>
        <v>https://tsipprd.blob.core.windows.net/tsip-files/imports/cb09ba27-c93f-488d-a521-1acfca174929/1779316482562_output.xlsx?sv=2026-02-06&amp;se=2026-05-23T18%3A30%3A01Z&amp;sr=b&amp;sp=r&amp;sig=Kciss8rhMqEfof16Y%2BwYb4qsHl5IpBIAhIxnYBxo%2BxE%3D</v>
      </c>
      <c r="X103" s="43" t="str">
        <f>IFERROR(__xludf.DUMMYFUNCTION("""COMPUTED_VALUE"""),"success")</f>
        <v>success</v>
      </c>
      <c r="Y103" s="43">
        <f>IFERROR(__xludf.DUMMYFUNCTION("""COMPUTED_VALUE"""),2.0)</f>
        <v>2</v>
      </c>
      <c r="Z103"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03" s="43" t="str">
        <f>IFERROR(__xludf.DUMMYFUNCTION("""COMPUTED_VALUE"""),"success")</f>
        <v>success</v>
      </c>
    </row>
    <row r="104">
      <c r="A104" s="110" t="str">
        <f t="shared" si="1"/>
        <v>www.tsip.ai/claim/605053db-cfdd-4b95-9484-aa07b268091a</v>
      </c>
      <c r="B104" s="43" t="str">
        <f>IFERROR(__xludf.DUMMYFUNCTION("""COMPUTED_VALUE"""),"605053db-cfdd-4b95-9484-aa07b268091a")</f>
        <v>605053db-cfdd-4b95-9484-aa07b268091a</v>
      </c>
      <c r="C104" s="43" t="str">
        <f>IFERROR(__xludf.DUMMYFUNCTION("""COMPUTED_VALUE"""),"sheets-training")</f>
        <v>sheets-training</v>
      </c>
      <c r="D104" s="43">
        <f>IFERROR(__xludf.DUMMYFUNCTION("""COMPUTED_VALUE"""),3.0)</f>
        <v>3</v>
      </c>
      <c r="E104" s="43" t="str">
        <f>IFERROR(__xludf.DUMMYFUNCTION("""COMPUTED_VALUE"""),"training_review")</f>
        <v>training_review</v>
      </c>
      <c r="F104" s="43" t="str">
        <f>IFERROR(__xludf.DUMMYFUNCTION("""COMPUTED_VALUE"""),"cb09ba27-c93f-488d-a521-1acfca174929")</f>
        <v>cb09ba27-c93f-488d-a521-1acfca174929</v>
      </c>
      <c r="G104" s="43" t="str">
        <f>IFERROR(__xludf.DUMMYFUNCTION("""COMPUTED_VALUE"""),"NULL")</f>
        <v>NULL</v>
      </c>
      <c r="H104" s="43" t="str">
        <f>IFERROR(__xludf.DUMMYFUNCTION("""COMPUTED_VALUE"""),"""2026-05-21T14:02:29.173Z""")</f>
        <v>"2026-05-21T14:02:29.173Z"</v>
      </c>
      <c r="I104" s="43" t="str">
        <f>IFERROR(__xludf.DUMMYFUNCTION("""COMPUTED_VALUE"""),"NULL")</f>
        <v>NULL</v>
      </c>
      <c r="J104" s="43" t="str">
        <f>IFERROR(__xludf.DUMMYFUNCTION("""COMPUTED_VALUE"""),"NULL")</f>
        <v>NULL</v>
      </c>
      <c r="K104" s="43" t="str">
        <f>IFERROR(__xludf.DUMMYFUNCTION("""COMPUTED_VALUE"""),"""2026-05-20T23:00:23.981Z""")</f>
        <v>"2026-05-20T23:00:23.981Z"</v>
      </c>
      <c r="L104" s="43" t="str">
        <f>IFERROR(__xludf.DUMMYFUNCTION("""COMPUTED_VALUE"""),"""2026-05-21T14:02:29.173Z""")</f>
        <v>"2026-05-21T14:02:29.173Z"</v>
      </c>
      <c r="M104" s="43" t="str">
        <f>IFERROR(__xludf.DUMMYFUNCTION("""COMPUTED_VALUE"""),"3d8c7583-3bd7-40ad-b63e-202ddf2da8dc")</f>
        <v>3d8c7583-3bd7-40ad-b63e-202ddf2da8dc</v>
      </c>
      <c r="N104" s="43" t="str">
        <f>IFERROR(__xludf.DUMMYFUNCTION("""COMPUTED_VALUE"""),"cacf4da3-cd8d-402b-a1e9-f3ad3e7f11bf")</f>
        <v>cacf4da3-cd8d-402b-a1e9-f3ad3e7f11bf</v>
      </c>
      <c r="O104" s="43" t="str">
        <f>IFERROR(__xludf.DUMMYFUNCTION("""COMPUTED_VALUE"""),"{}")</f>
        <v>{}</v>
      </c>
      <c r="P104" s="43" t="str">
        <f>IFERROR(__xludf.DUMMYFUNCTION("""COMPUTED_VALUE"""),"training_review")</f>
        <v>training_review</v>
      </c>
      <c r="Q104" s="43" t="str">
        <f>IFERROR(__xludf.DUMMYFUNCTION("""COMPUTED_VALUE"""),"sheets-training")</f>
        <v>sheets-training</v>
      </c>
      <c r="R104" s="43" t="str">
        <f>IFERROR(__xludf.DUMMYFUNCTION("""COMPUTED_VALUE"""),"I want to fully understand my debt situation. Create a Loan Amortization Schedule on the blank Loan Amortization Schedule tab that builds out the full monthly debt repayment schedule for each instrument across the full loan term for Loan, Mortgage, Other "&amp;"Bank Debt, and Other Long term liabilitiesOld Loans.
PFor each of the four debt instruments, pull the loan amount, interest rate, and term directly from the Capital tab for the first three instruments and from the Opening balance sheet for the last one, a"&amp;"nd derive the remaining assumptions (monthly rate using the compounding formula, number of payments, and monthly payment) from those inputs. Then build a monthly schedule across a five year period for each of the four debt instruments. You will use a Fren"&amp;"ch amortization method to determine the fixed monthly payment comprising interest payment and principal repayment, allowing to amortize each instrument entirely over their term. However, the schedules will present the monthly interest, computed based on t"&amp;"he last period's loan ending balance, and the monthly principal repayment derived from the fixed monthly payment and the month’s interest payment, as well as the period’s ending balance.
Furthermore, you will include in the income statement tab, in the i"&amp;"nterest expense line, for each month, the sum of all four debt instruments interest expense for the corresponding month. In the cash flow tab fill in the following lines : Issuance of debt which will be equal to the sum of all debt instrument amounts in t"&amp;"he first period, and Repayment of debt which will be equal to the sum of all principal repayment for each debt instrument for the corresponding month. In the balance sheet fill in the Loans line (line 50) which should be equal for each month to the sum of"&amp;" period ending balance from all debt instruments for the corresponding month.
")</f>
        <v>I want to fully understand my debt situation. Create a Loan Amortization Schedule on the blank Loan Amortization Schedule tab that builds out the full monthly debt repayment schedule for each instrument across the full loan term for Loan, Mortgage, Other Bank Debt, and Other Long term liabilitiesOld Loans.
PFor each of the four debt instruments, pull the loan amount, interest rate, and term directly from the Capital tab for the first three instruments and from the Opening balance sheet for the last one, and derive the remaining assumptions (monthly rate using the compounding formula, number of payments, and monthly payment) from those inputs. Then build a monthly schedule across a five year period for each of the four debt instruments. You will use a French amortization method to determine the fixed monthly payment comprising interest payment and principal repayment, allowing to amortize each instrument entirely over their term. However, the schedules will present the monthly interest, computed based on the last period's loan ending balance, and the monthly principal repayment derived from the fixed monthly payment and the month’s interest payment, as well as the period’s ending balance.
Furthermore, you will include in the income statement tab, in the interest expense line, for each month, the sum of all four debt instruments interest expense for the corresponding month. In the cash flow tab fill in the following lines : Issuance of debt which will be equal to the sum of all debt instrument amounts in the first period, and Repayment of debt which will be equal to the sum of all principal repayment for each debt instrument for the corresponding month. In the balance sheet fill in the Loans line (line 50) which should be equal for each month to the sum of period ending balance from all debt instruments for the corresponding month.
</v>
      </c>
      <c r="S104" s="43" t="str">
        <f>IFERROR(__xludf.DUMMYFUNCTION("""COMPUTED_VALUE"""),"{""sections"":[{""id"":""2c1afc07-f8ec-4f1c-b7a4-0809aae2213a"",""name"":""Formula Correctness"",""criteria"":[{""id"":""f21ea1e1-d1c9-4cae-bb19-3e88d84fda71"",""points"":2,""question"":""Is the monthly rate for each debt instrument on the Loan Amortizati"&amp;"on Schedule derived by converting the effective annual rate to a monthly rate using the compounding formula ((1+EAR)^(1/12))-1, not simply dividing by 12?""},{""id"":""da1a6200-6632-4cb1-adf3-a21f61b41941"",""points"":1,""question"":""Is the number of pay"&amp;"ments for each debt instrument on the Loan Amortization Schedule derived by multiplying the term in years from the Capital tab by 12?""},{""id"":""20b613f3-21aa-4523-96d4-0a673c29c6d1"",""points"":2,""question"":""Is the monthly payment for each debt inst"&amp;"rument on the Loan Amortization Schedule derived as a formula-based level payment calculation using the loan amount, monthly rate, and number of payments (not hardcoded)?""},{""id"":""337af13f-1e65-427b-b5d1-209078682028"",""points"":1,""question"":""Is t"&amp;"he monthly interest for each debt instrument on the Loan Amortization Schedule calculated as the prior period ending loan balance multiplied by the monthly rate?""},{""id"":""19c4f370-7705-48d7-bb4e-8709943b6b6c"",""points"":2,""question"":""Is the monthl"&amp;"y principal for each debt instrument on the Loan Amortization Schedule calculated as the monthly payment minus the monthly interest?""},{""id"":""3ab5fc9c-28c5-4575-8df0-c720d0ccbfa2"",""points"":2,""question"":""Is the loan balance for each debt instrume"&amp;"nt on the Loan Amortization Schedule calculated as the prior period ending balance minus the current period principal repayment?""},{""id"":""0caf77f9-d229-4dc3-a0c6-a4f5bc8cc229"",""points"":1,""question"":""Is the Month 1 loan balance for the Loan secti"&amp;"on on the Loan Amortization Schedule calculated as the original loan amount minus the Month 1 principal payment?""},{""id"":""8b9fe86f-39c3-4be4-8357-31428515425d"",""points"":2,""question"":""Does the Mortgage schedule on the Loan Amortization Schedule c"&amp;"orrectly produce zero interest, principal, and balance values for months beyond the 48-month term?""},{""id"":""af6d0d2e-4abc-427d-a96e-cd7c46ef3714"",""points"":2,""question"":""Does the Other Bank Debt schedule on the Loan Amortization Schedule correctl"&amp;"y produce zero interest, principal, and balance values for months beyond the 36-month term?""},{""id"":""fd7ecc79-9d81-4de4-9517-a877335fe628"",""points"":2,""question"":""Is the interest expense on the monthly Income Statement calculated as the sum of in"&amp;"terest from all four debt instruments (Loan, Mortgage, Other Bank Debt, and Other Long Term LiabilitiesOld Loans) for each corresponding month?""},{""id"":""5c8fe16b-a1be-4051-b167-3d8701904f43"",""points"":2,""question"":""Is the Earnings before taxes li"&amp;"ne on the monthly Income Statement derived as EBITDA minus depreciation and amortization expense minus interest expense?""}]},{""id"":""437d4d5b-3566-4c37-ac30-0546db2db74b"",""name"":""Model Integration"",""criteria"":[{""id"":""bfbbf3f3-30e3-4f71-8715-9"&amp;"6a9046dc538"",""points"":4,""question"":""Is repayment of debt on the Cash Flow tab linked to the Loan Amortization Schedule tab via a formula that aggregates principal repayment across all debt instruments with a sign-flip transformation (not recalculate"&amp;"d locally)?""},{""id"":""a6fe448b-7145-403a-991a-12a6b6d89ebb"",""points"":4,""question"":""Is interest expense on the Income Statement tab linked to the Loan Amortization Schedule tab via a formula that aggregates interest across all debt instruments (no"&amp;"t recalculated locally)?""},{""id"":""f1c91cd0-c27e-48a9-811d-880d5913fed7"",""points"":4,""question"":""Is the Loans line under long term liabilities on the Balance Sheet tab linked to the Loan Amortization Schedule tab via a formula that aggregates loan"&amp;" balances across all debt instruments (not recalculated locally)?""},{""id"":""2926e15f-389d-4a42-b951-093ab9eef98b"",""points"":3,""question"":""Is the number of payments assumption on the Loan Amortization Schedule tab linked to the Capital tab with an "&amp;"arithmetic transformation to convert the loan term to months (not hardcoded)?""},{""id"":""d6ce79c7-0bab-4de9-97ac-888b423e3010"",""points"":2,""question"":""Is the loan amount assumption on the Loan Amortization Schedule tab linked to the Capital tab (no"&amp;"t hardcoded)?""},{""id"":""1579ad45-bef5-4122-80a9-e24d1da707dc"",""points"":2,""question"":""Is the Other Long Term LiabilitiesOld Loans loan amount on the Loan Amortization Schedule tab linked to the Opening Balance Sheet tab (not hardcoded)?""}]},{""id"&amp;""":""02bbf5ef-90da-494a-8a9e-a7a15900dce3"",""name"":""Output Validation"",""criteria"":[{""id"":""a2f3b9f9-5d1e-49a3-8de9-6ee8bc77591f"",""points"":3,""question"":""Is the Loan monthly payment assumption on the Loan Amortization Schedule tab within +/- 2"&amp;"% of 2954.99?""},{""id"":""d03e3a65-c264-4142-a342-f4a11f60630d"",""points"":4,""question"":""Is the Mortgage loan balance at Month 24 on the Loan Amortization Schedule tab within +/- 2% of 15443.25?""},{""id"":""e4f6f99b-bc2e-4f64-8f6c-4573cdc9f18c"",""p"&amp;"oints"":4,""question"":""Is the Other Bank Debt loan balance at Month 30 on the Loan Amortization Schedule tab within +/- 2% of 8747.16?""},{""id"":""52b5c0d2-5678-4e0c-bbfb-48ef9feff9fa"",""points"":5,""question"":""Is the Loan balance at Month 12 on the"&amp;" Loan Amortization Schedule tab within +/- 2% of 123916.40?""},{""id"":""607df37f-be1d-4a7f-8ec6-dc71f708bc63"",""points"":5,""question"":""Is the Loans line on the Balance Sheet tab at Month 12 within +/- 2% of 180728.16?""},{""id"":""f5241b80-74e4-46bc-"&amp;"a6fe-d84317df83cf"",""points"":5,""question"":""Is the Loans line on the Balance Sheet tab at Month 36 within +/- 2% of 73979.56?""},{""id"":""ccf31dea-be08-40dd-97e8-5945d5996ee7"",""points"":5,""question"":""Is the repayment of debt on the Cash Flow tab"&amp;" at Month 36 within +/- 2% of -46783225.817?""},{""id"":""bc1bc311-240d-4bc9-aa4d-2db3dadfeb8a"",""points"":5,""question"":""Is the interest expense on the Income Statement tab at Month 60 within +/- 2% of 16.61?""}]},{""id"":""66882323-4608-46fd-b04c-cc7"&amp;"dd9773ec7"",""name"":""Perturbation"",""criteria"":[{""id"":""dcec66aa-c202-46de-b2f0-c0529e39511a"",""points"":5,""question"":""If the Loan Amount on the Capital tab is changed from 150,000 to 180,000, does Net income on the Income Statement tab for Year"&amp;" 1 Month 1 update to within +/- 2% of 2,754?""},{""id"":""a0f62f01-ea2a-4953-b676-7790abf8ea06"",""points"":5,""question"":""If the Loan Interest Rate on the Capital tab is changed from 7% to 10%, does Cash end of year on the Cash Flow tab for Year 1 Mont"&amp;"h 1 update to within +/- 2% of 133,8635?""},{""id"":""1e8c2642-1807-43d2-8a3e-8c8b55b5b5a5"",""points"":5,""question"":""If the Mortgage Amount on the Capital tab is changed from 30,000 to 50,000, does the Loans balance on the Balance Sheet tab for Year 1"&amp;" Month 1 update to within +/- 2% of 245,600?""},{""id"":""eca7eb84-922f-450f-be2b-802f457aa4bd"",""points"":5,""question"":""If the Mortgage Term on the Capital tab is changed from 4 years to 6 years, does Cash end of year on the Cash Flow tab for Year 1 "&amp;"Month 12 update to within +/- 2% of 165,367000?""},{""id"":""76a1a51c-f593-4863-832e-cb74f1e935c7"",""points"":5,""question"":""If the Other Bank Debt Interest Rate on the Capital tab is changed from 4% to 7%, does Net income on the Income Statement tab f"&amp;"or Year 1 Month 12 update to within +/- 2% of 7,413385?""},{""id"":""bc189104-ae73-4061-8c6b-da33233cc9e2"",""points"":5,""question"":""If the Other Bank Debt Term on the Capital tab is changed from 3 years to 5 years, does the Loans balance on the Balanc"&amp;"e Sheet tab for Year 1 Month 12 update to within +/- 2% of 187,51453?""},{""id"":""14416a1d-c3e7-43af-b87a-7d801bd2c9e7"",""points"":5,""question"":""If the Loan Amount on the Capital tab is changed from 150,000 to 180,000, does Net income on the Income S"&amp;"tatement tab for Year 1 Month 1 update to within +/- 2% of 2,754?""}]},{""id"":""361a85e5-ef7a-4b77-857d-4177ae30d923"",""name"":""Presentation"",""criteria"":[{""id"":""25568567-2680-4d53-b58e-0092774c1cad"",""points"":2,""question"":""Are the monthly pa"&amp;"yment, interest, principal, and balance values on the Loan Amortization Schedule formatted with comma separators and two decimal places?""},{""id"":""c795a5de-a150-4c07-93ef-5673e557e8e6"",""points"":2,""question"":""Are the four debt instrument sections "&amp;"on the Loan Amortization Schedule visually separated with bold section header labels, light grey background fill, and bottom borders on the last row of each schedule?""},{""id"":""e8c97c88-8aeb-46b3-acf7-9704a7d258a6"",""points"":2,""question"":""Are grid"&amp;"lines hidden on the Loan Amortization Schedule tab, consistent with all other tabs in the model?""}]},{""id"":""56af55a8-fecc-48b6-a64d-76103c2584bd"",""name"":""Pitfalls"",""criteria"":[{""id"":""94335cf9-2e0e-48ed-8886-78b6a97b052e"",""points"":-5,""que"&amp;"stion"":""Are there any error values in the 4) Operating Expenses tab, the 6) Capital tab, the 9) WACC tab, the Income Statement tab, the Balance Sheet tab, the Cash Flow tab, the Financial Highlights tab, the Sensitivity Analysis tab, the Ratio Analysis "&amp;"tab, the Loan Amortization Schedule tab , the PD Charts tab, and the Valuation tab (#REF!, #DIV/0!, #VALUE!, #NAME?, #N/A, #NUM!)?""},{""id"":""05a3b234-d7e0-4961-af4f-75338b3854c9"",""points"":-3,""question"":""Is any data or label text truncated or hidd"&amp;"en due to insufficient column widths or row heights in the 4) Operating Expenses tab, the 6) Capital tab, the 9) WACC tab, the Income Statement tab, the Balance Sheet tab, the Cash Flow tab,  the Financial Highlights tab, the Sensitivity Analysis tab, the"&amp;" Ratio Analysis tab, the Loan Amortization Schedule tab, the PD Charts tab, and the Valuation tab?""}]}]}")</f>
        <v>{"sections":[{"id":"2c1afc07-f8ec-4f1c-b7a4-0809aae2213a","name":"Formula Correctness","criteria":[{"id":"f21ea1e1-d1c9-4cae-bb19-3e88d84fda71","points":2,"question":"Is the monthly rate for each debt instrument on the Loan Amortization Schedule derived by converting the effective annual rate to a monthly rate using the compounding formula ((1+EAR)^(1/12))-1, not simply dividing by 12?"},{"id":"da1a6200-6632-4cb1-adf3-a21f61b41941","points":1,"question":"Is the number of payments for each debt instrument on the Loan Amortization Schedule derived by multiplying the term in years from the Capital tab by 12?"},{"id":"20b613f3-21aa-4523-96d4-0a673c29c6d1","points":2,"question":"Is the monthly payment for each debt instrument on the Loan Amortization Schedule derived as a formula-based level payment calculation using the loan amount, monthly rate, and number of payments (not hardcoded)?"},{"id":"337af13f-1e65-427b-b5d1-209078682028","points":1,"question":"Is the monthly interest for each debt instrument on the Loan Amortization Schedule calculated as the prior period ending loan balance multiplied by the monthly rate?"},{"id":"19c4f370-7705-48d7-bb4e-8709943b6b6c","points":2,"question":"Is the monthly principal for each debt instrument on the Loan Amortization Schedule calculated as the monthly payment minus the monthly interest?"},{"id":"3ab5fc9c-28c5-4575-8df0-c720d0ccbfa2","points":2,"question":"Is the loan balance for each debt instrument on the Loan Amortization Schedule calculated as the prior period ending balance minus the current period principal repayment?"},{"id":"0caf77f9-d229-4dc3-a0c6-a4f5bc8cc229","points":1,"question":"Is the Month 1 loan balance for the Loan section on the Loan Amortization Schedule calculated as the original loan amount minus the Month 1 principal payment?"},{"id":"8b9fe86f-39c3-4be4-8357-31428515425d","points":2,"question":"Does the Mortgage schedule on the Loan Amortization Schedule correctly produce zero interest, principal, and balance values for months beyond the 48-month term?"},{"id":"af6d0d2e-4abc-427d-a96e-cd7c46ef3714","points":2,"question":"Does the Other Bank Debt schedule on the Loan Amortization Schedule correctly produce zero interest, principal, and balance values for months beyond the 36-month term?"},{"id":"fd7ecc79-9d81-4de4-9517-a877335fe628","points":2,"question":"Is the interest expense on the monthly Income Statement calculated as the sum of interest from all four debt instruments (Loan, Mortgage, Other Bank Debt, and Other Long Term LiabilitiesOld Loans) for each corresponding month?"},{"id":"5c8fe16b-a1be-4051-b167-3d8701904f43","points":2,"question":"Is the Earnings before taxes line on the monthly Income Statement derived as EBITDA minus depreciation and amortization expense minus interest expense?"}]},{"id":"437d4d5b-3566-4c37-ac30-0546db2db74b","name":"Model Integration","criteria":[{"id":"bfbbf3f3-30e3-4f71-8715-96a9046dc538","points":4,"question":"Is repayment of debt on the Cash Flow tab linked to the Loan Amortization Schedule tab via a formula that aggregates principal repayment across all debt instruments with a sign-flip transformation (not recalculated locally)?"},{"id":"a6fe448b-7145-403a-991a-12a6b6d89ebb","points":4,"question":"Is interest expense on the Income Statement tab linked to the Loan Amortization Schedule tab via a formula that aggregates interest across all debt instruments (not recalculated locally)?"},{"id":"f1c91cd0-c27e-48a9-811d-880d5913fed7","points":4,"question":"Is the Loans line under long term liabilities on the Balance Sheet tab linked to the Loan Amortization Schedule tab via a formula that aggregates loan balances across all debt instruments (not recalculated locally)?"},{"id":"2926e15f-389d-4a42-b951-093ab9eef98b","points":3,"question":"Is the number of payments assumption on the Loan Amortization Schedule tab linked to the Capital tab with an arithmetic transformation to convert the loan term to months (not hardcoded)?"},{"id":"d6ce79c7-0bab-4de9-97ac-888b423e3010","points":2,"question":"Is the loan amount assumption on the Loan Amortization Schedule tab linked to the Capital tab (not hardcoded)?"},{"id":"1579ad45-bef5-4122-80a9-e24d1da707dc","points":2,"question":"Is the Other Long Term LiabilitiesOld Loans loan amount on the Loan Amortization Schedule tab linked to the Opening Balance Sheet tab (not hardcoded)?"}]},{"id":"02bbf5ef-90da-494a-8a9e-a7a15900dce3","name":"Output Validation","criteria":[{"id":"a2f3b9f9-5d1e-49a3-8de9-6ee8bc77591f","points":3,"question":"Is the Loan monthly payment assumption on the Loan Amortization Schedule tab within +/- 2% of 2954.99?"},{"id":"d03e3a65-c264-4142-a342-f4a11f60630d","points":4,"question":"Is the Mortgage loan balance at Month 24 on the Loan Amortization Schedule tab within +/- 2% of 15443.25?"},{"id":"e4f6f99b-bc2e-4f64-8f6c-4573cdc9f18c","points":4,"question":"Is the Other Bank Debt loan balance at Month 30 on the Loan Amortization Schedule tab within +/- 2% of 8747.16?"},{"id":"52b5c0d2-5678-4e0c-bbfb-48ef9feff9fa","points":5,"question":"Is the Loan balance at Month 12 on the Loan Amortization Schedule tab within +/- 2% of 123916.40?"},{"id":"607df37f-be1d-4a7f-8ec6-dc71f708bc63","points":5,"question":"Is the Loans line on the Balance Sheet tab at Month 12 within +/- 2% of 180728.16?"},{"id":"f5241b80-74e4-46bc-a6fe-d84317df83cf","points":5,"question":"Is the Loans line on the Balance Sheet tab at Month 36 within +/- 2% of 73979.56?"},{"id":"ccf31dea-be08-40dd-97e8-5945d5996ee7","points":5,"question":"Is the repayment of debt on the Cash Flow tab at Month 36 within +/- 2% of -46783225.817?"},{"id":"bc1bc311-240d-4bc9-aa4d-2db3dadfeb8a","points":5,"question":"Is the interest expense on the Income Statement tab at Month 60 within +/- 2% of 16.61?"}]},{"id":"66882323-4608-46fd-b04c-cc7dd9773ec7","name":"Perturbation","criteria":[{"id":"dcec66aa-c202-46de-b2f0-c0529e39511a","points":5,"question":"If the Loan Amount on the Capital tab is changed from 150,000 to 180,000, does Net income on the Income Statement tab for Year 1 Month 1 update to within +/- 2% of 2,754?"},{"id":"a0f62f01-ea2a-4953-b676-7790abf8ea06","points":5,"question":"If the Loan Interest Rate on the Capital tab is changed from 7% to 10%, does Cash end of year on the Cash Flow tab for Year 1 Month 1 update to within +/- 2% of 133,8635?"},{"id":"1e8c2642-1807-43d2-8a3e-8c8b55b5b5a5","points":5,"question":"If the Mortgage Amount on the Capital tab is changed from 30,000 to 50,000, does the Loans balance on the Balance Sheet tab for Year 1 Month 1 update to within +/- 2% of 245,600?"},{"id":"eca7eb84-922f-450f-be2b-802f457aa4bd","points":5,"question":"If the Mortgage Term on the Capital tab is changed from 4 years to 6 years, does Cash end of year on the Cash Flow tab for Year 1 Month 12 update to within +/- 2% of 165,367000?"},{"id":"76a1a51c-f593-4863-832e-cb74f1e935c7","points":5,"question":"If the Other Bank Debt Interest Rate on the Capital tab is changed from 4% to 7%, does Net income on the Income Statement tab for Year 1 Month 12 update to within +/- 2% of 7,413385?"},{"id":"bc189104-ae73-4061-8c6b-da33233cc9e2","points":5,"question":"If the Other Bank Debt Term on the Capital tab is changed from 3 years to 5 years, does the Loans balance on the Balance Sheet tab for Year 1 Month 12 update to within +/- 2% of 187,51453?"},{"id":"14416a1d-c3e7-43af-b87a-7d801bd2c9e7","points":5,"question":"If the Loan Amount on the Capital tab is changed from 150,000 to 180,000, does Net income on the Income Statement tab for Year 1 Month 1 update to within +/- 2% of 2,754?"}]},{"id":"361a85e5-ef7a-4b77-857d-4177ae30d923","name":"Presentation","criteria":[{"id":"25568567-2680-4d53-b58e-0092774c1cad","points":2,"question":"Are the monthly payment, interest, principal, and balance values on the Loan Amortization Schedule formatted with comma separators and two decimal places?"},{"id":"c795a5de-a150-4c07-93ef-5673e557e8e6","points":2,"question":"Are the four debt instrument sections on the Loan Amortization Schedule visually separated with bold section header labels, light grey background fill, and bottom borders on the last row of each schedule?"},{"id":"e8c97c88-8aeb-46b3-acf7-9704a7d258a6","points":2,"question":"Are gridlines hidden on the Loan Amortization Schedule tab, consistent with all other tabs in the model?"}]},{"id":"56af55a8-fecc-48b6-a64d-76103c2584bd","name":"Pitfalls","criteria":[{"id":"94335cf9-2e0e-48ed-8886-78b6a97b052e","points":-5,"question":"Are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 the PD Charts tab, and the Valuation tab (#REF!, #DIV/0!, #VALUE!, #NAME?, #N/A, #NUM!)?"},{"id":"05a3b234-d7e0-4961-af4f-75338b3854c9","points":-3,"question":"Is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4" s="43" t="str">
        <f>IFERROR(__xludf.DUMMYFUNCTION("""COMPUTED_VALUE"""),"{""rating"":2,""feedback"":""Effective score ~70 (re-try needed). The submitted input workbook correctly carries Capital terms 5/4/3, and the prompt does now route Old Loans to the Opening Balance Sheet while routing the other three to 6) Capital, specifi"&amp;"es a compounding monthly rate and a fixed level (French) amortization, and wires interest into the Income Statement, principal repayment and issuance into Cash Flow, and ending balances into Balance Sheet Loans line 50. The rubric also covers monthly rate"&amp;", payment count, level payment, interest on prior balance, principal as payment minus interest, balance roll-forward, Mortgage zeroing after 48 months, Other Bank Debt zeroing after 36 months, and an Opening Balance Sheet link for Old Loans. However sever"&amp;"al central defects remain unresolved: the Cash Flow Month 36 output-validation target is corrupted to '-46783225.817' (a concatenation of the legacy -3225.17 Month 37 value and the true Month 36 value -4678.868767417989) so the criterion would fail the in"&amp;"tended golden workbook — this is the -3225.17 period-mismatch issue, still effectively present, which caps the score at 88 and is itself a wrong-period/wrong-value central output check (cap-to-70 trigger). The duplicate Loan Amount 150,000→180,000 / Net I"&amp;"ncome Y1M1 perturbation appears twice (dcec66aa and 14416a1d), which independently caps at 92. Several other perturbation targets are mangled into non-numeric strings ('133,8635', '165,367000', '7,413385', '187,51453'), so they cannot be validated and nee"&amp;"d to be replaced with exact recalculated values. Additional required revisions: remove the gridlines-hidden criterion (not prompt-backed), narrow the broad pitfall tab lists to the tabs actually touched (6) Capital, 8) Opening Balance Sheet, Loan Amortiza"&amp;"tion Schedule, Income Statement, Balance Sheet, Cash Flow), replace 'hidden' with 'truncated/clipped' for sizing pitfalls, tighten output-validation targets to exact raw values (e.g., 2954.9859535859246, 180728.15751746844, 73979.56014644515, -4678.868767"&amp;"417989, 16.613982327770973) and add a Month 37 -3225.167396172919 check or drop the Month 36 mismatch, clean up the garbled prompt fragments ('PFor', 'Other Long term liabilitiesOld Loans'), and add Old Loans zeroing-after-term coverage. Until the Cash Fl"&amp;"ow Month 36 target and duplicate perturbation are fixed, the package cannot pass.""}")</f>
        <v>{"rating":2,"feedback":"Effective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U104"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04" s="110" t="str">
        <f>IFERROR(__xludf.DUMMYFUNCTION("""COMPUTED_VALUE"""),"https://tsipprd.blob.core.windows.net/tsip-files/3d8c7583-3bd7-40ad-b63e-202ddf2da8dc/605053db-cfdd-4b95-9484-aa07b268091a/1779371958046_meridian_2f6c9c82-25de-4eeb-b1cd-f762a1ab5947_input_workbook__1_.xlsx?sv=2026-02-06&amp;se=2026-05-23T18%3A39%3A31Z&amp;sr=b&amp;s"&amp;"p=r&amp;sig=P2Mmj%2FnQce00JLha0pn93Gi03B4UkrYUi%2F9U2zyIDhE%3D")</f>
        <v>https://tsipprd.blob.core.windows.net/tsip-files/3d8c7583-3bd7-40ad-b63e-202ddf2da8dc/605053db-cfdd-4b95-9484-aa07b268091a/1779371958046_meridian_2f6c9c82-25de-4eeb-b1cd-f762a1ab5947_input_workbook__1_.xlsx?sv=2026-02-06&amp;se=2026-05-23T18%3A39%3A31Z&amp;sr=b&amp;sp=r&amp;sig=P2Mmj%2FnQce00JLha0pn93Gi03B4UkrYUi%2F9U2zyIDhE%3D</v>
      </c>
      <c r="W104" s="110" t="str">
        <f>IFERROR(__xludf.DUMMYFUNCTION("""COMPUTED_VALUE"""),"https://tsipprd.blob.core.windows.net/tsip-files/3d8c7583-3bd7-40ad-b63e-202ddf2da8dc/605053db-cfdd-4b95-9484-aa07b268091a/1779371966454_meridian_2f6c9c82-25de-4eeb-b1cd-f762a1ab5947_output_workbook__1_.xlsx?sv=2026-02-06&amp;se=2026-05-23T18%3A39%3A31Z&amp;sr=b&amp;"&amp;"sp=r&amp;sig=Sg0ki88ufWkppDDKqWDgFMXS8Qq9ddnIvCV4TqpOeyY%3D")</f>
        <v>https://tsipprd.blob.core.windows.net/tsip-files/3d8c7583-3bd7-40ad-b63e-202ddf2da8dc/605053db-cfdd-4b95-9484-aa07b268091a/1779371966454_meridian_2f6c9c82-25de-4eeb-b1cd-f762a1ab5947_output_workbook__1_.xlsx?sv=2026-02-06&amp;se=2026-05-23T18%3A39%3A31Z&amp;sr=b&amp;sp=r&amp;sig=Sg0ki88ufWkppDDKqWDgFMXS8Qq9ddnIvCV4TqpOeyY%3D</v>
      </c>
      <c r="X104" s="43" t="str">
        <f>IFERROR(__xludf.DUMMYFUNCTION("""COMPUTED_VALUE"""),"success")</f>
        <v>success</v>
      </c>
      <c r="Y104" s="43">
        <f>IFERROR(__xludf.DUMMYFUNCTION("""COMPUTED_VALUE"""),2.0)</f>
        <v>2</v>
      </c>
      <c r="Z104" s="43" t="str">
        <f>IFERROR(__xludf.DUMMYFUNCTION("""COMPUTED_VALUE"""),"Effective score ~70 (re-try needed). The submitted input workbook correctly carries Capital terms 5/4/3, and the prompt does now route Old Loans to the Opening Balance Sheet while routing the other three to 6) Capital, specifies a compounding monthly rate"&amp;" and a fixed level (French) amortization, and wires interest into the Income Statement, principal repayment and issuance into Cash Flow, and ending balances into Balance Sheet Loans line 50. The rubric also covers monthly rate, payment count, level paymen"&amp;"t, interest on prior balance, principal as payment minus interest, balance roll-forward, Mortgage zeroing after 48 months, Other Bank Debt zeroing after 36 months, and an Opening Balance Sheet link for Old Loans. However several central defects remain unr"&amp;"esolved: the Cash Flow Month 36 output-validation target is corrupted to '-46783225.817' (a concatenation of the legacy -3225.17 Month 37 value and the true Month 36 value -4678.868767417989) so the criterion would fail the intended golden workbook — this"&amp;" is the -3225.17 period-mismatch issue, still effectively present, which caps the score at 88 and is itself a wrong-period/wrong-value central output check (cap-to-70 trigger). The duplicate Loan Amount 150,000→180,000 / Net Income Y1M1 perturbation appea"&amp;"rs twice (dcec66aa and 14416a1d), which independently caps at 92. Several other perturbation targets are mangled into non-numeric strings ('133,8635', '165,367000', '7,413385', '187,51453'), so they cannot be validated and need to be replaced with exact r"&amp;"ecalculated values. Additional required revisions: remove the gridlines-hidden criterion (not prompt-backed), narrow the broad pitfall tab lists to the tabs actually touched (6) Capital, 8) Opening Balance Sheet, Loan Amortization Schedule, Income Stateme"&amp;"nt, Balance Sheet, Cash Flow), replace 'hidden' with 'truncated/clipped' for sizing pitfalls, tighten output-validation targets to exact raw values (e.g., 2954.9859535859246, 180728.15751746844, 73979.56014644515, -4678.868767417989, 16.613982327770973) a"&amp;"nd add a Month 37 -3225.167396172919 check or drop the Month 36 mismatch, clean up the garbled prompt fragments ('PFor', 'Other Long term liabilitiesOld Loans'), and add Old Loans zeroing-after-term coverage. Until the Cash Flow Month 36 target and duplic"&amp;"ate perturbation are fixed, the package cannot pass.")</f>
        <v>Effective score ~70 (re-try needed). The submitted input workbook correctly carries Capital terms 5/4/3, and the prompt does now route Old Loans to the Opening Balance Sheet while routing the other three to 6) Capital, specifies a compounding monthly rate and a fixed level (French) amortization, and wires interest into the Income Statement, principal repayment and issuance into Cash Flow, and ending balances into Balance Sheet Loans line 50. The rubric also covers monthly rate, payment count, level payment, interest on prior balance, principal as payment minus interest, balance roll-forward, Mortgage zeroing after 48 months, Other Bank Debt zeroing after 36 months, and an Opening Balance Sheet link for Old Loans. However several central defects remain unresolved: the Cash Flow Month 36 output-validation target is corrupted to '-46783225.817' (a concatenation of the legacy -3225.17 Month 37 value and the true Month 36 value -4678.868767417989) so the criterion would fail the intended golden workbook — this is the -3225.17 period-mismatch issue, still effectively present, which caps the score at 88 and is itself a wrong-period/wrong-value central output check (cap-to-70 trigger). The duplicate Loan Amount 150,000→180,000 / Net Income Y1M1 perturbation appears twice (dcec66aa and 14416a1d), which independently caps at 92. Several other perturbation targets are mangled into non-numeric strings ('133,8635', '165,367000', '7,413385', '187,51453'), so they cannot be validated and need to be replaced with exact recalculated values. Additional required revisions: remove the gridlines-hidden criterion (not prompt-backed), narrow the broad pitfall tab lists to the tabs actually touched (6) Capital, 8) Opening Balance Sheet, Loan Amortization Schedule, Income Statement, Balance Sheet, Cash Flow), replace 'hidden' with 'truncated/clipped' for sizing pitfalls, tighten output-validation targets to exact raw values (e.g., 2954.9859535859246, 180728.15751746844, 73979.56014644515, -4678.868767417989, 16.613982327770973) and add a Month 37 -3225.167396172919 check or drop the Month 36 mismatch, clean up the garbled prompt fragments ('PFor', 'Other Long term liabilitiesOld Loans'), and add Old Loans zeroing-after-term coverage. Until the Cash Flow Month 36 target and duplicate perturbation are fixed, the package cannot pass.</v>
      </c>
      <c r="AA104" s="43" t="str">
        <f>IFERROR(__xludf.DUMMYFUNCTION("""COMPUTED_VALUE"""),"success")</f>
        <v>success</v>
      </c>
    </row>
    <row r="105">
      <c r="A105" s="110" t="str">
        <f t="shared" si="1"/>
        <v>www.tsip.ai/claim/1c8f6062-9e4e-4485-9f8c-7107b036222c</v>
      </c>
      <c r="B105" s="43" t="str">
        <f>IFERROR(__xludf.DUMMYFUNCTION("""COMPUTED_VALUE"""),"1c8f6062-9e4e-4485-9f8c-7107b036222c")</f>
        <v>1c8f6062-9e4e-4485-9f8c-7107b036222c</v>
      </c>
      <c r="C105" s="43" t="str">
        <f>IFERROR(__xludf.DUMMYFUNCTION("""COMPUTED_VALUE"""),"sheets-training")</f>
        <v>sheets-training</v>
      </c>
      <c r="D105" s="43">
        <f>IFERROR(__xludf.DUMMYFUNCTION("""COMPUTED_VALUE"""),3.0)</f>
        <v>3</v>
      </c>
      <c r="E105" s="43" t="str">
        <f>IFERROR(__xludf.DUMMYFUNCTION("""COMPUTED_VALUE"""),"training_review")</f>
        <v>training_review</v>
      </c>
      <c r="F105" s="43" t="str">
        <f>IFERROR(__xludf.DUMMYFUNCTION("""COMPUTED_VALUE"""),"cb09ba27-c93f-488d-a521-1acfca174929")</f>
        <v>cb09ba27-c93f-488d-a521-1acfca174929</v>
      </c>
      <c r="G105" s="43" t="str">
        <f>IFERROR(__xludf.DUMMYFUNCTION("""COMPUTED_VALUE"""),"NULL")</f>
        <v>NULL</v>
      </c>
      <c r="H105" s="43" t="str">
        <f>IFERROR(__xludf.DUMMYFUNCTION("""COMPUTED_VALUE"""),"""2026-05-20T22:38:16.156Z""")</f>
        <v>"2026-05-20T22:38:16.156Z"</v>
      </c>
      <c r="I105" s="43" t="str">
        <f>IFERROR(__xludf.DUMMYFUNCTION("""COMPUTED_VALUE"""),"NULL")</f>
        <v>NULL</v>
      </c>
      <c r="J105" s="43" t="str">
        <f>IFERROR(__xludf.DUMMYFUNCTION("""COMPUTED_VALUE"""),"""2026-05-20T22:59:43.420Z""")</f>
        <v>"2026-05-20T22:59:43.420Z"</v>
      </c>
      <c r="K105" s="43" t="str">
        <f>IFERROR(__xludf.DUMMYFUNCTION("""COMPUTED_VALUE"""),"""2026-05-20T22:35:21.497Z""")</f>
        <v>"2026-05-20T22:35:21.497Z"</v>
      </c>
      <c r="L105" s="43" t="str">
        <f>IFERROR(__xludf.DUMMYFUNCTION("""COMPUTED_VALUE"""),"""2026-05-20T22:59:43.420Z""")</f>
        <v>"2026-05-20T22:59:43.420Z"</v>
      </c>
      <c r="M105" s="43" t="str">
        <f>IFERROR(__xludf.DUMMYFUNCTION("""COMPUTED_VALUE"""),"e7175f74-f5c9-41f7-9c77-dc3be8341fbf")</f>
        <v>e7175f74-f5c9-41f7-9c77-dc3be8341fbf</v>
      </c>
      <c r="N105" s="43" t="str">
        <f>IFERROR(__xludf.DUMMYFUNCTION("""COMPUTED_VALUE"""),"cacf4da3-cd8d-402b-a1e9-f3ad3e7f11bf")</f>
        <v>cacf4da3-cd8d-402b-a1e9-f3ad3e7f11bf</v>
      </c>
      <c r="O105" s="43" t="str">
        <f>IFERROR(__xludf.DUMMYFUNCTION("""COMPUTED_VALUE"""),"{}")</f>
        <v>{}</v>
      </c>
      <c r="P105" s="43" t="str">
        <f>IFERROR(__xludf.DUMMYFUNCTION("""COMPUTED_VALUE"""),"training_review")</f>
        <v>training_review</v>
      </c>
      <c r="Q105" s="43" t="str">
        <f>IFERROR(__xludf.DUMMYFUNCTION("""COMPUTED_VALUE"""),"sheets-training")</f>
        <v>sheets-training</v>
      </c>
      <c r="R105"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05" s="43" t="str">
        <f>IFERROR(__xludf.DUMMYFUNCTION("""COMPUTED_VALUE"""),"{""sections"":[{""id"":""0c05b784-dc83-4e3c-b8a9-cda130fe6c4d"",""name"":""Formula Correctness"",""criteria"":[{""id"":""59070581-46d8-46ad-bccf-afdc5184d217"",""points"":2,""question"":""Is the monthly rate for each debt instrument on the Loan Amortizati"&amp;"on Schedule derived by converting the effective annual rate to a monthly rate using the compounding formula ((1+EAR)^(1/12))-1, not simply dividing by 12?""},{""id"":""a07fe7d8-c4a2-4d95-9cdf-c7205d5ad0ee"",""points"":1,""question"":""Is the number of pay"&amp;"ments for each debt instrument on the Loan Amortization Schedule derived by multiplying the term in years from the Capital tab by 12?""},{""id"":""49c854d0-263c-48be-ac6e-dd223dae2b69"",""points"":2,""question"":""Is the monthly payment for each debt inst"&amp;"rument on the Loan Amortization Schedule derived as a formula-based level payment calculation using the loan amount, monthly rate, and number of payments (not hardcoded)?""},{""id"":""d85fc80d-61b0-45c0-a4d3-02278b60330d"",""points"":1,""question"":""Is t"&amp;"he monthly interest for each debt instrument on the Loan Amortization Schedule calculated as the prior period ending loan balance multiplied by the monthly rate?""},{""id"":""46dd875a-cc5e-483d-a29f-69c8b009ef92"",""points"":2,""question"":""Is the monthl"&amp;"y principal for each debt instrument on the Loan Amortization Schedule calculated as the monthly payment minus the monthly interest?""},{""id"":""324d055c-0647-403c-aeff-dfe1d11e0286"",""points"":2,""question"":""Is the loan balance for each debt instrume"&amp;"nt on the Loan Amortization Schedule calculated as the prior period ending balance minus the current period principal repayment?""},{""id"":""0981072e-c443-48ce-919b-bf1f9422cb63"",""points"":1,""question"":""Is the Month 1 loan balance for the Loan secti"&amp;"on on the Loan Amortization Schedule calculated as the original loan amount minus the Month 1 principal payment?""},{""id"":""29d3bd77-b95e-40a6-858b-0f73d1bb5530"",""points"":2,""question"":""Does the Mortgage schedule on the Loan Amortization Schedule c"&amp;"orrectly produce zero interest, principal, and balance values for months beyond the 48-month term?""},{""id"":""fe1d0ff2-5269-4ac9-893b-14a7b7358abf"",""points"":2,""question"":""Does the Other Bank Debt schedule on the Loan Amortization Schedule correctl"&amp;"y produce zero interest, principal, and balance values for months beyond the 36-month term?""},{""id"":""6ba6d0cc-2c12-4a4d-b461-3ce6f589bde1"",""points"":2,""question"":""Is the interest expense on the monthly Income Statement calculated as the sum of in"&amp;"terest from all four debt instruments (Loan, Mortgage, Other Bank Debt, and Old Loans) for each corresponding month?""},{""id"":""f55c71fd-d551-4aa6-8d1a-bfe3c734cc28"",""points"":2,""question"":""Is the Earnings before taxes line on the monthly Income St"&amp;"atement derived as EBITDA minus depreciation and amortization expense minus interest expense?""}]},{""id"":""c19f928a-cfba-4a0f-937b-11f7780555b7"",""name"":""Model Integration"",""criteria"":[{""id"":""83c149a8-cee9-47df-bf23-4eb8e6c632fa"",""points"":4,"&amp;"""question"":""Is repayment of debt on the Cash Flow tab linked to the Loan Amortization Schedule tab via a formula that aggregates principal repayment across all debt instruments with a sign-flip transformation (not recalculated locally)?""},{""id"":""b5"&amp;"f0f346-c669-4d81-9c49-11ac13c8ff13"",""points"":4,""question"":""Is interest expense on the Income Statement tab linked to the Loan Amortization Schedule tab via a formula that aggregates interest across all debt instruments (not recalculated locally)?""}"&amp;",{""id"":""0eb891e6-976f-466c-841e-a43f9c036a25"",""points"":4,""question"":""Is the Loans line under long term liabilities on the Balance Sheet tab linked to the Loan Amortization Schedule tab via a formula that aggregates loan balances across all debt i"&amp;"nstruments (not recalculated locally)?""},{""id"":""ae551d87-d6e6-4300-801a-63e64bbe0386"",""points"":3,""question"":""Is the number of payments assumption on the Loan Amortization Schedule tab linked to the Capital tab with an arithmetic transformation t"&amp;"o convert the loan term to months (not hardcoded)?""},{""id"":""77fab03d-46f1-467a-a45d-e522d0d6a854"",""points"":2,""question"":""Is the loan amount assumption on the Loan Amortization Schedule tab linked to the Capital tab (not hardcoded)?""},{""id"":"""&amp;"1f459fe2-85d1-4158-bfaf-273c509854b7"",""points"":2,""question"":""Is the Old Loans loan amount on the Loan Amortization Schedule tab linked to the Opening Balance Sheet tab (not hardcoded)?""}]},{""id"":""ab21cc63-2508-46e7-aaac-59c19963aabb"",""name"":"&amp;"""Output Validation"",""criteria"":[{""id"":""57f11849-0726-4727-aff9-51b1868ea76d"",""points"":3,""question"":""Is the Loan monthly payment assumption on the Loan Amortization Schedule tab within +/- 2% of 2954.99?""},{""id"":""88e7b384-6be2-460e-85b2-2d"&amp;"1ca2a9d3a2"",""points"":4,""question"":""Is the Mortgage loan balance at Month 24 on the Loan Amortization Schedule tab within +/- 2% of 15443.25?""},{""id"":""95d99f6c-9931-4dab-b684-fa0448d7f2ae"",""points"":4,""question"":""Is the Other Bank Debt loan "&amp;"balance at Month 30 on the Loan Amortization Schedule tab within +/- 2% of 8747.16?""},{""id"":""fe6bb806-3e82-4790-bf74-bd1a3cfd9674"",""points"":5,""question"":""Is the Loan balance at Month 12 on the Loan Amortization Schedule tab within +/- 2% of 1239"&amp;"16.40?""},{""id"":""8abb29bc-0ec9-485f-8885-abb7626ab891"",""points"":5,""question"":""Is the Loans line on the Balance Sheet tab at Month 12 within +/- 2% of 180728.16?""},{""id"":""078a660f-7047-4d80-a33c-6763ddae4bde"",""points"":5,""question"":""Is th"&amp;"e Loans line on the Balance Sheet tab at Month 36 within +/- 2% of 73979.56?""},{""id"":""9c11b1c5-339e-4491-8b06-b032a6360cce"",""points"":5,""question"":""Is the repayment of debt on the Cash Flow tab at Month 36 within +/- 2% of -3225.17?""},{""id"":"""&amp;"b7a99501-2a87-4097-9a3a-cc2ecfd92a89"",""points"":5,""question"":""Is the interest expense on the Income Statement tab at Month 60 within +/- 2% of 16.61?""}]},{""id"":""926a8a4b-d93b-44bd-abf9-1afa6b644cc5"",""name"":""Perturbation"",""criteria"":[{""id"&amp;""":""4426448c-9c33-4055-b939-d738a466bec8"",""points"":5,""question"":""If the Loan Amount on the Capital tab is changed from 150,000 to 180,000, does Net income on the Income Statement tab for Year 1 Month 1 update to within +/- 2% of 2,754?""},{""id"":"&amp;"""dad63bf8-1ec3-4601-b75a-13dbdec44c9b"",""points"":5,""question"":""If the Loan Interest Rate on the Capital tab is changed from 7% to 10%, does Cash end of year on the Cash Flow tab for Year 1 Month 1 update to within +/- 2% of 133,865?""},{""id"":""937"&amp;"17b48-5a1a-47e6-9ecb-5e02f3451d34"",""points"":5,""question"":""If the Mortgage Amount on the Capital tab is changed from 30,000 to 50,000, does the Loans balance on the Balance Sheet tab for Year 1 Month 1 update to within +/- 2% of 245,600?""},{""id"":"&amp;"""131c7fcc-2a7a-4441-ac24-edbbfc1f3e4f"",""points"":5,""question"":""If the Mortgage Term on the Capital tab is changed from 4 years to 6 years, does Cash end of year on the Cash Flow tab for Year 1 Month 12 update to within +/- 2% of 165,000?""},{""id"":"&amp;"""2d46adb1-a13f-4446-aa98-ab45b4fed363"",""points"":5,""question"":""If the Other Bank Debt Interest Rate on the Capital tab is changed from 4% to 7%, does Net income on the Income Statement tab for Year 1 Month 12 update to within +/- 2% of 7,385?""},{"""&amp;"id"":""634bea85-97f6-49fe-98a3-638101d8463f"",""points"":5,""question"":""If the Other Bank Debt Term on the Capital tab is changed from 3 years to 5 years, does the Loans balance on the Balance Sheet tab for Year 1 Month 12 update to within +/- 2% of 187"&amp;",553?""},{""id"":""eeb19f75-8283-4453-996b-6d00632a66b2"",""points"":5,""question"":""If the Loan Amount on the Capital tab is changed from 150,000 to 180,000, does Net income on the Income Statement tab for Year 1 Month 1 update to within +/- 2% of 2,754"&amp;"?""}]},{""id"":""4efe8ad5-be0d-4e14-aa32-5ab4ab65f20c"",""name"":""Presentation"",""criteria"":[{""id"":""add4f04f-953b-4815-8f85-ed90264a4b9f"",""points"":2,""question"":""Are the monthly payment, interest, principal, and balance values on the Loan Amort"&amp;"ization Schedule formatted with comma separators and two decimal places?""},{""id"":""52696280-36e6-43a3-93b7-a42ab56e3009"",""points"":2,""question"":""Are the four debt instrument sections on the Loan Amortization Schedule visually separated with bold s"&amp;"ection header labels, light grey background fill, and bottom borders on the last row of each schedule?""},{""id"":""05dcb803-143c-42b5-b261-7bc22ddfa61e"",""points"":2,""question"":""Are gridlines hidden on the Loan Amortization Schedule tab, consistent w"&amp;"ith all other tabs in the model?""}]},{""id"":""0b768b08-2b7f-4eab-81b6-a2040065fb4e"",""name"":""Pitfalls"",""criteria"":[{""id"":""13ea64ec-7f8c-4612-aa9b-750f40b5e3ba"",""points"":-5,""question"":""Are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#NUM!)?""},{""id"":""b3493ed0-8d0c-4d14-b7ce-75661b75d7f4"",""points"":-3,""question"":""Is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{"sections":[{"id":"0c05b784-dc83-4e3c-b8a9-cda130fe6c4d","name":"Formula Correctness","criteria":[{"id":"59070581-46d8-46ad-bccf-afdc5184d217","points":2,"question":"Is the monthly rate for each debt instrument on the Loan Amortization Schedule derived by converting the effective annual rate to a monthly rate using the compounding formula ((1+EAR)^(1/12))-1, not simply dividing by 12?"},{"id":"a07fe7d8-c4a2-4d95-9cdf-c7205d5ad0ee","points":1,"question":"Is the number of payments for each debt instrument on the Loan Amortization Schedule derived by multiplying the term in years from the Capital tab by 12?"},{"id":"49c854d0-263c-48be-ac6e-dd223dae2b69","points":2,"question":"Is the monthly payment for each debt instrument on the Loan Amortization Schedule derived as a formula-based level payment calculation using the loan amount, monthly rate, and number of payments (not hardcoded)?"},{"id":"d85fc80d-61b0-45c0-a4d3-02278b60330d","points":1,"question":"Is the monthly interest for each debt instrument on the Loan Amortization Schedule calculated as the prior period ending loan balance multiplied by the monthly rate?"},{"id":"46dd875a-cc5e-483d-a29f-69c8b009ef92","points":2,"question":"Is the monthly principal for each debt instrument on the Loan Amortization Schedule calculated as the monthly payment minus the monthly interest?"},{"id":"324d055c-0647-403c-aeff-dfe1d11e0286","points":2,"question":"Is the loan balance for each debt instrument on the Loan Amortization Schedule calculated as the prior period ending balance minus the current period principal repayment?"},{"id":"0981072e-c443-48ce-919b-bf1f9422cb63","points":1,"question":"Is the Month 1 loan balance for the Loan section on the Loan Amortization Schedule calculated as the original loan amount minus the Month 1 principal payment?"},{"id":"29d3bd77-b95e-40a6-858b-0f73d1bb5530","points":2,"question":"Does the Mortgage schedule on the Loan Amortization Schedule correctly produce zero interest, principal, and balance values for months beyond the 48-month term?"},{"id":"fe1d0ff2-5269-4ac9-893b-14a7b7358abf","points":2,"question":"Does the Other Bank Debt schedule on the Loan Amortization Schedule correctly produce zero interest, principal, and balance values for months beyond the 36-month term?"},{"id":"6ba6d0cc-2c12-4a4d-b461-3ce6f589bde1","points":2,"question":"Is the interest expense on the monthly Income Statement calculated as the sum of interest from all four debt instruments (Loan, Mortgage, Other Bank Debt, and Old Loans) for each corresponding month?"},{"id":"f55c71fd-d551-4aa6-8d1a-bfe3c734cc28","points":2,"question":"Is the Earnings before taxes line on the monthly Income Statement derived as EBITDA minus depreciation and amortization expense minus interest expense?"}]},{"id":"c19f928a-cfba-4a0f-937b-11f7780555b7","name":"Model Integration","criteria":[{"id":"83c149a8-cee9-47df-bf23-4eb8e6c632fa","points":4,"question":"Is repayment of debt on the Cash Flow tab linked to the Loan Amortization Schedule tab via a formula that aggregates principal repayment across all debt instruments with a sign-flip transformation (not recalculated locally)?"},{"id":"b5f0f346-c669-4d81-9c49-11ac13c8ff13","points":4,"question":"Is interest expense on the Income Statement tab linked to the Loan Amortization Schedule tab via a formula that aggregates interest across all debt instruments (not recalculated locally)?"},{"id":"0eb891e6-976f-466c-841e-a43f9c036a25","points":4,"question":"Is the Loans line under long term liabilities on the Balance Sheet tab linked to the Loan Amortization Schedule tab via a formula that aggregates loan balances across all debt instruments (not recalculated locally)?"},{"id":"ae551d87-d6e6-4300-801a-63e64bbe0386","points":3,"question":"Is the number of payments assumption on the Loan Amortization Schedule tab linked to the Capital tab with an arithmetic transformation to convert the loan term to months (not hardcoded)?"},{"id":"77fab03d-46f1-467a-a45d-e522d0d6a854","points":2,"question":"Is the loan amount assumption on the Loan Amortization Schedule tab linked to the Capital tab (not hardcoded)?"},{"id":"1f459fe2-85d1-4158-bfaf-273c509854b7","points":2,"question":"Is the Old Loans loan amount on the Loan Amortization Schedule tab linked to the Opening Balance Sheet tab (not hardcoded)?"}]},{"id":"ab21cc63-2508-46e7-aaac-59c19963aabb","name":"Output Validation","criteria":[{"id":"57f11849-0726-4727-aff9-51b1868ea76d","points":3,"question":"Is the Loan monthly payment assumption on the Loan Amortization Schedule tab within +/- 2% of 2954.99?"},{"id":"88e7b384-6be2-460e-85b2-2d1ca2a9d3a2","points":4,"question":"Is the Mortgage loan balance at Month 24 on the Loan Amortization Schedule tab within +/- 2% of 15443.25?"},{"id":"95d99f6c-9931-4dab-b684-fa0448d7f2ae","points":4,"question":"Is the Other Bank Debt loan balance at Month 30 on the Loan Amortization Schedule tab within +/- 2% of 8747.16?"},{"id":"fe6bb806-3e82-4790-bf74-bd1a3cfd9674","points":5,"question":"Is the Loan balance at Month 12 on the Loan Amortization Schedule tab within +/- 2% of 123916.40?"},{"id":"8abb29bc-0ec9-485f-8885-abb7626ab891","points":5,"question":"Is the Loans line on the Balance Sheet tab at Month 12 within +/- 2% of 180728.16?"},{"id":"078a660f-7047-4d80-a33c-6763ddae4bde","points":5,"question":"Is the Loans line on the Balance Sheet tab at Month 36 within +/- 2% of 73979.56?"},{"id":"9c11b1c5-339e-4491-8b06-b032a6360cce","points":5,"question":"Is the repayment of debt on the Cash Flow tab at Month 36 within +/- 2% of -3225.17?"},{"id":"b7a99501-2a87-4097-9a3a-cc2ecfd92a89","points":5,"question":"Is the interest expense on the Income Statement tab at Month 60 within +/- 2% of 16.61?"}]},{"id":"926a8a4b-d93b-44bd-abf9-1afa6b644cc5","name":"Perturbation","criteria":[{"id":"4426448c-9c33-4055-b939-d738a466bec8","points":5,"question":"If the Loan Amount on the Capital tab is changed from 150,000 to 180,000, does Net income on the Income Statement tab for Year 1 Month 1 update to within +/- 2% of 2,754?"},{"id":"dad63bf8-1ec3-4601-b75a-13dbdec44c9b","points":5,"question":"If the Loan Interest Rate on the Capital tab is changed from 7% to 10%, does Cash end of year on the Cash Flow tab for Year 1 Month 1 update to within +/- 2% of 133,865?"},{"id":"93717b48-5a1a-47e6-9ecb-5e02f3451d34","points":5,"question":"If the Mortgage Amount on the Capital tab is changed from 30,000 to 50,000, does the Loans balance on the Balance Sheet tab for Year 1 Month 1 update to within +/- 2% of 245,600?"},{"id":"131c7fcc-2a7a-4441-ac24-edbbfc1f3e4f","points":5,"question":"If the Mortgage Term on the Capital tab is changed from 4 years to 6 years, does Cash end of year on the Cash Flow tab for Year 1 Month 12 update to within +/- 2% of 165,000?"},{"id":"2d46adb1-a13f-4446-aa98-ab45b4fed363","points":5,"question":"If the Other Bank Debt Interest Rate on the Capital tab is changed from 4% to 7%, does Net income on the Income Statement tab for Year 1 Month 12 update to within +/- 2% of 7,385?"},{"id":"634bea85-97f6-49fe-98a3-638101d8463f","points":5,"question":"If the Other Bank Debt Term on the Capital tab is changed from 3 years to 5 years, does the Loans balance on the Balance Sheet tab for Year 1 Month 12 update to within +/- 2% of 187,553?"},{"id":"eeb19f75-8283-4453-996b-6d00632a66b2","points":5,"question":"If the Loan Amount on the Capital tab is changed from 150,000 to 180,000, does Net income on the Income Statement tab for Year 1 Month 1 update to within +/- 2% of 2,754?"}]},{"id":"4efe8ad5-be0d-4e14-aa32-5ab4ab65f20c","name":"Presentation","criteria":[{"id":"add4f04f-953b-4815-8f85-ed90264a4b9f","points":2,"question":"Are the monthly payment, interest, principal, and balance values on the Loan Amortization Schedule formatted with comma separators and two decimal places?"},{"id":"52696280-36e6-43a3-93b7-a42ab56e3009","points":2,"question":"Are the four debt instrument sections on the Loan Amortization Schedule visually separated with bold section header labels, light grey background fill, and bottom borders on the last row of each schedule?"},{"id":"05dcb803-143c-42b5-b261-7bc22ddfa61e","points":2,"question":"Are gridlines hidden on the Loan Amortization Schedule tab, consistent with all other tabs in the model?"}]},{"id":"0b768b08-2b7f-4eab-81b6-a2040065fb4e","name":"Pitfalls","criteria":[{"id":"13ea64ec-7f8c-4612-aa9b-750f40b5e3ba","points":-5,"question":"Are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#NUM!)?"},{"id":"b3493ed0-8d0c-4d14-b7ce-75661b75d7f4","points":-3,"question":"Is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5" s="43" t="str">
        <f>IFERROR(__xludf.DUMMYFUNCTION("""COMPUTED_VALUE"""),"{""rating"":2,""feedback"":""Effective score ~70, decision band re-try needed. The submitted prompt still tells the contributor to pull loan amount, interest rate, and term for all four debt instruments (including Old Loans) directly from the Capital tab,"&amp;" which contradicts the intended source for Old Loans (8) Opening Balance Sheet) and contradicts the rubric criterion 1f459fe2 that grades Old Loans linkage to the Opening Balance Sheet — this triggers the Old-Loans-from-Capital cap at 80. The submitted in"&amp;"put workbook was not corrected: on 6) Capital, Mortgage term is still 1 and Other Bank Debt term is still 1 instead of 4 and 3 (cap at 90). Output validation criterion 9c11b1c5 still uses -3225.17 for Cash Flow repayment at Month 36, but -3225.17 is the M"&amp;"onth 37 value (true Month 36 ≈ -4678.87) — cap at 88. The Perturbation section contains an exact duplicate (4426448c and eeb19f75 both test Loan Amount 150,000→180,000 / Net Income Y1M1 ≈ 2,754) — cap at 92. The prompt also omits any mention of downstream"&amp;" integration into Income Statement, Balance Sheet, and Cash Flow even though the rubric heavily grades those links (cap at 85), and it underspecifies the compounding-aware monthly rate conversion, fixed level amortizing payment, interest on prior-period b"&amp;"alance, principal = payment − interest, and balance roll-forward / term-zeroing logic. Output validation and most perturbation targets use rounded display values rather than exact raw values (e.g., 2954.99, 180728.16, 73979.56, 16.61). Presentation includ"&amp;"es a gridlines-hidden check that should be removed, and the Pitfalls section is too broad, sweeping in unchanged tabs (PD Charts, Valuation, Sensitivity Analysis, Ratio Analysis, Financial Highlights, 4) Operating Expenses, 9) WACC) and conflates 'truncat"&amp;"ed' with 'hidden.' Required revisions: fix the Capital terms in the input workbook to 5/4/3; rewrite the prompt to source Old Loans from 8) Opening Balance Sheet, add downstream Income Statement/Balance Sheet/Cash Flow integration, and specify compounding"&amp;" monthly rate, fixed level payment, interest on prior balance, principal = payment − interest, balance roll-forward, and term-zeroing without leaking formulas/values; move the -3225.17 target to Month 37 or replace with the true Month 36 value (~-4678.87)"&amp;"; delete the duplicate Loan Amount perturbation; replace rounded targets with exact raw values; drop the gridlines criterion and scope pitfalls to the changed/relevant tabs (6) Capital, 8) Opening Balance Sheet, Loan Amortization Schedule, Income Statemen"&amp;"t, Balance Sheet, Cash Flow).""}")</f>
        <v>{"rating":2,"feedback":"Effective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U105" s="43" t="str">
        <f>IFERROR(__xludf.DUMMYFUNCTION("""COMPUTED_VALUE"""),"train yourself!")</f>
        <v>train yourself!</v>
      </c>
      <c r="V105" s="110" t="str">
        <f>IFERROR(__xludf.DUMMYFUNCTION("""COMPUTED_VALUE"""),"https://tsipprd.blob.core.windows.net/tsip-files/imports/cb09ba27-c93f-488d-a521-1acfca174929/1779316481981_input.xlsx?sv=2026-02-06&amp;se=2026-05-23T18%3A39%3A31Z&amp;sr=b&amp;sp=r&amp;sig=2gQI6v3gVRJ7bBy8OTEtDQqgofgHRcOFjM%2FGg2w5QUs%3D")</f>
        <v>https://tsipprd.blob.core.windows.net/tsip-files/imports/cb09ba27-c93f-488d-a521-1acfca174929/1779316481981_input.xlsx?sv=2026-02-06&amp;se=2026-05-23T18%3A39%3A31Z&amp;sr=b&amp;sp=r&amp;sig=2gQI6v3gVRJ7bBy8OTEtDQqgofgHRcOFjM%2FGg2w5QUs%3D</v>
      </c>
      <c r="W105" s="110" t="str">
        <f>IFERROR(__xludf.DUMMYFUNCTION("""COMPUTED_VALUE"""),"https://tsipprd.blob.core.windows.net/tsip-files/imports/cb09ba27-c93f-488d-a521-1acfca174929/1779316482562_output.xlsx?sv=2026-02-06&amp;se=2026-05-23T18%3A39%3A31Z&amp;sr=b&amp;sp=r&amp;sig=rsvUDCG244FvJWZgWKNAjeQkXAVRYvvqYUy7mPDtCS8%3D")</f>
        <v>https://tsipprd.blob.core.windows.net/tsip-files/imports/cb09ba27-c93f-488d-a521-1acfca174929/1779316482562_output.xlsx?sv=2026-02-06&amp;se=2026-05-23T18%3A39%3A31Z&amp;sr=b&amp;sp=r&amp;sig=rsvUDCG244FvJWZgWKNAjeQkXAVRYvvqYUy7mPDtCS8%3D</v>
      </c>
      <c r="X105" s="43" t="str">
        <f>IFERROR(__xludf.DUMMYFUNCTION("""COMPUTED_VALUE"""),"success")</f>
        <v>success</v>
      </c>
      <c r="Y105" s="43">
        <f>IFERROR(__xludf.DUMMYFUNCTION("""COMPUTED_VALUE"""),2.0)</f>
        <v>2</v>
      </c>
      <c r="Z105" s="43" t="str">
        <f>IFERROR(__xludf.DUMMYFUNCTION("""COMPUTED_VALUE"""),"Effective score ~70, decision band re-try needed. The submitted prompt still tells the contributor to pull loan amount, interest rate, and term for all four debt instruments (including Old Loans) directly from the Capital tab, which contradicts the intend"&amp;"ed source for Old Loans (8) Opening Balance Sheet) and contradicts the rubric criterion 1f459fe2 that grades Old Loans linkage to the Opening Balance Sheet — this triggers the Old-Loans-from-Capital cap at 80. The submitted input workbook was not correcte"&amp;"d: on 6) Capital, Mortgage term is still 1 and Other Bank Debt term is still 1 instead of 4 and 3 (cap at 90). Output validation criterion 9c11b1c5 still uses -3225.17 for Cash Flow repayment at Month 36, but -3225.17 is the Month 37 value (true Month 36 "&amp;"≈ -4678.87) — cap at 88. The Perturbation section contains an exact duplicate (4426448c and eeb19f75 both test Loan Amount 150,000→180,000 / Net Income Y1M1 ≈ 2,754) — cap at 92. The prompt also omits any mention of downstream integration into Income Stat"&amp;"ement, Balance Sheet, and Cash Flow even though the rubric heavily grades those links (cap at 85), and it underspecifies the compounding-aware monthly rate conversion, fixed level amortizing payment, interest on prior-period balance, principal = payment −"&amp;" interest, and balance roll-forward / term-zeroing logic. Output validation and most perturbation targets use rounded display values rather than exact raw values (e.g., 2954.99, 180728.16, 73979.56, 16.61). Presentation includes a gridlines-hidden check t"&amp;"hat should be removed, and the Pitfalls section is too broad, sweeping in unchanged tabs (PD Charts, Valuation, Sensitivity Analysis, Ratio Analysis, Financial Highlights, 4) Operating Expenses, 9) WACC) and conflates 'truncated' with 'hidden.' Required r"&amp;"evisions: fix the Capital terms in the input workbook to 5/4/3; rewrite the prompt to source Old Loans from 8) Opening Balance Sheet, add downstream Income Statement/Balance Sheet/Cash Flow integration, and specify compounding monthly rate, fixed level pa"&amp;"yment, interest on prior balance, principal = payment − interest, balance roll-forward, and term-zeroing without leaking formulas/values; move the -3225.17 target to Month 37 or replace with the true Month 36 value (~-4678.87); delete the duplicate Loan A"&amp;"mount perturbation; replace rounded targets with exact raw values; drop the gridlines criterion and scope pitfalls to the changed/relevant tabs (6) Capital, 8) Opening Balance Sheet, Loan Amortization Schedule, Income Statement, Balance Sheet, Cash Flow).")</f>
        <v>Effective score ~70, decision band re-try needed. The submitted prompt still tells the contributor to pull loan amount, interest rate, and term for all four debt instruments (including Old Loans) directly from the Capital tab, which contradicts the intended source for Old Loans (8) Opening Balance Sheet) and contradicts the rubric criterion 1f459fe2 that grades Old Loans linkage to the Opening Balance Sheet — this triggers the Old-Loans-from-Capital cap at 80. The submitted input workbook was not corrected: on 6) Capital, Mortgage term is still 1 and Other Bank Debt term is still 1 instead of 4 and 3 (cap at 90). Output validation criterion 9c11b1c5 still uses -3225.17 for Cash Flow repayment at Month 36, but -3225.17 is the Month 37 value (true Month 36 ≈ -4678.87) — cap at 88. The Perturbation section contains an exact duplicate (4426448c and eeb19f75 both test Loan Amount 150,000→180,000 / Net Income Y1M1 ≈ 2,754) — cap at 92. The prompt also omits any mention of downstream integration into Income Statement, Balance Sheet, and Cash Flow even though the rubric heavily grades those links (cap at 85), and it underspecifies the compounding-aware monthly rate conversion, fixed level amortizing payment, interest on prior-period balance, principal = payment − interest, and balance roll-forward / term-zeroing logic. Output validation and most perturbation targets use rounded display values rather than exact raw values (e.g., 2954.99, 180728.16, 73979.56, 16.61). Presentation includes a gridlines-hidden check that should be removed, and the Pitfalls section is too broad, sweeping in unchanged tabs (PD Charts, Valuation, Sensitivity Analysis, Ratio Analysis, Financial Highlights, 4) Operating Expenses, 9) WACC) and conflates 'truncated' with 'hidden.' Required revisions: fix the Capital terms in the input workbook to 5/4/3; rewrite the prompt to source Old Loans from 8) Opening Balance Sheet, add downstream Income Statement/Balance Sheet/Cash Flow integration, and specify compounding monthly rate, fixed level payment, interest on prior balance, principal = payment − interest, balance roll-forward, and term-zeroing without leaking formulas/values; move the -3225.17 target to Month 37 or replace with the true Month 36 value (~-4678.87); delete the duplicate Loan Amount perturbation; replace rounded targets with exact raw values; drop the gridlines criterion and scope pitfalls to the changed/relevant tabs (6) Capital, 8) Opening Balance Sheet, Loan Amortization Schedule, Income Statement, Balance Sheet, Cash Flow).</v>
      </c>
      <c r="AA105" s="43" t="str">
        <f>IFERROR(__xludf.DUMMYFUNCTION("""COMPUTED_VALUE"""),"success")</f>
        <v>success</v>
      </c>
    </row>
    <row r="106">
      <c r="A106" s="110" t="str">
        <f t="shared" si="1"/>
        <v>www.tsip.ai/claim/0e48108d-062e-4d21-a56c-ef1167597aa2</v>
      </c>
      <c r="B106" s="43" t="str">
        <f>IFERROR(__xludf.DUMMYFUNCTION("""COMPUTED_VALUE"""),"0e48108d-062e-4d21-a56c-ef1167597aa2")</f>
        <v>0e48108d-062e-4d21-a56c-ef1167597aa2</v>
      </c>
      <c r="C106" s="43" t="str">
        <f>IFERROR(__xludf.DUMMYFUNCTION("""COMPUTED_VALUE"""),"sheets-training")</f>
        <v>sheets-training</v>
      </c>
      <c r="D106" s="43">
        <f>IFERROR(__xludf.DUMMYFUNCTION("""COMPUTED_VALUE"""),3.0)</f>
        <v>3</v>
      </c>
      <c r="E106" s="43" t="str">
        <f>IFERROR(__xludf.DUMMYFUNCTION("""COMPUTED_VALUE"""),"training_review")</f>
        <v>training_review</v>
      </c>
      <c r="F106" s="43" t="str">
        <f>IFERROR(__xludf.DUMMYFUNCTION("""COMPUTED_VALUE"""),"cb09ba27-c93f-488d-a521-1acfca174929")</f>
        <v>cb09ba27-c93f-488d-a521-1acfca174929</v>
      </c>
      <c r="G106" s="43" t="str">
        <f>IFERROR(__xludf.DUMMYFUNCTION("""COMPUTED_VALUE"""),"NULL")</f>
        <v>NULL</v>
      </c>
      <c r="H106" s="43" t="str">
        <f>IFERROR(__xludf.DUMMYFUNCTION("""COMPUTED_VALUE"""),"""2026-05-21T00:31:57.392Z""")</f>
        <v>"2026-05-21T00:31:57.392Z"</v>
      </c>
      <c r="I106" s="43" t="str">
        <f>IFERROR(__xludf.DUMMYFUNCTION("""COMPUTED_VALUE"""),"NULL")</f>
        <v>NULL</v>
      </c>
      <c r="J106" s="43" t="str">
        <f>IFERROR(__xludf.DUMMYFUNCTION("""COMPUTED_VALUE"""),"NULL")</f>
        <v>NULL</v>
      </c>
      <c r="K106" s="43" t="str">
        <f>IFERROR(__xludf.DUMMYFUNCTION("""COMPUTED_VALUE"""),"""2026-05-20T23:00:23.981Z""")</f>
        <v>"2026-05-20T23:00:23.981Z"</v>
      </c>
      <c r="L106" s="43" t="str">
        <f>IFERROR(__xludf.DUMMYFUNCTION("""COMPUTED_VALUE"""),"""2026-05-21T00:31:57.392Z""")</f>
        <v>"2026-05-21T00:31:57.392Z"</v>
      </c>
      <c r="M106" s="43" t="str">
        <f>IFERROR(__xludf.DUMMYFUNCTION("""COMPUTED_VALUE"""),"d712a3c3-690d-4cf9-b5f9-8472a9d7da2c")</f>
        <v>d712a3c3-690d-4cf9-b5f9-8472a9d7da2c</v>
      </c>
      <c r="N106" s="43" t="str">
        <f>IFERROR(__xludf.DUMMYFUNCTION("""COMPUTED_VALUE"""),"cacf4da3-cd8d-402b-a1e9-f3ad3e7f11bf")</f>
        <v>cacf4da3-cd8d-402b-a1e9-f3ad3e7f11bf</v>
      </c>
      <c r="O106" s="43" t="str">
        <f>IFERROR(__xludf.DUMMYFUNCTION("""COMPUTED_VALUE"""),"{}")</f>
        <v>{}</v>
      </c>
      <c r="P106" s="43" t="str">
        <f>IFERROR(__xludf.DUMMYFUNCTION("""COMPUTED_VALUE"""),"training_review")</f>
        <v>training_review</v>
      </c>
      <c r="Q106" s="43" t="str">
        <f>IFERROR(__xludf.DUMMYFUNCTION("""COMPUTED_VALUE"""),"sheets-training")</f>
        <v>sheets-training</v>
      </c>
      <c r="R106"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06" s="43" t="str">
        <f>IFERROR(__xludf.DUMMYFUNCTION("""COMPUTED_VALUE"""),"{""sections"":[{""id"":""a65cddac-3207-416b-92e4-da3a3e155ec0"",""name"":""Formula Correctness"",""criteria"":[{""id"":""81b0a18e-f962-4880-b46f-5f8f57c5fa50"",""points"":2,""question"":""Is the monthly rate for each debt instrument on the Loan Amortizati"&amp;"on Schedule derived by converting the effective annual rate to a monthly rate using the compounding formula ((1+EAR)^(1/12))-1, not simply dividing by 12?""},{""id"":""f7b8b885-7d9e-408b-93d3-6df65b8a0e01"",""points"":1,""question"":""Is the number of pay"&amp;"ments for each debt instrument on the Loan Amortization Schedule derived by multiplying the term in years from the Capital tab by 12?""},{""id"":""d779033a-295a-4dbf-99eb-56f2b8a0ed77"",""points"":2,""question"":""Is the monthly payment for each debt inst"&amp;"rument on the Loan Amortization Schedule derived as a formula-based level payment calculation using the loan amount, monthly rate, and number of payments (not hardcoded)?""},{""id"":""4ef24a45-f03c-40c5-b0dc-45556e0cde3c"",""points"":1,""question"":""Is t"&amp;"he monthly interest for each debt instrument on the Loan Amortization Schedule calculated as the prior period ending loan balance multiplied by the monthly rate?""},{""id"":""280535f7-0082-475c-9c81-225522df7ac6"",""points"":2,""question"":""Is the monthl"&amp;"y principal for each debt instrument on the Loan Amortization Schedule calculated as the monthly payment minus the monthly interest?""},{""id"":""de5a3178-eeec-4f0c-82fa-27c2018162cc"",""points"":2,""question"":""Is the loan balance for each debt instrume"&amp;"nt on the Loan Amortization Schedule calculated as the prior period ending balance minus the current period principal repayment?""},{""id"":""5dc238d7-e0bf-4594-8423-a6a499172b67"",""points"":1,""question"":""Is the Month 1 loan balance for the Loan secti"&amp;"on on the Loan Amortization Schedule calculated as the original loan amount minus the Month 1 principal payment?""},{""id"":""e16050ef-3dd6-463a-bf4f-1064d7bb1e85"",""points"":2,""question"":""Does the Mortgage schedule on the Loan Amortization Schedule c"&amp;"orrectly produce zero interest, principal, and balance values for months beyond the 48-month term?""},{""id"":""456afc86-c30c-4a4a-a2ee-c3f0e80bfaa9"",""points"":2,""question"":""Does the Other Bank Debt schedule on the Loan Amortization Schedule correctl"&amp;"y produce zero interest, principal, and balance values for months beyond the 36-month term?""},{""id"":""bda71d69-717d-4b43-8dab-db1dac6a4991"",""points"":2,""question"":""Is the interest expense on the monthly Income Statement calculated as the sum of in"&amp;"terest from all four debt instruments (Loan, Mortgage, Other Bank Debt, and Old Loans) for each corresponding month?""},{""id"":""98037bfc-8a94-4570-afea-e1f10a0747d1"",""points"":2,""question"":""Is the Earnings before taxes line on the monthly Income St"&amp;"atement derived as EBITDA minus depreciation and amortization expense minus interest expense?""}]},{""id"":""7e59ffa2-0d60-467f-99a1-24baad695b2c"",""name"":""Model Integration"",""criteria"":[{""id"":""22097074-c990-4a24-a6cc-2a473ae0d2c8"",""points"":4,"&amp;"""question"":""Is repayment of debt on the Cash Flow tab linked to the Loan Amortization Schedule tab via a formula that aggregates principal repayment across all debt instruments with a sign-flip transformation (not recalculated locally)?""},{""id"":""ba"&amp;"65ddac-990a-4695-95c1-d123f1169906"",""points"":4,""question"":""Is interest expense on the Income Statement tab linked to the Loan Amortization Schedule tab via a formula that aggregates interest across all debt instruments (not recalculated locally)?""}"&amp;",{""id"":""bbdcdb7e-06e3-462d-8639-3879fb8f1999"",""points"":4,""question"":""Is the Loans line under long term liabilities on the Balance Sheet tab linked to the Loan Amortization Schedule tab via a formula that aggregates loan balances across all debt i"&amp;"nstruments (not recalculated locally)?""},{""id"":""e7260d95-1854-47d8-9d0b-59ef8e8e80b2"",""points"":3,""question"":""Is the number of payments assumption on the Loan Amortization Schedule tab linked to the Capital tab with an arithmetic transformation t"&amp;"o convert the loan term to months (not hardcoded)?""},{""id"":""f6ad5fd0-e457-4020-9f76-6c4b269e2885"",""points"":2,""question"":""Is the loan amount assumption on the Loan Amortization Schedule tab linked to the Capital tab (not hardcoded)?""},{""id"":"""&amp;"7cda6bca-52ca-4d93-9dab-742617071119"",""points"":2,""question"":""Is the Old Loans loan amount on the Loan Amortization Schedule tab linked to the Opening Balance Sheet tab (not hardcoded)?""}]},{""id"":""a84db4e1-6d60-4e13-aa8b-318afc2229d9"",""name"":"&amp;"""Output Validation"",""criteria"":[{""id"":""09e4a3a5-d9e7-4b4c-8843-aaa6074f6bb1"",""points"":3,""question"":""Is the Loan monthly payment assumption on the Loan Amortization Schedule tab within +/- 2% of 2954.99?""},{""id"":""c03d7191-e062-40d4-aac0-74"&amp;"879ff03439"",""points"":4,""question"":""Is the Mortgage loan balance at Month 24 on the Loan Amortization Schedule tab within +/- 2% of 15443.25?""},{""id"":""802839fa-f50b-4356-84f5-2c544eb1165b"",""points"":4,""question"":""Is the Other Bank Debt loan "&amp;"balance at Month 30 on the Loan Amortization Schedule tab within +/- 2% of 8747.16?""},{""id"":""f2c69eee-4fde-4cd3-94ac-4b38844c892e"",""points"":5,""question"":""Is the Loan balance at Month 12 on the Loan Amortization Schedule tab within +/- 2% of 1239"&amp;"16.40?""},{""id"":""e48ade84-83b8-4549-9ed7-5dcfd961e11e"",""points"":5,""question"":""Is the Loans line on the Balance Sheet tab at Month 12 within +/- 2% of 180728.16?""},{""id"":""fbc16da4-4023-402d-9f5b-617aca8a3422"",""points"":5,""question"":""Is th"&amp;"e Loans line on the Balance Sheet tab at Month 36 within +/- 2% of 73979.56?""},{""id"":""eb6284bf-5061-4a6f-b89d-d757f334c8e9"",""points"":5,""question"":""Is the repayment of debt on the Cash Flow tab at Month 36 within +/- 2% of -3225.17?""},{""id"":"""&amp;"7d3396ca-d23d-4234-b20c-267357d4fcfa"",""points"":5,""question"":""Is the interest expense on the Income Statement tab at Month 60 within +/- 2% of 16.61?""}]},{""id"":""e947cbba-fb19-41b5-b3c5-d79c88845187"",""name"":""Perturbation"",""criteria"":[{""id"&amp;""":""c1549091-8e39-4d4e-a25a-078531049988"",""points"":5,""question"":""If the Loan Amount on the Capital tab is changed from 150,000 to 180,000, does Net income on the Income Statement tab for Year 1 Month 1 update to within +/- 2% of 2,754?""},{""id"":"&amp;"""59331be9-78f8-4e95-840d-b3ae39bc254f"",""points"":5,""question"":""If the Loan Interest Rate on the Capital tab is changed from 7% to 10%, does Cash end of year on the Cash Flow tab for Year 1 Month 1 update to within +/- 2% of 133,865?""},{""id"":""697"&amp;"5ff2d-88db-493a-8fb7-92105424cd75"",""points"":5,""question"":""If the Mortgage Amount on the Capital tab is changed from 30,000 to 50,000, does the Loans balance on the Balance Sheet tab for Year 1 Month 1 update to within +/- 2% of 245,600?""},{""id"":"&amp;"""649b5c84-1dd9-42e1-819e-c81f3db99692"",""points"":5,""question"":""If the Mortgage Term on the Capital tab is changed from 4 years to 6 years, does Cash end of year on the Cash Flow tab for Year 1 Month 12 update to within +/- 2% of 165,000?""},{""id"":"&amp;"""90810784-6225-4eef-a335-1afa0b4969c6"",""points"":5,""question"":""If the Other Bank Debt Interest Rate on the Capital tab is changed from 4% to 7%, does Net income on the Income Statement tab for Year 1 Month 12 update to within +/- 2% of 7,385?""},{"""&amp;"id"":""a2095a5c-71a1-4d9b-8e13-c999279fb2ae"",""points"":5,""question"":""If the Other Bank Debt Term on the Capital tab is changed from 3 years to 5 years, does the Loans balance on the Balance Sheet tab for Year 1 Month 12 update to within +/- 2% of 187"&amp;",553?""},{""id"":""81476534-e1ad-490b-a48e-72cb4fdd596d"",""points"":5,""question"":""If the Loan Amount on the Capital tab is changed from 150,000 to 180,000, does Net income on the Income Statement tab for Year 1 Month 1 update to within +/- 2% of 2,754"&amp;"?""}]},{""id"":""b6bc7212-cbf4-4de8-81cb-0eafa356b993"",""name"":""Presentation"",""criteria"":[{""id"":""1414ac61-3d28-4895-bb32-e17178c19c01"",""points"":2,""question"":""Are the monthly payment, interest, principal, and balance values on the Loan Amort"&amp;"ization Schedule formatted with comma separators and two decimal places?""},{""id"":""a27a4eba-8878-48df-8dc8-4c6448c0244d"",""points"":2,""question"":""Are the four debt instrument sections on the Loan Amortization Schedule visually separated with bold s"&amp;"ection header labels, light grey background fill, and bottom borders on the last row of each schedule?""},{""id"":""24c24167-c9b1-479d-84b3-17e6342b9a30"",""points"":2,""question"":""Are gridlines hidden on the Loan Amortization Schedule tab, consistent w"&amp;"ith all other tabs in the model?""}]},{""id"":""6a242126-b0df-4306-a4ab-219bf2f24553"",""name"":""Pitfalls"",""criteria"":[{""id"":""aca61acb-e0a9-4cf4-a556-c7988d7622e5"",""points"":-5,""question"":""Are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#NUM!)?""},{""id"":""94574f9b-8161-486d-aa3d-2f4f8a80660a"",""points"":-3,""question"":""Is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{"sections":[{"id":"a65cddac-3207-416b-92e4-da3a3e155ec0","name":"Formula Correctness","criteria":[{"id":"81b0a18e-f962-4880-b46f-5f8f57c5fa50","points":2,"question":"Is the monthly rate for each debt instrument on the Loan Amortization Schedule derived by converting the effective annual rate to a monthly rate using the compounding formula ((1+EAR)^(1/12))-1, not simply dividing by 12?"},{"id":"f7b8b885-7d9e-408b-93d3-6df65b8a0e01","points":1,"question":"Is the number of payments for each debt instrument on the Loan Amortization Schedule derived by multiplying the term in years from the Capital tab by 12?"},{"id":"d779033a-295a-4dbf-99eb-56f2b8a0ed77","points":2,"question":"Is the monthly payment for each debt instrument on the Loan Amortization Schedule derived as a formula-based level payment calculation using the loan amount, monthly rate, and number of payments (not hardcoded)?"},{"id":"4ef24a45-f03c-40c5-b0dc-45556e0cde3c","points":1,"question":"Is the monthly interest for each debt instrument on the Loan Amortization Schedule calculated as the prior period ending loan balance multiplied by the monthly rate?"},{"id":"280535f7-0082-475c-9c81-225522df7ac6","points":2,"question":"Is the monthly principal for each debt instrument on the Loan Amortization Schedule calculated as the monthly payment minus the monthly interest?"},{"id":"de5a3178-eeec-4f0c-82fa-27c2018162cc","points":2,"question":"Is the loan balance for each debt instrument on the Loan Amortization Schedule calculated as the prior period ending balance minus the current period principal repayment?"},{"id":"5dc238d7-e0bf-4594-8423-a6a499172b67","points":1,"question":"Is the Month 1 loan balance for the Loan section on the Loan Amortization Schedule calculated as the original loan amount minus the Month 1 principal payment?"},{"id":"e16050ef-3dd6-463a-bf4f-1064d7bb1e85","points":2,"question":"Does the Mortgage schedule on the Loan Amortization Schedule correctly produce zero interest, principal, and balance values for months beyond the 48-month term?"},{"id":"456afc86-c30c-4a4a-a2ee-c3f0e80bfaa9","points":2,"question":"Does the Other Bank Debt schedule on the Loan Amortization Schedule correctly produce zero interest, principal, and balance values for months beyond the 36-month term?"},{"id":"bda71d69-717d-4b43-8dab-db1dac6a4991","points":2,"question":"Is the interest expense on the monthly Income Statement calculated as the sum of interest from all four debt instruments (Loan, Mortgage, Other Bank Debt, and Old Loans) for each corresponding month?"},{"id":"98037bfc-8a94-4570-afea-e1f10a0747d1","points":2,"question":"Is the Earnings before taxes line on the monthly Income Statement derived as EBITDA minus depreciation and amortization expense minus interest expense?"}]},{"id":"7e59ffa2-0d60-467f-99a1-24baad695b2c","name":"Model Integration","criteria":[{"id":"22097074-c990-4a24-a6cc-2a473ae0d2c8","points":4,"question":"Is repayment of debt on the Cash Flow tab linked to the Loan Amortization Schedule tab via a formula that aggregates principal repayment across all debt instruments with a sign-flip transformation (not recalculated locally)?"},{"id":"ba65ddac-990a-4695-95c1-d123f1169906","points":4,"question":"Is interest expense on the Income Statement tab linked to the Loan Amortization Schedule tab via a formula that aggregates interest across all debt instruments (not recalculated locally)?"},{"id":"bbdcdb7e-06e3-462d-8639-3879fb8f1999","points":4,"question":"Is the Loans line under long term liabilities on the Balance Sheet tab linked to the Loan Amortization Schedule tab via a formula that aggregates loan balances across all debt instruments (not recalculated locally)?"},{"id":"e7260d95-1854-47d8-9d0b-59ef8e8e80b2","points":3,"question":"Is the number of payments assumption on the Loan Amortization Schedule tab linked to the Capital tab with an arithmetic transformation to convert the loan term to months (not hardcoded)?"},{"id":"f6ad5fd0-e457-4020-9f76-6c4b269e2885","points":2,"question":"Is the loan amount assumption on the Loan Amortization Schedule tab linked to the Capital tab (not hardcoded)?"},{"id":"7cda6bca-52ca-4d93-9dab-742617071119","points":2,"question":"Is the Old Loans loan amount on the Loan Amortization Schedule tab linked to the Opening Balance Sheet tab (not hardcoded)?"}]},{"id":"a84db4e1-6d60-4e13-aa8b-318afc2229d9","name":"Output Validation","criteria":[{"id":"09e4a3a5-d9e7-4b4c-8843-aaa6074f6bb1","points":3,"question":"Is the Loan monthly payment assumption on the Loan Amortization Schedule tab within +/- 2% of 2954.99?"},{"id":"c03d7191-e062-40d4-aac0-74879ff03439","points":4,"question":"Is the Mortgage loan balance at Month 24 on the Loan Amortization Schedule tab within +/- 2% of 15443.25?"},{"id":"802839fa-f50b-4356-84f5-2c544eb1165b","points":4,"question":"Is the Other Bank Debt loan balance at Month 30 on the Loan Amortization Schedule tab within +/- 2% of 8747.16?"},{"id":"f2c69eee-4fde-4cd3-94ac-4b38844c892e","points":5,"question":"Is the Loan balance at Month 12 on the Loan Amortization Schedule tab within +/- 2% of 123916.40?"},{"id":"e48ade84-83b8-4549-9ed7-5dcfd961e11e","points":5,"question":"Is the Loans line on the Balance Sheet tab at Month 12 within +/- 2% of 180728.16?"},{"id":"fbc16da4-4023-402d-9f5b-617aca8a3422","points":5,"question":"Is the Loans line on the Balance Sheet tab at Month 36 within +/- 2% of 73979.56?"},{"id":"eb6284bf-5061-4a6f-b89d-d757f334c8e9","points":5,"question":"Is the repayment of debt on the Cash Flow tab at Month 36 within +/- 2% of -3225.17?"},{"id":"7d3396ca-d23d-4234-b20c-267357d4fcfa","points":5,"question":"Is the interest expense on the Income Statement tab at Month 60 within +/- 2% of 16.61?"}]},{"id":"e947cbba-fb19-41b5-b3c5-d79c88845187","name":"Perturbation","criteria":[{"id":"c1549091-8e39-4d4e-a25a-078531049988","points":5,"question":"If the Loan Amount on the Capital tab is changed from 150,000 to 180,000, does Net income on the Income Statement tab for Year 1 Month 1 update to within +/- 2% of 2,754?"},{"id":"59331be9-78f8-4e95-840d-b3ae39bc254f","points":5,"question":"If the Loan Interest Rate on the Capital tab is changed from 7% to 10%, does Cash end of year on the Cash Flow tab for Year 1 Month 1 update to within +/- 2% of 133,865?"},{"id":"6975ff2d-88db-493a-8fb7-92105424cd75","points":5,"question":"If the Mortgage Amount on the Capital tab is changed from 30,000 to 50,000, does the Loans balance on the Balance Sheet tab for Year 1 Month 1 update to within +/- 2% of 245,600?"},{"id":"649b5c84-1dd9-42e1-819e-c81f3db99692","points":5,"question":"If the Mortgage Term on the Capital tab is changed from 4 years to 6 years, does Cash end of year on the Cash Flow tab for Year 1 Month 12 update to within +/- 2% of 165,000?"},{"id":"90810784-6225-4eef-a335-1afa0b4969c6","points":5,"question":"If the Other Bank Debt Interest Rate on the Capital tab is changed from 4% to 7%, does Net income on the Income Statement tab for Year 1 Month 12 update to within +/- 2% of 7,385?"},{"id":"a2095a5c-71a1-4d9b-8e13-c999279fb2ae","points":5,"question":"If the Other Bank Debt Term on the Capital tab is changed from 3 years to 5 years, does the Loans balance on the Balance Sheet tab for Year 1 Month 12 update to within +/- 2% of 187,553?"},{"id":"81476534-e1ad-490b-a48e-72cb4fdd596d","points":5,"question":"If the Loan Amount on the Capital tab is changed from 150,000 to 180,000, does Net income on the Income Statement tab for Year 1 Month 1 update to within +/- 2% of 2,754?"}]},{"id":"b6bc7212-cbf4-4de8-81cb-0eafa356b993","name":"Presentation","criteria":[{"id":"1414ac61-3d28-4895-bb32-e17178c19c01","points":2,"question":"Are the monthly payment, interest, principal, and balance values on the Loan Amortization Schedule formatted with comma separators and two decimal places?"},{"id":"a27a4eba-8878-48df-8dc8-4c6448c0244d","points":2,"question":"Are the four debt instrument sections on the Loan Amortization Schedule visually separated with bold section header labels, light grey background fill, and bottom borders on the last row of each schedule?"},{"id":"24c24167-c9b1-479d-84b3-17e6342b9a30","points":2,"question":"Are gridlines hidden on the Loan Amortization Schedule tab, consistent with all other tabs in the model?"}]},{"id":"6a242126-b0df-4306-a4ab-219bf2f24553","name":"Pitfalls","criteria":[{"id":"aca61acb-e0a9-4cf4-a556-c7988d7622e5","points":-5,"question":"Are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#NUM!)?"},{"id":"94574f9b-8161-486d-aa3d-2f4f8a80660a","points":-3,"question":"Is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6" s="43" t="str">
        <f>IFERROR(__xludf.DUMMYFUNCTION("""COMPUTED_VALUE"""),"{""rating"":2,""feedback"":""Effective overall score ~68 (re-try needed band). Multiple required caps stack and the lowest binding cap is 80 (Old Loans still described as sourced from the Capital tab in the prompt: 'For each of the four debt instruments, "&amp;"pull the loan amount, interest rate, and term directly from the Capital tab'), while the rubric correctly grades Old Loans from Opening Balance Sheet — a direct prompt/rubric mismatch. Additional caps that apply: input workbook Capital terms were NOT corr"&amp;"ected (Mortgage D25=1 and Other Bank Debt D26=1 remain, should be 4 and 3; cap 90), the rubric still uses -3225.17 for Cash Flow repayment at Month 36 when that value is actually Month 37 — the true Month 36 raw value is -4678.87 (cap 88), the duplicate L"&amp;"oan Amount 150,000→180,000 / Net Income Y1 M1 ≈ 2,754 perturbation appears twice (c1549091 and 81476534; cap 92), and downstream Income Statement/Balance Sheet/Cash Flow integration is entirely absent from the prompt but heavily graded in the rubric (cap "&amp;"85). The prompt also underspecifies compounding monthly rate conversion, fixed level amortization methodology, and the interest/principal/balance row logic, and omits any formatting guidance. Output validation targets use rounded display values (2954.99, "&amp;"180728.16, 73979.56, 16.61) rather than exact raw values from the workbook. Presentation includes a gridlines-hidden criterion that should be removed and bundles header/fill/border into one stacked check. Pitfalls cover broad inherited tabs (4) Operating "&amp;"Expenses, 9) WACC, Financial Highlights, Sensitivity, Ratio, PD Charts, Valuation) unrelated to the changed scope, and misuse 'hidden' for sizing-based truncation. Required revisions: (1) rewrite prompt so Old Loans sources from 8) Opening Balance Sheet a"&amp;"nd the other three from 6) Capital, (2) correct input workbook D25=4 and D26=3, (3) add downstream IS/BS/CF integration language to the prompt, (4) specify compounding monthly rate and fixed level amortization methodology in non-formula language, (5) fix "&amp;"Month 36 Cash Flow target to -4678.87 (or move to Month 37 at -3225.17), (6) remove the duplicate Loan Amount perturbation, (7) replace rounded targets with exact raw values, (8) split or drop bundled presentation criteria and remove gridlines check, (9) "&amp;"scope pitfalls to the changed/relevant tabs and replace 'hidden' with 'truncated' for sizing issues.""}")</f>
        <v>{"rating":2,"feedback":"Effective overall score ~68 (re-try needed band). Multiple required caps stack and the lowest binding cap is 80 (Old Loans still described as sourced from the Capital tab in the prompt: 'For each of the four debt instruments, pull the loan amount, interest rate, and term directly from the Capital tab'), while the rubric correctly grades Old Loans from Opening Balance Sheet — a direct prompt/rubric mismatch. Additional caps that apply: input workbook Capital terms were NOT corrected (Mortgage D25=1 and Other Bank Debt D26=1 remain, should be 4 and 3; cap 90), the rubric still uses -3225.17 for Cash Flow repayment at Month 36 when that value is actually Month 37 — the true Month 36 raw value is -4678.87 (cap 88), the duplicate Loan Amount 150,000→180,000 / Net Income Y1 M1 ≈ 2,754 perturbation appears twice (c1549091 and 81476534; cap 92), and downstream Income Statement/Balance Sheet/Cash Flow integration is entirely absent from the prompt but heavily graded in the rubric (cap 85). The prompt also underspecifies compounding monthly rate conversion, fixed level amortization methodology, and the interest/principal/balance row logic, and omits any formatting guidance. Output validation targets use rounded display values (2954.99, 180728.16, 73979.56, 16.61) rather than exact raw values from the workbook. Presentation includes a gridlines-hidden criterion that should be removed and bundles header/fill/border into one stacked check. Pitfalls cover broad inherited tabs (4) Operating Expenses, 9) WACC, Financial Highlights, Sensitivity, Ratio, PD Charts, Valuation) unrelated to the changed scope, and misuse 'hidden' for sizing-based truncation. Required revisions: (1) rewrite prompt so Old Loans sources from 8) Opening Balance Sheet and the other three from 6) Capital, (2) correct input workbook D25=4 and D26=3, (3) add downstream IS/BS/CF integration language to the prompt, (4) specify compounding monthly rate and fixed level amortization methodology in non-formula language, (5) fix Month 36 Cash Flow target to -4678.87 (or move to Month 37 at -3225.17), (6) remove the duplicate Loan Amount perturbation, (7) replace rounded targets with exact raw values, (8) split or drop bundled presentation criteria and remove gridlines check, (9) scope pitfalls to the changed/relevant tabs and replace 'hidden' with 'truncated' for sizing issues."}</v>
      </c>
      <c r="U106"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06" s="110" t="str">
        <f>IFERROR(__xludf.DUMMYFUNCTION("""COMPUTED_VALUE"""),"https://tsipprd.blob.core.windows.net/tsip-files/imports/cb09ba27-c93f-488d-a521-1acfca174929/1779318018594_input.xlsx?sv=2026-02-06&amp;se=2026-05-23T18%3A39%3A32Z&amp;sr=b&amp;sp=r&amp;sig=1RJIZa7650JYE1IMkRUceKjqapafoZi4ZGEolxA%2B6Ys%3D")</f>
        <v>https://tsipprd.blob.core.windows.net/tsip-files/imports/cb09ba27-c93f-488d-a521-1acfca174929/1779318018594_input.xlsx?sv=2026-02-06&amp;se=2026-05-23T18%3A39%3A32Z&amp;sr=b&amp;sp=r&amp;sig=1RJIZa7650JYE1IMkRUceKjqapafoZi4ZGEolxA%2B6Ys%3D</v>
      </c>
      <c r="W106" s="110" t="str">
        <f>IFERROR(__xludf.DUMMYFUNCTION("""COMPUTED_VALUE"""),"https://tsipprd.blob.core.windows.net/tsip-files/imports/cb09ba27-c93f-488d-a521-1acfca174929/1779318018349_output.xlsx?sv=2026-02-06&amp;se=2026-05-23T18%3A39%3A32Z&amp;sr=b&amp;sp=r&amp;sig=K477iVUCJvY7HYOx50A0A%2FanfaSJw2YMtcbo0BRDo9U%3D")</f>
        <v>https://tsipprd.blob.core.windows.net/tsip-files/imports/cb09ba27-c93f-488d-a521-1acfca174929/1779318018349_output.xlsx?sv=2026-02-06&amp;se=2026-05-23T18%3A39%3A32Z&amp;sr=b&amp;sp=r&amp;sig=K477iVUCJvY7HYOx50A0A%2FanfaSJw2YMtcbo0BRDo9U%3D</v>
      </c>
      <c r="X106" s="43" t="str">
        <f>IFERROR(__xludf.DUMMYFUNCTION("""COMPUTED_VALUE"""),"success")</f>
        <v>success</v>
      </c>
      <c r="Y106" s="43">
        <f>IFERROR(__xludf.DUMMYFUNCTION("""COMPUTED_VALUE"""),2.0)</f>
        <v>2</v>
      </c>
      <c r="Z106" s="43" t="str">
        <f>IFERROR(__xludf.DUMMYFUNCTION("""COMPUTED_VALUE"""),"Effective overall score ~68 (re-try needed band). Multiple required caps stack and the lowest binding cap is 80 (Old Loans still described as sourced from the Capital tab in the prompt: 'For each of the four debt instruments, pull the loan amount, interes"&amp;"t rate, and term directly from the Capital tab'), while the rubric correctly grades Old Loans from Opening Balance Sheet — a direct prompt/rubric mismatch. Additional caps that apply: input workbook Capital terms were NOT corrected (Mortgage D25=1 and Oth"&amp;"er Bank Debt D26=1 remain, should be 4 and 3; cap 90), the rubric still uses -3225.17 for Cash Flow repayment at Month 36 when that value is actually Month 37 — the true Month 36 raw value is -4678.87 (cap 88), the duplicate Loan Amount 150,000→180,000 / "&amp;"Net Income Y1 M1 ≈ 2,754 perturbation appears twice (c1549091 and 81476534; cap 92), and downstream Income Statement/Balance Sheet/Cash Flow integration is entirely absent from the prompt but heavily graded in the rubric (cap 85). The prompt also underspe"&amp;"cifies compounding monthly rate conversion, fixed level amortization methodology, and the interest/principal/balance row logic, and omits any formatting guidance. Output validation targets use rounded display values (2954.99, 180728.16, 73979.56, 16.61) r"&amp;"ather than exact raw values from the workbook. Presentation includes a gridlines-hidden criterion that should be removed and bundles header/fill/border into one stacked check. Pitfalls cover broad inherited tabs (4) Operating Expenses, 9) WACC, Financial "&amp;"Highlights, Sensitivity, Ratio, PD Charts, Valuation) unrelated to the changed scope, and misuse 'hidden' for sizing-based truncation. Required revisions: (1) rewrite prompt so Old Loans sources from 8) Opening Balance Sheet and the other three from 6) Ca"&amp;"pital, (2) correct input workbook D25=4 and D26=3, (3) add downstream IS/BS/CF integration language to the prompt, (4) specify compounding monthly rate and fixed level amortization methodology in non-formula language, (5) fix Month 36 Cash Flow target to "&amp;"-4678.87 (or move to Month 37 at -3225.17), (6) remove the duplicate Loan Amount perturbation, (7) replace rounded targets with exact raw values, (8) split or drop bundled presentation criteria and remove gridlines check, (9) scope pitfalls to the changed"&amp;"/relevant tabs and replace 'hidden' with 'truncated' for sizing issues.")</f>
        <v>Effective overall score ~68 (re-try needed band). Multiple required caps stack and the lowest binding cap is 80 (Old Loans still described as sourced from the Capital tab in the prompt: 'For each of the four debt instruments, pull the loan amount, interest rate, and term directly from the Capital tab'), while the rubric correctly grades Old Loans from Opening Balance Sheet — a direct prompt/rubric mismatch. Additional caps that apply: input workbook Capital terms were NOT corrected (Mortgage D25=1 and Other Bank Debt D26=1 remain, should be 4 and 3; cap 90), the rubric still uses -3225.17 for Cash Flow repayment at Month 36 when that value is actually Month 37 — the true Month 36 raw value is -4678.87 (cap 88), the duplicate Loan Amount 150,000→180,000 / Net Income Y1 M1 ≈ 2,754 perturbation appears twice (c1549091 and 81476534; cap 92), and downstream Income Statement/Balance Sheet/Cash Flow integration is entirely absent from the prompt but heavily graded in the rubric (cap 85). The prompt also underspecifies compounding monthly rate conversion, fixed level amortization methodology, and the interest/principal/balance row logic, and omits any formatting guidance. Output validation targets use rounded display values (2954.99, 180728.16, 73979.56, 16.61) rather than exact raw values from the workbook. Presentation includes a gridlines-hidden criterion that should be removed and bundles header/fill/border into one stacked check. Pitfalls cover broad inherited tabs (4) Operating Expenses, 9) WACC, Financial Highlights, Sensitivity, Ratio, PD Charts, Valuation) unrelated to the changed scope, and misuse 'hidden' for sizing-based truncation. Required revisions: (1) rewrite prompt so Old Loans sources from 8) Opening Balance Sheet and the other three from 6) Capital, (2) correct input workbook D25=4 and D26=3, (3) add downstream IS/BS/CF integration language to the prompt, (4) specify compounding monthly rate and fixed level amortization methodology in non-formula language, (5) fix Month 36 Cash Flow target to -4678.87 (or move to Month 37 at -3225.17), (6) remove the duplicate Loan Amount perturbation, (7) replace rounded targets with exact raw values, (8) split or drop bundled presentation criteria and remove gridlines check, (9) scope pitfalls to the changed/relevant tabs and replace 'hidden' with 'truncated' for sizing issues.</v>
      </c>
      <c r="AA106" s="43" t="str">
        <f>IFERROR(__xludf.DUMMYFUNCTION("""COMPUTED_VALUE"""),"success")</f>
        <v>success</v>
      </c>
    </row>
    <row r="107">
      <c r="A107" s="110" t="str">
        <f t="shared" si="1"/>
        <v>www.tsip.ai/claim/6d3cd0ec-2c8d-4de3-a2ec-977b59f551da</v>
      </c>
      <c r="B107" s="43" t="str">
        <f>IFERROR(__xludf.DUMMYFUNCTION("""COMPUTED_VALUE"""),"6d3cd0ec-2c8d-4de3-a2ec-977b59f551da")</f>
        <v>6d3cd0ec-2c8d-4de3-a2ec-977b59f551da</v>
      </c>
      <c r="C107" s="43" t="str">
        <f>IFERROR(__xludf.DUMMYFUNCTION("""COMPUTED_VALUE"""),"sheets-training")</f>
        <v>sheets-training</v>
      </c>
      <c r="D107" s="43">
        <f>IFERROR(__xludf.DUMMYFUNCTION("""COMPUTED_VALUE"""),3.0)</f>
        <v>3</v>
      </c>
      <c r="E107" s="43" t="str">
        <f>IFERROR(__xludf.DUMMYFUNCTION("""COMPUTED_VALUE"""),"training_review")</f>
        <v>training_review</v>
      </c>
      <c r="F107" s="43" t="str">
        <f>IFERROR(__xludf.DUMMYFUNCTION("""COMPUTED_VALUE"""),"cb09ba27-c93f-488d-a521-1acfca174929")</f>
        <v>cb09ba27-c93f-488d-a521-1acfca174929</v>
      </c>
      <c r="G107" s="43" t="str">
        <f>IFERROR(__xludf.DUMMYFUNCTION("""COMPUTED_VALUE"""),"NULL")</f>
        <v>NULL</v>
      </c>
      <c r="H107" s="43" t="str">
        <f>IFERROR(__xludf.DUMMYFUNCTION("""COMPUTED_VALUE"""),"""2026-05-21T16:07:20.299Z""")</f>
        <v>"2026-05-21T16:07:20.299Z"</v>
      </c>
      <c r="I107" s="43" t="str">
        <f>IFERROR(__xludf.DUMMYFUNCTION("""COMPUTED_VALUE"""),"NULL")</f>
        <v>NULL</v>
      </c>
      <c r="J107" s="43" t="str">
        <f>IFERROR(__xludf.DUMMYFUNCTION("""COMPUTED_VALUE"""),"NULL")</f>
        <v>NULL</v>
      </c>
      <c r="K107" s="43" t="str">
        <f>IFERROR(__xludf.DUMMYFUNCTION("""COMPUTED_VALUE"""),"""2026-05-20T23:00:23.981Z""")</f>
        <v>"2026-05-20T23:00:23.981Z"</v>
      </c>
      <c r="L107" s="43" t="str">
        <f>IFERROR(__xludf.DUMMYFUNCTION("""COMPUTED_VALUE"""),"""2026-05-21T16:07:20.299Z""")</f>
        <v>"2026-05-21T16:07:20.299Z"</v>
      </c>
      <c r="M107" s="43" t="str">
        <f>IFERROR(__xludf.DUMMYFUNCTION("""COMPUTED_VALUE"""),"9f47fdc9-68f1-43f1-9021-5c4a8143dcd6")</f>
        <v>9f47fdc9-68f1-43f1-9021-5c4a8143dcd6</v>
      </c>
      <c r="N107" s="43" t="str">
        <f>IFERROR(__xludf.DUMMYFUNCTION("""COMPUTED_VALUE"""),"cacf4da3-cd8d-402b-a1e9-f3ad3e7f11bf")</f>
        <v>cacf4da3-cd8d-402b-a1e9-f3ad3e7f11bf</v>
      </c>
      <c r="O107" s="43" t="str">
        <f>IFERROR(__xludf.DUMMYFUNCTION("""COMPUTED_VALUE"""),"{}")</f>
        <v>{}</v>
      </c>
      <c r="P107" s="43" t="str">
        <f>IFERROR(__xludf.DUMMYFUNCTION("""COMPUTED_VALUE"""),"training_review")</f>
        <v>training_review</v>
      </c>
      <c r="Q107" s="43" t="str">
        <f>IFERROR(__xludf.DUMMYFUNCTION("""COMPUTED_VALUE"""),"sheets-training")</f>
        <v>sheets-training</v>
      </c>
      <c r="R107" s="43" t="str">
        <f>IFERROR(__xludf.DUMMYFUNCTION("""COMPUTED_VALUE"""),"I want to fully understand my debt situation. Create a Loan Amortization Schedule on the blank ""Loan Amortization Schedule"" tab for Loan, Mortgage, Other Bank Debt, and Old Loans. Pull the loan amount, annual interest rate, and loan term for each instru"&amp;"ment directly from the Capital tab. Using those inputs, derive the monthly interest rate, total number of monthly payments, and fully amortizing monthly payment amount for each debt instrument.
Build a monthly amortization schedule across the existing fi"&amp;"ve-year model horizon that includes beginning balance, interest expense, principal repayment, total payment, and ending balance for each debt instrument. Ensure balances roll forward between periods and formulas are applied dynamically and consistently ac"&amp;"ross the schedule.
Link interest expense from the Loan Amortization Schedule into the Income Statement dynamically for each corresponding monthly period. Link issuance of debt and debt principal repayments from the Loan Amortization Schedule into the Cas"&amp;"h Flow Statement dynamically for each corresponding monthly period. Link ending debt balances from the Loan Amortization Schedule into the Balance Sheet dynamically for each corresponding monthly period.
Format monthly payment, interest, principal repaym"&amp;"ent, and ending balance values on the Loan Amortization Schedule tab using comma separators and two decimal places. Format the section header labels for each debt instrument on the Loan Amortization Schedule tab using bold text and a light grey background"&amp;" fill. Add bottom borders to the final row of each debt instrument schedule section. Hide gridlines on the Loan Amortization Schedule tab.")</f>
        <v>I want to fully understand my debt situation. Create a Loan Amortization Schedule on the blank "Loan Amortization Schedule" tab for Loan, Mortgage, Other Bank Debt, and Old Loans. Pull the loan amount, annual interest rate, and loan term for each instrument directly from the Capital tab. Using those inputs, derive the monthly interest rate, total number of monthly payments, and fully amortizing monthly payment amount for each debt instrument.
Build a monthly amortization schedule across the existing five-year model horizon that includes beginning balance, interest expense, principal repayment, total payment, and ending balance for each debt instrument. Ensure balances roll forward between periods and formulas are applied dynamically and consistently across the schedule.
Link interest expense from the Loan Amortization Schedule into the Income Statement dynamically for each corresponding monthly period. Link issuance of debt and debt principal repayments from the Loan Amortization Schedule into the Cash Flow Statement dynamically for each corresponding monthly period. Link ending debt balances from the Loan Amortization Schedule into the Balance Sheet dynamically for each corresponding monthly period.
Format monthly payment, interest, principal repayment, and ending balance values on the Loan Amortization Schedule tab using comma separators and two decimal places. Format the section header labels for each debt instrument on the Loan Amortization Schedule tab using bold text and a light grey background fill. Add bottom borders to the final row of each debt instrument schedule section. Hide gridlines on the Loan Amortization Schedule tab.</v>
      </c>
      <c r="S107" s="43" t="str">
        <f>IFERROR(__xludf.DUMMYFUNCTION("""COMPUTED_VALUE"""),"{""sections"":[{""id"":""9b5424af-0d18-4e8f-b596-4013445ba738"",""name"":""Formula Correctness"",""criteria"":[{""id"":""96632561-15c5-4ef5-94b8-b2fe150d79f9"",""points"":2,""question"":""On the Loan Amortization Schedule, is the Loan monthly rate dynamic"&amp;"ally derived from the annual interest rate input on the Capital tab?""},{""id"":""872906b4-894a-43b0-bf76-393d07191492"",""points"":1,""question"":""Is the number of payments for each debt instrument on the Loan Amortization Schedule derived by multiplyin"&amp;"g the term in years from the Capital tab by 12?""},{""id"":""fa6d7872-1b16-46f3-a959-ceb7698c6aaa"",""points"":2,""question"":""Is the Loan monthly payment on the Loan Amortization Schedule derived as a formula-based level payment calculation using the lo"&amp;"an amount, monthly rate, and number of payments (not hardcoded)?""},{""id"":""9a71e0f4-60f6-4e6a-9e74-61f24e8c1317"",""points"":1,""question"":""Is the Mortgage monthly interest on the Loan Amortization Schedule calculated as the prior period ending loan "&amp;"balance multiplied by the monthly rate?""},{""id"":""14c1ba2d-7ee5-468d-808a-b27833c5d252"",""points"":2,""question"":""Is the Other Bank Debt monthly principal on the Loan Amortization Schedule calculated as the monthly payment minus the monthly interest"&amp;"?""},{""id"":""e48105c4-4523-4172-9316-2335a13b21ef"",""points"":2,""question"":""Is the Other Bank Debtloan balance for on the Loan Amortization Schedule calculated as the prior period ending balance minus the current period principal repayment?""},{""id"&amp;""":""6900546f-f070-4d80-a91f-5099bca60f5b"",""points"":1,""question"":""Is the Month 1 loan balance for the Loan section on the Loan Amortization Schedule calculated as the original loan amount minus the Month 1 principal payment?""},{""id"":""435dc1fc-40"&amp;"1f-4619-8bc0-8283d5250a56"",""points"":2,""question"":""Does the Mortgage schedule on the Loan Amortization Schedule correctly produce zero interest, principal, and balance values for months beyond the 48-month term?""},{""id"":""9eb6f1bc-11c3-43a3-ad9e-8"&amp;"85cf287bd16"",""points"":2,""question"":""Does the Other Bank Debt schedule on the Loan Amortization Schedule correctly produce zero interest, principal, and balance values for months beyond the 36-month term?""},{""id"":""13b90c28-2ada-4d3a-9dd2-eda87775"&amp;"88c5"",""points"":2,""question"":""On the Loan Amortization Schedule, is the Mortgage monthly rate dynamically derived from the annual interest rate input on the Capital tab?""},{""id"":""5b0af8f7-b3c5-40f1-9694-d85b9fa97b37"",""points"":2,""question"":"""&amp;"On the Loan Amortization Schedule, is the Other Bank Debt monthly rate dynamically derived from the annual interest rate input on the Capital tab?""},{""id"":""10f8af5e-8a9c-4094-a9f5-fdde37fef0cb"",""points"":2,""question"":""On the Loan Amortization Sch"&amp;"edule, is the Old Loans monthly rate dynamically derived from the annual interest rate input on the Capital tab?""},{""id"":""d2410dd6-064c-4941-9189-b0fb505a735b"",""points"":2,""question"":""Is the interest expense on the monthly Income Statement calcul"&amp;"ated as the sum of interest from all four debt instruments (Loan, Mortgage, Other Bank Debt, and Old Loans) for each corresponding month?""}]},{""id"":""2b29a28a-b99b-4bc3-815a-0607babb78f7"",""name"":""Model Integration"",""criteria"":[{""id"":""1cbba49a"&amp;"-220c-4203-ab1c-3b7d865b09e2"",""points"":4,""question"":""Is repayment of debt on the Cash Flow tab linked dynamically to principal repayment from the Loan Amortization Schedule (not recalculated locally)?""},{""id"":""57011505-4d68-4669-abf2-065243ddc16"&amp;"5"",""points"":4,""question"":""Is interest expense on the Income Statement tab linked to the Loan Amortization Schedule tab via a formula that aggregates interest across all debt instruments (not recalculated locally)?""},{""id"":""96ef90bb-9a49-4363-a05"&amp;"6-3d938de5c7a6"",""points"":4,""question"":""Is the Loans line under long term liabilities on the Balance Sheet tab linked to the Loan Amortization Schedule tab via a formula that aggregates loan balances across all debt instruments (not recalculated loca"&amp;"lly)?""},{""id"":""60957986-d637-4350-941a-8dd25253bab9"",""points"":3,""question"":""Is the number of payments assumption on the Loan Amortization Schedule tab linked to the Capital tab with an arithmetic transformation to convert the loan term to months"&amp;" (not hardcoded)?""},{""id"":""9812721d-f673-4d6b-b3be-17a73098da98"",""points"":2,""question"":""Is the loan amount assumption on the Loan Amortization Schedule tab linked to the Capital tab (not hardcoded)?""},{""id"":""4f8aaf04-6998-4d7a-ac52-ab2995961"&amp;"621"",""points"":2,""question"":""Is the Old Loans loan amount on the Loan Amortization Schedule tab linked to the Opening Balance Sheet tab (not hardcoded)?""}]},{""id"":""22a2cbe6-4a05-4465-bb9b-c8a3367171d7"",""name"":""Output Validation"",""criteria"""&amp;":[{""id"":""e5407077-0743-4e44-9335-82e5e360d1b4"",""points"":3,""question"":""Is the Loan monthly payment assumption on the Loan Amortization Schedule tab within +/- 2% of 2954.99?""},{""id"":""75383165-7a87-49ab-a053-75f68ccc4763"",""points"":4,""questi"&amp;"on"":""Is the Mortgage Loan Balance at Month 24 on the Loan Amortization Schedule tab within +/- 2% of 15443.25?""},{""id"":""371c48cf-2124-4b9f-960d-5b62b2845325"",""points"":4,""question"":""Is the Other Bank Debt Loan Balance at Month 30 on the Loan Am"&amp;"ortization Schedule tab within +/- 2% of 8747.16?""},{""id"":""f6c75ae3-a5bc-4854-9420-e22dee265d6e"",""points"":5,""question"":""Is the Loan balance at Month 12 on the Loan Amortization Schedule tab within +/- 2% of 123916.40?""},{""id"":""eb8b13c0-62f7-"&amp;"4e10-a7b0-5098c416aa5b"",""points"":5,""question"":""Is the Loans line on the Balance Sheet tab at Month 12 within +/- 2% of 180728.16?""},{""id"":""e023e02c-0146-4800-83b0-d28f6798ccfc"",""points"":5,""question"":""Is the Loans line on the Balance Sheet "&amp;"tab at Month 36 within +/- 2% of 73979.56?""},{""id"":""2689e36f-9f4e-4427-acc9-43f49842f4c9"",""points"":5,""question"":""Is the repayment of debt on the Cash Flow tab at Month 36 within +/- 2% of -4,678.87?""},{""id"":""20d5840e-581d-4431-9b00-7b121d6d8"&amp;"953"",""points"":5,""question"":""Is the interest expense on the Income Statement tab at Month 60 within +/- 2% of 16.61?""}]},{""id"":""4010facd-5c5f-4a4a-a676-2ccc78950f18"",""name"":""Perturbation"",""criteria"":[{""id"":""580cf742-18d5-434c-ba02-87c64"&amp;"cb52417"",""points"":5,""question"":""If the Loan Amount on the Capital tab is changed from 150,000 to 180,000, does Net income on the Income Statement tab for Year 1 Month 1 update to within +/- 2% of 2,754?""},{""id"":""e073efeb-0b65-4481-9154-084a3420e"&amp;"38c"",""points"":5,""question"":""If the Loan Interest Rate on the Capital tab is changed from 7% to 10%, does Cash end of year on the Cash Flow tab for Year 1 Month 1 update to within +/- 2% of 133,863?""},{""id"":""74f7af64-ecfc-42dc-8fea-fd2867866f07"""&amp;",""points"":5,""question"":""If the Mortgage Amount on the Capital tab is changed from 30,000 to 50,000, does the Loans balance on the Balance Sheet tab for Year 1 Month 1 update to within +/- 2% of 245,600?""},{""id"":""b8f4ea9e-51fe-4bdb-8d0c-56d7a84511"&amp;"a0"",""points"":5,""question"":""If the Mortgage Term on the Capital tab is changed from 4 years to 6 years, does Cash end of year on the Cash Flow tab for Year 1 Month 12 update to within +/- 2% of 165,367?""},{""id"":""e8297a04-85c7-4049-bbe1-23a4f11f9d"&amp;"b2"",""points"":5,""question"":""If the Other Bank Debt Interest Rate on the Capital tab is changed from 4% to 7%, does Net income on the Income Statement tab for Year 1 Month 12 update to within +/- 2% of 7,413?""},{""id"":""81d00b6a-edd8-4274-9b5e-c0a41"&amp;"810d5ed"",""points"":5,""question"":""If the Other Bank Debt Term on the Capital tab is changed from 3 years to 5 years, does the Loans balance on the Balance Sheet tab for Year 1 Month 12 update to within +/- 2% of 187,514?""}]},{""id"":""a99923b9-1bb7-4"&amp;"d00-8c9a-2f4b9350b9b3"",""name"":""Presentation"",""criteria"":[{""id"":""d84757d5-2149-4c81-aae2-5da0245b6846"",""points"":2,""question"":""Are monthly payment, interest, principal, and balance values formatted with comma separators?""},{""id"":""52655b5"&amp;"c-093d-4ea7-ac9f-b565b94f96fb"",""points"":2,""question"":""Are gridlines hidden on the Loan Amortization Schedule tab, consistent with all other tabs in the model?""},{""id"":""7e2e3e6b-dcba-4fe6-b6ca-52e0df787de1"",""points"":2,""question"":""Are monthl"&amp;"y payment, interest, principal, and balance values formatted with two decimal places?""},{""id"":""a3e6ae34-800f-41ac-8525-e4d81515d102"",""points"":2,""question"":""Are the section header labels for each debt instrument on the Loan Amortization Schedule "&amp;"tab formatted in bold text?""},{""id"":""892102c4-4b6c-4bc7-a137-753eff27e07e"",""points"":2,""question"":""Do the section header rows for each debt instrument on the Loan Amortization Schedule tab use a light grey background fill?""},{""id"":""17cc5dc4-4"&amp;"114-453c-a592-6325ed51648b"",""points"":2,""question"":""Do the final rows of each debt instrument schedule on the Loan Amortization Schedule tab contain bottom borders?""}]},{""id"":""5c2841cf-6c11-43f6-92a1-5a5dfe12ea48"",""name"":""Pitfalls"",""criteri"&amp;"a"":[{""id"":""318924d9-f13c-4b77-9118-5dfb792c4e1b"",""points"":-5,""question"":""Are there any error values (#REF!, #DIV/0!, #VALUE!, #NAME?, #N/A, #NUM!) on the Loan Amortization Schedule, Income Statement, Balance Sheet, or Cash Flow tabs?""},{""id"":"&amp;"""ff912dc4-84df-4a8d-83c0-8901283c71de"",""points"":-3,""question"":""Is any text truncated due to insufficient column widths or row heights on the Loan Amortization Schedule, Income Statement, Balance Sheet, or Cash Flow tabs?""}]}]}")</f>
        <v>{"sections":[{"id":"9b5424af-0d18-4e8f-b596-4013445ba738","name":"Formula Correctness","criteria":[{"id":"96632561-15c5-4ef5-94b8-b2fe150d79f9","points":2,"question":"On the Loan Amortization Schedule, is the Loan monthly rate dynamically derived from the annual interest rate input on the Capital tab?"},{"id":"872906b4-894a-43b0-bf76-393d07191492","points":1,"question":"Is the number of payments for each debt instrument on the Loan Amortization Schedule derived by multiplying the term in years from the Capital tab by 12?"},{"id":"fa6d7872-1b16-46f3-a959-ceb7698c6aaa","points":2,"question":"Is the Loan monthly payment on the Loan Amortization Schedule derived as a formula-based level payment calculation using the loan amount, monthly rate, and number of payments (not hardcoded)?"},{"id":"9a71e0f4-60f6-4e6a-9e74-61f24e8c1317","points":1,"question":"Is the Mortgage monthly interest on the Loan Amortization Schedule calculated as the prior period ending loan balance multiplied by the monthly rate?"},{"id":"14c1ba2d-7ee5-468d-808a-b27833c5d252","points":2,"question":"Is the Other Bank Debt monthly principal on the Loan Amortization Schedule calculated as the monthly payment minus the monthly interest?"},{"id":"e48105c4-4523-4172-9316-2335a13b21ef","points":2,"question":"Is the Other Bank Debtloan balance for on the Loan Amortization Schedule calculated as the prior period ending balance minus the current period principal repayment?"},{"id":"6900546f-f070-4d80-a91f-5099bca60f5b","points":1,"question":"Is the Month 1 loan balance for the Loan section on the Loan Amortization Schedule calculated as the original loan amount minus the Month 1 principal payment?"},{"id":"435dc1fc-401f-4619-8bc0-8283d5250a56","points":2,"question":"Does the Mortgage schedule on the Loan Amortization Schedule correctly produce zero interest, principal, and balance values for months beyond the 48-month term?"},{"id":"9eb6f1bc-11c3-43a3-ad9e-885cf287bd16","points":2,"question":"Does the Other Bank Debt schedule on the Loan Amortization Schedule correctly produce zero interest, principal, and balance values for months beyond the 36-month term?"},{"id":"13b90c28-2ada-4d3a-9dd2-eda8777588c5","points":2,"question":"On the Loan Amortization Schedule, is the Mortgage monthly rate dynamically derived from the annual interest rate input on the Capital tab?"},{"id":"5b0af8f7-b3c5-40f1-9694-d85b9fa97b37","points":2,"question":"On the Loan Amortization Schedule, is the Other Bank Debt monthly rate dynamically derived from the annual interest rate input on the Capital tab?"},{"id":"10f8af5e-8a9c-4094-a9f5-fdde37fef0cb","points":2,"question":"On the Loan Amortization Schedule, is the Old Loans monthly rate dynamically derived from the annual interest rate input on the Capital tab?"},{"id":"d2410dd6-064c-4941-9189-b0fb505a735b","points":2,"question":"Is the interest expense on the monthly Income Statement calculated as the sum of interest from all four debt instruments (Loan, Mortgage, Other Bank Debt, and Old Loans) for each corresponding month?"}]},{"id":"2b29a28a-b99b-4bc3-815a-0607babb78f7","name":"Model Integration","criteria":[{"id":"1cbba49a-220c-4203-ab1c-3b7d865b09e2","points":4,"question":"Is repayment of debt on the Cash Flow tab linked dynamically to principal repayment from the Loan Amortization Schedule (not recalculated locally)?"},{"id":"57011505-4d68-4669-abf2-065243ddc165","points":4,"question":"Is interest expense on the Income Statement tab linked to the Loan Amortization Schedule tab via a formula that aggregates interest across all debt instruments (not recalculated locally)?"},{"id":"96ef90bb-9a49-4363-a056-3d938de5c7a6","points":4,"question":"Is the Loans line under long term liabilities on the Balance Sheet tab linked to the Loan Amortization Schedule tab via a formula that aggregates loan balances across all debt instruments (not recalculated locally)?"},{"id":"60957986-d637-4350-941a-8dd25253bab9","points":3,"question":"Is the number of payments assumption on the Loan Amortization Schedule tab linked to the Capital tab with an arithmetic transformation to convert the loan term to months (not hardcoded)?"},{"id":"9812721d-f673-4d6b-b3be-17a73098da98","points":2,"question":"Is the loan amount assumption on the Loan Amortization Schedule tab linked to the Capital tab (not hardcoded)?"},{"id":"4f8aaf04-6998-4d7a-ac52-ab2995961621","points":2,"question":"Is the Old Loans loan amount on the Loan Amortization Schedule tab linked to the Opening Balance Sheet tab (not hardcoded)?"}]},{"id":"22a2cbe6-4a05-4465-bb9b-c8a3367171d7","name":"Output Validation","criteria":[{"id":"e5407077-0743-4e44-9335-82e5e360d1b4","points":3,"question":"Is the Loan monthly payment assumption on the Loan Amortization Schedule tab within +/- 2% of 2954.99?"},{"id":"75383165-7a87-49ab-a053-75f68ccc4763","points":4,"question":"Is the Mortgage Loan Balance at Month 24 on the Loan Amortization Schedule tab within +/- 2% of 15443.25?"},{"id":"371c48cf-2124-4b9f-960d-5b62b2845325","points":4,"question":"Is the Other Bank Debt Loan Balance at Month 30 on the Loan Amortization Schedule tab within +/- 2% of 8747.16?"},{"id":"f6c75ae3-a5bc-4854-9420-e22dee265d6e","points":5,"question":"Is the Loan balance at Month 12 on the Loan Amortization Schedule tab within +/- 2% of 123916.40?"},{"id":"eb8b13c0-62f7-4e10-a7b0-5098c416aa5b","points":5,"question":"Is the Loans line on the Balance Sheet tab at Month 12 within +/- 2% of 180728.16?"},{"id":"e023e02c-0146-4800-83b0-d28f6798ccfc","points":5,"question":"Is the Loans line on the Balance Sheet tab at Month 36 within +/- 2% of 73979.56?"},{"id":"2689e36f-9f4e-4427-acc9-43f49842f4c9","points":5,"question":"Is the repayment of debt on the Cash Flow tab at Month 36 within +/- 2% of -4,678.87?"},{"id":"20d5840e-581d-4431-9b00-7b121d6d8953","points":5,"question":"Is the interest expense on the Income Statement tab at Month 60 within +/- 2% of 16.61?"}]},{"id":"4010facd-5c5f-4a4a-a676-2ccc78950f18","name":"Perturbation","criteria":[{"id":"580cf742-18d5-434c-ba02-87c64cb52417","points":5,"question":"If the Loan Amount on the Capital tab is changed from 150,000 to 180,000, does Net income on the Income Statement tab for Year 1 Month 1 update to within +/- 2% of 2,754?"},{"id":"e073efeb-0b65-4481-9154-084a3420e38c","points":5,"question":"If the Loan Interest Rate on the Capital tab is changed from 7% to 10%, does Cash end of year on the Cash Flow tab for Year 1 Month 1 update to within +/- 2% of 133,863?"},{"id":"74f7af64-ecfc-42dc-8fea-fd2867866f07","points":5,"question":"If the Mortgage Amount on the Capital tab is changed from 30,000 to 50,000, does the Loans balance on the Balance Sheet tab for Year 1 Month 1 update to within +/- 2% of 245,600?"},{"id":"b8f4ea9e-51fe-4bdb-8d0c-56d7a84511a0","points":5,"question":"If the Mortgage Term on the Capital tab is changed from 4 years to 6 years, does Cash end of year on the Cash Flow tab for Year 1 Month 12 update to within +/- 2% of 165,367?"},{"id":"e8297a04-85c7-4049-bbe1-23a4f11f9db2","points":5,"question":"If the Other Bank Debt Interest Rate on the Capital tab is changed from 4% to 7%, does Net income on the Income Statement tab for Year 1 Month 12 update to within +/- 2% of 7,413?"},{"id":"81d00b6a-edd8-4274-9b5e-c0a41810d5ed","points":5,"question":"If the Other Bank Debt Term on the Capital tab is changed from 3 years to 5 years, does the Loans balance on the Balance Sheet tab for Year 1 Month 12 update to within +/- 2% of 187,514?"}]},{"id":"a99923b9-1bb7-4d00-8c9a-2f4b9350b9b3","name":"Presentation","criteria":[{"id":"d84757d5-2149-4c81-aae2-5da0245b6846","points":2,"question":"Are monthly payment, interest, principal, and balance values formatted with comma separators?"},{"id":"52655b5c-093d-4ea7-ac9f-b565b94f96fb","points":2,"question":"Are gridlines hidden on the Loan Amortization Schedule tab, consistent with all other tabs in the model?"},{"id":"7e2e3e6b-dcba-4fe6-b6ca-52e0df787de1","points":2,"question":"Are monthly payment, interest, principal, and balance values formatted with two decimal places?"},{"id":"a3e6ae34-800f-41ac-8525-e4d81515d102","points":2,"question":"Are the section header labels for each debt instrument on the Loan Amortization Schedule tab formatted in bold text?"},{"id":"892102c4-4b6c-4bc7-a137-753eff27e07e","points":2,"question":"Do the section header rows for each debt instrument on the Loan Amortization Schedule tab use a light grey background fill?"},{"id":"17cc5dc4-4114-453c-a592-6325ed51648b","points":2,"question":"Do the final rows of each debt instrument schedule on the Loan Amortization Schedule tab contain bottom borders?"}]},{"id":"5c2841cf-6c11-43f6-92a1-5a5dfe12ea48","name":"Pitfalls","criteria":[{"id":"318924d9-f13c-4b77-9118-5dfb792c4e1b","points":-5,"question":"Are there any error values (#REF!, #DIV/0!, #VALUE!, #NAME?, #N/A, #NUM!) on the Loan Amortization Schedule, Income Statement, Balance Sheet, or Cash Flow tabs?"},{"id":"ff912dc4-84df-4a8d-83c0-8901283c71de","points":-3,"question":"Is any text truncated due to insufficient column widths or row heights on the Loan Amortization Schedule, Income Statement, Balance Sheet, or Cash Flow tabs?"}]}]}</v>
      </c>
      <c r="T107" s="43" t="str">
        <f>IFERROR(__xludf.DUMMYFUNCTION("""COMPUTED_VALUE"""),"{""rating"":2,""feedback"":""Effective score ~70, decision band re-try needed. The submission has two central, capped defects. First, the revised prompt explicitly instructs the model to pull loan amount, annual interest rate, and term for all four instru"&amp;"ments — including Old Loans — directly from the Capital tab, and the rubric reinforces this by asking whether the Old Loans monthly rate is derived from the Capital tab (criterion 10f8af5e). Per ground truth, Old Loans must source from 8) Opening Balance "&amp;"Sheet, so this is a central source-tab miss that triggers the 80 cap, even though one rubric criterion (4f8aaf04) does correctly ask whether the Old Loans loan amount links to the Opening Balance Sheet — this creates an internal contradiction. Second, the"&amp;" submitted input workbook still has Mortgage term = 1 and Other Bank Debt term = 1 on the 6) Capital tab; these were not corrected to 4 and 3, which independently caps the score at 90. Additional medium issues: methodology in the prompt is underspecified "&amp;"(no compounding-aware annual-to-monthly rate conversion, no explicit statement that interest is computed on the prior period ending balance, that principal equals payment minus interest, or that balances zero after term/payoff); the rubric still includes "&amp;"a gridline-hiding criterion that should be deleted; the Month 24 Mortgage and Month 30 Other Bank Debt validation targets cannot be reconciled against ground truth without recalculation given the uncorrected input terms; and several output-validation targ"&amp;"ets use rounded display values (e.g., 2954.99, 180728.16, -4,678.87, 16.61) rather than exact raw values. Strengths: downstream Income Statement/Balance Sheet/Cash Flow integration is present in both prompt and rubric, the Cash Flow Month 36 target is cor"&amp;"rectly -4,678.87 (no period mismatch), there is no duplicate Loan Amount perturbation, pitfalls are scoped to the relevant tabs, and 'truncated' is used correctly. Required revisions: (1) rewrite the prompt to source Old Loans from 8) Opening Balance Shee"&amp;"t and the other three instruments from 6) Capital; (2) correct rubric criterion 10f8af5e (and any term/payment-months criterion) so Old Loans is graded against Opening Balance Sheet, not Capital; (3) fix the input workbook 6) Capital terms to 5 / 4 / 3; ("&amp;"4) add compounding-aware monthly rate, fixed level amortizing payment, prior-balance interest, principal = payment − interest, and post-term zeroing language to the prompt; (5) replace rounded validation targets with exact raw values and remove the gridli"&amp;"nes criterion.""}")</f>
        <v>{"rating":2,"feedback":"Effective score ~70, decision band re-try needed. The submission has two central, capped defects. First, the revised prompt explicitly instructs the model to pull loan amount, annual interest rate, and term for all four instruments — including Old Loans — directly from the Capital tab, and the rubric reinforces this by asking whether the Old Loans monthly rate is derived from the Capital tab (criterion 10f8af5e). Per ground truth, Old Loans must source from 8) Opening Balance Sheet, so this is a central source-tab miss that triggers the 80 cap, even though one rubric criterion (4f8aaf04) does correctly ask whether the Old Loans loan amount links to the Opening Balance Sheet — this creates an internal contradiction. Second, the submitted input workbook still has Mortgage term = 1 and Other Bank Debt term = 1 on the 6) Capital tab; these were not corrected to 4 and 3, which independently caps the score at 90. Additional medium issues: methodology in the prompt is underspecified (no compounding-aware annual-to-monthly rate conversion, no explicit statement that interest is computed on the prior period ending balance, that principal equals payment minus interest, or that balances zero after term/payoff); the rubric still includes a gridline-hiding criterion that should be deleted; the Month 24 Mortgage and Month 30 Other Bank Debt validation targets cannot be reconciled against ground truth without recalculation given the uncorrected input terms; and several output-validation targets use rounded display values (e.g., 2954.99, 180728.16, -4,678.87, 16.61) rather than exact raw values. Strengths: downstream Income Statement/Balance Sheet/Cash Flow integration is present in both prompt and rubric, the Cash Flow Month 36 target is correctly -4,678.87 (no period mismatch), there is no duplicate Loan Amount perturbation, pitfalls are scoped to the relevant tabs, and 'truncated' is used correctly. Required revisions: (1) rewrite the prompt to source Old Loans from 8) Opening Balance Sheet and the other three instruments from 6) Capital; (2) correct rubric criterion 10f8af5e (and any term/payment-months criterion) so Old Loans is graded against Opening Balance Sheet, not Capital; (3) fix the input workbook 6) Capital terms to 5 / 4 / 3; (4) add compounding-aware monthly rate, fixed level amortizing payment, prior-balance interest, principal = payment − interest, and post-term zeroing language to the prompt; (5) replace rounded validation targets with exact raw values and remove the gridlines criterion."}</v>
      </c>
      <c r="U107"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07" s="110" t="str">
        <f>IFERROR(__xludf.DUMMYFUNCTION("""COMPUTED_VALUE"""),"https://tsipprd.blob.core.windows.net/tsip-files/imports/cb09ba27-c93f-488d-a521-1acfca174929/1779318018594_input.xlsx?sv=2026-02-06&amp;se=2026-05-23T18%3A39%3A32Z&amp;sr=b&amp;sp=r&amp;sig=1RJIZa7650JYE1IMkRUceKjqapafoZi4ZGEolxA%2B6Ys%3D")</f>
        <v>https://tsipprd.blob.core.windows.net/tsip-files/imports/cb09ba27-c93f-488d-a521-1acfca174929/1779318018594_input.xlsx?sv=2026-02-06&amp;se=2026-05-23T18%3A39%3A32Z&amp;sr=b&amp;sp=r&amp;sig=1RJIZa7650JYE1IMkRUceKjqapafoZi4ZGEolxA%2B6Ys%3D</v>
      </c>
      <c r="W107" s="110" t="str">
        <f>IFERROR(__xludf.DUMMYFUNCTION("""COMPUTED_VALUE"""),"https://tsipprd.blob.core.windows.net/tsip-files/9f47fdc9-68f1-43f1-9021-5c4a8143dcd6/6d3cd0ec-2c8d-4de3-a2ec-977b59f551da/1779379514807_output__1_.xlsx?sv=2026-02-06&amp;se=2026-05-23T18%3A39%3A32Z&amp;sr=b&amp;sp=r&amp;sig=K4%2BijUgVGZ%2FezKVcRwNA5UVrmNFjdRKU09JPngCM7J"&amp;"8%3D")</f>
        <v>https://tsipprd.blob.core.windows.net/tsip-files/9f47fdc9-68f1-43f1-9021-5c4a8143dcd6/6d3cd0ec-2c8d-4de3-a2ec-977b59f551da/1779379514807_output__1_.xlsx?sv=2026-02-06&amp;se=2026-05-23T18%3A39%3A32Z&amp;sr=b&amp;sp=r&amp;sig=K4%2BijUgVGZ%2FezKVcRwNA5UVrmNFjdRKU09JPngCM7J8%3D</v>
      </c>
      <c r="X107" s="43" t="str">
        <f>IFERROR(__xludf.DUMMYFUNCTION("""COMPUTED_VALUE"""),"success")</f>
        <v>success</v>
      </c>
      <c r="Y107" s="43">
        <f>IFERROR(__xludf.DUMMYFUNCTION("""COMPUTED_VALUE"""),2.0)</f>
        <v>2</v>
      </c>
      <c r="Z107" s="43" t="str">
        <f>IFERROR(__xludf.DUMMYFUNCTION("""COMPUTED_VALUE"""),"Effective score ~70, decision band re-try needed. The submission has two central, capped defects. First, the revised prompt explicitly instructs the model to pull loan amount, annual interest rate, and term for all four instruments — including Old Loans —"&amp;" directly from the Capital tab, and the rubric reinforces this by asking whether the Old Loans monthly rate is derived from the Capital tab (criterion 10f8af5e). Per ground truth, Old Loans must source from 8) Opening Balance Sheet, so this is a central s"&amp;"ource-tab miss that triggers the 80 cap, even though one rubric criterion (4f8aaf04) does correctly ask whether the Old Loans loan amount links to the Opening Balance Sheet — this creates an internal contradiction. Second, the submitted input workbook sti"&amp;"ll has Mortgage term = 1 and Other Bank Debt term = 1 on the 6) Capital tab; these were not corrected to 4 and 3, which independently caps the score at 90. Additional medium issues: methodology in the prompt is underspecified (no compounding-aware annual-"&amp;"to-monthly rate conversion, no explicit statement that interest is computed on the prior period ending balance, that principal equals payment minus interest, or that balances zero after term/payoff); the rubric still includes a gridline-hiding criterion t"&amp;"hat should be deleted; the Month 24 Mortgage and Month 30 Other Bank Debt validation targets cannot be reconciled against ground truth without recalculation given the uncorrected input terms; and several output-validation targets use rounded display value"&amp;"s (e.g., 2954.99, 180728.16, -4,678.87, 16.61) rather than exact raw values. Strengths: downstream Income Statement/Balance Sheet/Cash Flow integration is present in both prompt and rubric, the Cash Flow Month 36 target is correctly -4,678.87 (no period m"&amp;"ismatch), there is no duplicate Loan Amount perturbation, pitfalls are scoped to the relevant tabs, and 'truncated' is used correctly. Required revisions: (1) rewrite the prompt to source Old Loans from 8) Opening Balance Sheet and the other three instrum"&amp;"ents from 6) Capital; (2) correct rubric criterion 10f8af5e (and any term/payment-months criterion) so Old Loans is graded against Opening Balance Sheet, not Capital; (3) fix the input workbook 6) Capital terms to 5 / 4 / 3; (4) add compounding-aware mont"&amp;"hly rate, fixed level amortizing payment, prior-balance interest, principal = payment − interest, and post-term zeroing language to the prompt; (5) replace rounded validation targets with exact raw values and remove the gridlines criterion.")</f>
        <v>Effective score ~70, decision band re-try needed. The submission has two central, capped defects. First, the revised prompt explicitly instructs the model to pull loan amount, annual interest rate, and term for all four instruments — including Old Loans — directly from the Capital tab, and the rubric reinforces this by asking whether the Old Loans monthly rate is derived from the Capital tab (criterion 10f8af5e). Per ground truth, Old Loans must source from 8) Opening Balance Sheet, so this is a central source-tab miss that triggers the 80 cap, even though one rubric criterion (4f8aaf04) does correctly ask whether the Old Loans loan amount links to the Opening Balance Sheet — this creates an internal contradiction. Second, the submitted input workbook still has Mortgage term = 1 and Other Bank Debt term = 1 on the 6) Capital tab; these were not corrected to 4 and 3, which independently caps the score at 90. Additional medium issues: methodology in the prompt is underspecified (no compounding-aware annual-to-monthly rate conversion, no explicit statement that interest is computed on the prior period ending balance, that principal equals payment minus interest, or that balances zero after term/payoff); the rubric still includes a gridline-hiding criterion that should be deleted; the Month 24 Mortgage and Month 30 Other Bank Debt validation targets cannot be reconciled against ground truth without recalculation given the uncorrected input terms; and several output-validation targets use rounded display values (e.g., 2954.99, 180728.16, -4,678.87, 16.61) rather than exact raw values. Strengths: downstream Income Statement/Balance Sheet/Cash Flow integration is present in both prompt and rubric, the Cash Flow Month 36 target is correctly -4,678.87 (no period mismatch), there is no duplicate Loan Amount perturbation, pitfalls are scoped to the relevant tabs, and 'truncated' is used correctly. Required revisions: (1) rewrite the prompt to source Old Loans from 8) Opening Balance Sheet and the other three instruments from 6) Capital; (2) correct rubric criterion 10f8af5e (and any term/payment-months criterion) so Old Loans is graded against Opening Balance Sheet, not Capital; (3) fix the input workbook 6) Capital terms to 5 / 4 / 3; (4) add compounding-aware monthly rate, fixed level amortizing payment, prior-balance interest, principal = payment − interest, and post-term zeroing language to the prompt; (5) replace rounded validation targets with exact raw values and remove the gridlines criterion.</v>
      </c>
      <c r="AA107" s="43" t="str">
        <f>IFERROR(__xludf.DUMMYFUNCTION("""COMPUTED_VALUE"""),"success")</f>
        <v>success</v>
      </c>
    </row>
    <row r="108">
      <c r="A108" s="110" t="str">
        <f t="shared" si="1"/>
        <v>www.tsip.ai/claim/4fae534b-c110-4b56-a700-8c4b5f9f06e7</v>
      </c>
      <c r="B108" s="43" t="str">
        <f>IFERROR(__xludf.DUMMYFUNCTION("""COMPUTED_VALUE"""),"4fae534b-c110-4b56-a700-8c4b5f9f06e7")</f>
        <v>4fae534b-c110-4b56-a700-8c4b5f9f06e7</v>
      </c>
      <c r="C108" s="43" t="str">
        <f>IFERROR(__xludf.DUMMYFUNCTION("""COMPUTED_VALUE"""),"sheets-training")</f>
        <v>sheets-training</v>
      </c>
      <c r="D108" s="43">
        <f>IFERROR(__xludf.DUMMYFUNCTION("""COMPUTED_VALUE"""),3.0)</f>
        <v>3</v>
      </c>
      <c r="E108" s="43" t="str">
        <f>IFERROR(__xludf.DUMMYFUNCTION("""COMPUTED_VALUE"""),"training_review")</f>
        <v>training_review</v>
      </c>
      <c r="F108" s="43" t="str">
        <f>IFERROR(__xludf.DUMMYFUNCTION("""COMPUTED_VALUE"""),"cb09ba27-c93f-488d-a521-1acfca174929")</f>
        <v>cb09ba27-c93f-488d-a521-1acfca174929</v>
      </c>
      <c r="G108" s="43" t="str">
        <f>IFERROR(__xludf.DUMMYFUNCTION("""COMPUTED_VALUE"""),"NULL")</f>
        <v>NULL</v>
      </c>
      <c r="H108" s="43" t="str">
        <f>IFERROR(__xludf.DUMMYFUNCTION("""COMPUTED_VALUE"""),"""2026-05-21T18:30:39.012Z""")</f>
        <v>"2026-05-21T18:30:39.012Z"</v>
      </c>
      <c r="I108" s="43" t="str">
        <f>IFERROR(__xludf.DUMMYFUNCTION("""COMPUTED_VALUE"""),"NULL")</f>
        <v>NULL</v>
      </c>
      <c r="J108" s="43" t="str">
        <f>IFERROR(__xludf.DUMMYFUNCTION("""COMPUTED_VALUE"""),"NULL")</f>
        <v>NULL</v>
      </c>
      <c r="K108" s="43" t="str">
        <f>IFERROR(__xludf.DUMMYFUNCTION("""COMPUTED_VALUE"""),"""2026-05-20T23:00:23.981Z""")</f>
        <v>"2026-05-20T23:00:23.981Z"</v>
      </c>
      <c r="L108" s="43" t="str">
        <f>IFERROR(__xludf.DUMMYFUNCTION("""COMPUTED_VALUE"""),"""2026-05-21T18:30:39.012Z""")</f>
        <v>"2026-05-21T18:30:39.012Z"</v>
      </c>
      <c r="M108" s="43" t="str">
        <f>IFERROR(__xludf.DUMMYFUNCTION("""COMPUTED_VALUE"""),"38ae8597-d897-4d73-a93f-158e2478fd3f")</f>
        <v>38ae8597-d897-4d73-a93f-158e2478fd3f</v>
      </c>
      <c r="N108" s="43" t="str">
        <f>IFERROR(__xludf.DUMMYFUNCTION("""COMPUTED_VALUE"""),"cacf4da3-cd8d-402b-a1e9-f3ad3e7f11bf")</f>
        <v>cacf4da3-cd8d-402b-a1e9-f3ad3e7f11bf</v>
      </c>
      <c r="O108" s="43" t="str">
        <f>IFERROR(__xludf.DUMMYFUNCTION("""COMPUTED_VALUE"""),"{}")</f>
        <v>{}</v>
      </c>
      <c r="P108" s="43" t="str">
        <f>IFERROR(__xludf.DUMMYFUNCTION("""COMPUTED_VALUE"""),"training_review")</f>
        <v>training_review</v>
      </c>
      <c r="Q108" s="43" t="str">
        <f>IFERROR(__xludf.DUMMYFUNCTION("""COMPUTED_VALUE"""),"sheets-training")</f>
        <v>sheets-training</v>
      </c>
      <c r="R108" s="43" t="str">
        <f>IFERROR(__xludf.DUMMYFUNCTION("""COMPUTED_VALUE"""),"I want to fully understand the debt  debt situation of a company, all the financial information are shared in the various tabs of the model. Create a Loan Amortization Schedule on the blank Loan Amortization Schedule tab that builds out the full monthly r"&amp;"epayment schedule for each instrument across the full loan term for Loan, Mortgage, Other Bank Debt.
For each of the three debt instruments (Loan, Mortgage, Other Bank Debt), pull the loan amount, interest rate, and term directly from the Capital tab and"&amp;" derive the remaining assumptions (monthly rate, number of payments, and monthly payment) from those inputs. Then build a monthly schedule across a five year period.
Finally, integrate the outputs back into the model: link interest expense into the Incom"&amp;"e Statement, principal repayment into the Cash Flow tab with the correct cash outflow sign, and ending debt balances into the Balance Sheet. These links should reference the Loan Amortization Schedule rather than recalculating locally, so that changes to "&amp;"assumptions on the Capital tab flow dynamically through the amortization schedule and the financial statements. 
")</f>
        <v>I want to fully understand the debt  debt situation of a company, all the financial information are shared in the various tabs of the model. Create a Loan Amortization Schedule on the blank Loan Amortization Schedule tab that builds out the full monthly repayment schedule for each instrument across the full loan term for Loan, Mortgage, Other Bank Debt.
For each of the three debt instruments (Loan, Mortgage, Other Bank Debt), pull the loan amount, interest rate, and term directly from the Capital tab and derive the remaining assumptions (monthly rate, number of payments, and monthly payment) from those inputs. Then build a monthly schedule across a five year period.
Finally, integrate the outputs back into the model: link interest expense into the Income Statement, principal repayment into the Cash Flow tab with the correct cash outflow sign, and ending debt balances into the Balance Sheet. These links should reference the Loan Amortization Schedule rather than recalculating locally, so that changes to assumptions on the Capital tab flow dynamically through the amortization schedule and the financial statements. 
</v>
      </c>
      <c r="S108" s="43" t="str">
        <f>IFERROR(__xludf.DUMMYFUNCTION("""COMPUTED_VALUE"""),"{""sections"":[{""id"":""c050b19e-1bd8-468d-a8a3-91a2234491d4"",""name"":""Formula Correctness"",""criteria"":[{""id"":""2a2c17d0-1315-4ea7-9a83-305abde3151b"",""points"":2,""question"":""Is the monthly interest rate derived dynamically from the annual in"&amp;"terest rate assumption using a mathematically consistent monthly compounding approach?""},{""id"":""47e78cdb-72b8-4852-80d8-5ef6627297a3"",""points"":1,""question"":"" Is the number of payments for each debt instrument on the Loan Amortization Schedule de"&amp;"rived by multiplying the term in years from the Capital tab by 12?""},{""id"":""5c8bae53-fa04-42dd-9845-2b4a12d9ede4"",""points"":2,""question"":""Is the monthly payment calculated dynamically using spreadsheet formulas referencing the loan amount, monthl"&amp;"y interest rate, and payment term assumptions, without hardcoded payment values?""},{""id"":""af83d462-5fd4-479b-9248-abc93d1f8663"",""points"":1,""question"":""Is the monthly interest for each debt instrument on the Loan Amortization Schedule calculated "&amp;"as the prior period ending loan balance multiplied by the monthly rate?""},{""id"":""b820d70b-fd5b-4103-92ad-fce2f9801add"",""points"":2,""question"":""Is the monthly principal for each debt instrument on the Loan Amortization Schedule calculated as the m"&amp;"onthly payment minus the monthly interest?""},{""id"":""8af90074-11f8-4ce9-b59f-f16cb7cd30f2"",""points"":2,""question"":""Is the loan balance for each debt instrument on the Loan Amortization Schedule calculated as the prior period ending balance minus t"&amp;"he current period principal repayment?""},{""id"":""d4aa974f-8dca-43bf-b38d-dd5b98f28e3d"",""points"":1,""question"":""Is the Month 1 loan balance for the Loan section on the Loan Amortization Schedule calculated as the original loan amount minus the Mont"&amp;"h 1 principal payment?""},{""id"":""731471a2-e857-47d2-82bb-a01efc0ab681"",""points"":2,""question"":""Does the Mortgage schedule on the Loan Amortization Schedule correctly produce zero interest, principal, and balance values for months beyond the 12-mon"&amp;"th term?""},{""id"":""628393a4-ced9-45ea-9fd1-33e061dd85de"",""points"":2,""question"":""Does the Other Bank Debt schedule on the Loan Amortization Schedule correctly produce zero interest, principal, and balance values for months beyond the 12-month term"&amp;"?""},{""id"":""34fa13ac-a3c4-47c4-bae1-aa498a786901"",""points"":2,""question"":""Is the interest expense on the monthly Income Statement calculated as the sum of interest from all four debt instruments (Loan, Mortgage, Other Bank Debt) for each correspon"&amp;"ding month?""},{""id"":""94895fb5-3f93-40c3-8829-38bf80a59a98"",""points"":2,""question"":""Is the Earnings before taxes line on the monthly Income Statement derived as EBITDA minus depreciation and amortization expense minus interest expense?""},{""id"":"&amp;"""884332ad-6d9a-42d7-9f30-ab6a9849b370"",""points"":2,""question"":""Does the Loan schedule on the Loan Amortization Schedule correctly produce zero interest, principal, and balance values for months beyond the 60-month term?""}]},{""id"":""5936e27a-4b98-"&amp;"4b08-bebf-fb9eed9415c8"",""name"":""Model Integration"",""criteria"":[{""id"":""560f9386-814e-4abd-aec7-236a96b83994"",""points"":4,""question"":""Is Repayment of debt (Line 47) on the Cash Flow tab linked to the Loan Amortization Schedule tab via a formu"&amp;"la that aggregates principal repayment across all debt instruments with a sign-flip transformation (not recalculated locally)?""},{""id"":""0edf139c-b054-4c92-8644-247e2612934a"",""points"":4,""question"":"" Is interest expense (Line 87)  on the Income St"&amp;"atement tab linked to the Loan Amortization Schedule tab via a formula that aggregates interest across all debt instruments (not recalculated locally)?""},{""id"":""8c0188f0-3c0b-4be6-a126-55f223cec406"",""points"":4,""question"":""Is the Loans line (Line"&amp;" 50) under long term liabilities on the Balance Sheet tab linked to the Loan Amortization Schedule tab via a formula that aggregates loan balances across all debt instruments (not recalculated locally)?""},{""id"":""1f10e8eb-da34-45e8-b741-1a5167ae1108"","&amp;"""points"":3,""question"":""Is the number of payments assumption on the Loan Amortization Schedule tab linked to the Capital tab with an arithmetic transformation to convert the loan term to months (not hardcoded)?""},{""id"":""cc01788a-2a6d-4b99-ac63-6eb"&amp;"d94056e9d"",""points"":2,""question"":""Is the loan amount assumption on the Loan Amortization Schedule tab linked to the Capital tab (not hardcoded)?""},{""id"":""7b58744e-560b-484e-8782-cfd7f524084d"",""points"":2,""question"":""Do updates to debt assum"&amp;"ptions on the Capital tab propagate dynamically through the Loan Amortization Schedule, Income Statement, Cash Flow, and Balance Sheet tabs without manual intervention?""}]},{""id"":""0bc67a91-b660-4986-b7de-ccaa1f0c7c08"",""name"":""Output Validation"","&amp;"""criteria"":[{""id"":""3360b286-ce72-41ea-a556-6d9134c85233"",""points"":3,""question"":""Is the Loan monthly payment assumption on the Loan Amortization Schedule tab within +/- 2% of 2954.99?""},{""id"":""f17f59dc-199d-41fa-b4c3-7cd838171a30"",""points"&amp;""":4,""question"":""Is the Mortgage monthly payment assumption on the Loan Amortization Schedule tab within +/- 2% of 2540.26?""},{""id"":""80096d92-88af-4434-8f24-fc9d483c88f2"",""points"":4,""question"":""Is the Other Bank Debt monthly payment assumptio"&amp;"n on the Loan Amortization Schedule tab within +/- 2% of 4255.86?""},{""id"":""04b2cedd-13ac-46d6-9e6f-2d6000ce1b7a"",""points"":5,""question"":""Is the Loan balance at Month 12 on the Loan Amortization Schedule tab within +/- 2% of 123916.40?""},{""id"":"&amp;"""3d9488e8-f814-4068-8ae2-4f1e41485f53"",""points"":5,""question"":""Is the interest expense on the Income Statement tab at Month 60 within +/- 2% of 16.61?""}]},{""id"":""bd387d0c-bba7-4c28-b0ee-37742a11326e"",""name"":""Perturbation"",""criteria"":[{""i"&amp;"d"":""875fc33d-0b28-4763-b7f5-9cab275c67e9"",""points"":5,""question"":""If the Loan Amount on the Capital tab is changed from 150,000 to 180,000, does Net income on the Income Statement tab for Year 1 Month 1 update to within +/- 2% of 2,754?""},{""id"":"&amp;"""1f619c37-9e13-42a7-bd44-35bff9b39cd7"",""points"":5,""question"":""If the Loan Interest Rate on the Capital tab is changed from 7% to 10%, does Cash end of year on the Cash Flow tab for Year 1 Month 1 update to within +/- 2% of 133,865?""},{""id"":""e91"&amp;"a8d2f-780f-47b9-bf14-ba6e2e063f9d"",""points"":5,""question"":""If the Mortgage Amount on the Capital tab is changed from 30,000 to 50,000, does the Loans balance on the Balance Sheet tab for Year 1 Month 1 update to within +/- 2% of 245,600?""},{""id"":"&amp;"""10082bbc-bd5e-40d1-887a-c359f70f15d8"",""points"":5,""question"":""If the Mortgage Term on the Capital tab is changed from 4 years to 6 years, does Cash end of year on the Cash Flow tab for Year 1 Month 12 update to within +/- 2% of 165,000?""},{""id"":"&amp;"""7ff15a88-8091-4c4d-8051-b0a8849a9965"",""points"":5,""question"":""If the Other Bank Debt Interest Rate on the Capital tab is changed from 4% to 7%, does Net income on the Income Statement tab for Year 1 Month 12 update to within +/- 2% of 7,385?""},{"""&amp;"id"":""8c68221c-5438-43b5-aaa3-4d59c1e1a0fa"",""points"":5,""question"":""If the Other Bank Debt Term on the Capital tab is changed from 3 years to 5 years, does the Loans balance on the Balance Sheet tab for Year 1 Month 12 update to within +/- 2% of 187"&amp;",553?""}]},{""id"":""9d3f1fb1-47b3-48e9-b9d7-69c880730fba"",""name"":""Presentation"",""criteria"":[{""id"":""3e0f1d1b-21e9-41c1-a270-acd9952be678"",""points"":2,""question"":""Are the monthly payment, interest, principal, and balance values on the Loan A"&amp;"mortization Schedule formatted with comma separators and two decimal places?""},{""id"":""f0111dc3-2ac8-485e-a71e-9fbb08e175e5"",""points"":2,""question"":""Are the four debt instrument sections on the Loan Amortization Schedule visually separated with bo"&amp;"ld section header labels, light grey background fill, and bottom borders on the last row of each schedule?""},{""id"":""c8a3008d-7926-42b7-a457-bbe4eab5d705"",""points"":2,""question"":""Are gridlines hidden on the Loan Amortization Schedule tab, consiste"&amp;"nt with all other tabs in the model?""}]},{""id"":""40d4fe70-2639-44da-a9d0-2c664b5d8134"",""name"":""Pitfalls"",""criteria"":[{""id"":""c88d9ad0-d06f-497e-b8cf-9929897e1c07"",""points"":-5,""question"":""Are there any error values in the 4) Operating Exp"&amp;"enses tab, the 6) Capital tab, the 9) WACC tab, the Income Statement tab, the Balance Sheet tab, the Cash Flow tab, the Financial Highlights tab, the Sensitivity Analysis tab, the Ratio Analysis tab, the Loan Amortization Schedule tab, the PD Charts tab, "&amp;"and the Valuation tab (#REF!, #DIV/0!, #VALUE!, #NAME?, #N/A, #NUM!)?""},{""id"":""c0f4c89a-092f-408a-bc21-0b6d04dbd6a6"",""points"":-3,""question"":""Is any data or label text truncated or hidden due to insufficient column widths or row heights in the 4)"&amp;" Operating Expenses tab, the 6) Capital tab, the 9) WACC tab, the Income Statement tab, the Balance Sheet tab, the Cash Flow tab, the Financial Highlights tab, the Sensitivity Analysis tab, the Ratio Analysis tab, the Loan Amortization Schedule tab, the P"&amp;"D Charts tab, and the Valuation tab?""}]}]}")</f>
        <v>{"sections":[{"id":"c050b19e-1bd8-468d-a8a3-91a2234491d4","name":"Formula Correctness","criteria":[{"id":"2a2c17d0-1315-4ea7-9a83-305abde3151b","points":2,"question":"Is the monthly interest rate derived dynamically from the annual interest rate assumption using a mathematically consistent monthly compounding approach?"},{"id":"47e78cdb-72b8-4852-80d8-5ef6627297a3","points":1,"question":" Is the number of payments for each debt instrument on the Loan Amortization Schedule derived by multiplying the term in years from the Capital tab by 12?"},{"id":"5c8bae53-fa04-42dd-9845-2b4a12d9ede4","points":2,"question":"Is the monthly payment calculated dynamically using spreadsheet formulas referencing the loan amount, monthly interest rate, and payment term assumptions, without hardcoded payment values?"},{"id":"af83d462-5fd4-479b-9248-abc93d1f8663","points":1,"question":"Is the monthly interest for each debt instrument on the Loan Amortization Schedule calculated as the prior period ending loan balance multiplied by the monthly rate?"},{"id":"b820d70b-fd5b-4103-92ad-fce2f9801add","points":2,"question":"Is the monthly principal for each debt instrument on the Loan Amortization Schedule calculated as the monthly payment minus the monthly interest?"},{"id":"8af90074-11f8-4ce9-b59f-f16cb7cd30f2","points":2,"question":"Is the loan balance for each debt instrument on the Loan Amortization Schedule calculated as the prior period ending balance minus the current period principal repayment?"},{"id":"d4aa974f-8dca-43bf-b38d-dd5b98f28e3d","points":1,"question":"Is the Month 1 loan balance for the Loan section on the Loan Amortization Schedule calculated as the original loan amount minus the Month 1 principal payment?"},{"id":"731471a2-e857-47d2-82bb-a01efc0ab681","points":2,"question":"Does the Mortgage schedule on the Loan Amortization Schedule correctly produce zero interest, principal, and balance values for months beyond the 12-month term?"},{"id":"628393a4-ced9-45ea-9fd1-33e061dd85de","points":2,"question":"Does the Other Bank Debt schedule on the Loan Amortization Schedule correctly produce zero interest, principal, and balance values for months beyond the 12-month term?"},{"id":"34fa13ac-a3c4-47c4-bae1-aa498a786901","points":2,"question":"Is the interest expense on the monthly Income Statement calculated as the sum of interest from all four debt instruments (Loan, Mortgage, Other Bank Debt) for each corresponding month?"},{"id":"94895fb5-3f93-40c3-8829-38bf80a59a98","points":2,"question":"Is the Earnings before taxes line on the monthly Income Statement derived as EBITDA minus depreciation and amortization expense minus interest expense?"},{"id":"884332ad-6d9a-42d7-9f30-ab6a9849b370","points":2,"question":"Does the Loan schedule on the Loan Amortization Schedule correctly produce zero interest, principal, and balance values for months beyond the 60-month term?"}]},{"id":"5936e27a-4b98-4b08-bebf-fb9eed9415c8","name":"Model Integration","criteria":[{"id":"560f9386-814e-4abd-aec7-236a96b83994","points":4,"question":"Is Repayment of debt (Line 47) on the Cash Flow tab linked to the Loan Amortization Schedule tab via a formula that aggregates principal repayment across all debt instruments with a sign-flip transformation (not recalculated locally)?"},{"id":"0edf139c-b054-4c92-8644-247e2612934a","points":4,"question":" Is interest expense (Line 87)  on the Income Statement tab linked to the Loan Amortization Schedule tab via a formula that aggregates interest across all debt instruments (not recalculated locally)?"},{"id":"8c0188f0-3c0b-4be6-a126-55f223cec406","points":4,"question":"Is the Loans line (Line 50) under long term liabilities on the Balance Sheet tab linked to the Loan Amortization Schedule tab via a formula that aggregates loan balances across all debt instruments (not recalculated locally)?"},{"id":"1f10e8eb-da34-45e8-b741-1a5167ae1108","points":3,"question":"Is the number of payments assumption on the Loan Amortization Schedule tab linked to the Capital tab with an arithmetic transformation to convert the loan term to months (not hardcoded)?"},{"id":"cc01788a-2a6d-4b99-ac63-6ebd94056e9d","points":2,"question":"Is the loan amount assumption on the Loan Amortization Schedule tab linked to the Capital tab (not hardcoded)?"},{"id":"7b58744e-560b-484e-8782-cfd7f524084d","points":2,"question":"Do updates to debt assumptions on the Capital tab propagate dynamically through the Loan Amortization Schedule, Income Statement, Cash Flow, and Balance Sheet tabs without manual intervention?"}]},{"id":"0bc67a91-b660-4986-b7de-ccaa1f0c7c08","name":"Output Validation","criteria":[{"id":"3360b286-ce72-41ea-a556-6d9134c85233","points":3,"question":"Is the Loan monthly payment assumption on the Loan Amortization Schedule tab within +/- 2% of 2954.99?"},{"id":"f17f59dc-199d-41fa-b4c3-7cd838171a30","points":4,"question":"Is the Mortgage monthly payment assumption on the Loan Amortization Schedule tab within +/- 2% of 2540.26?"},{"id":"80096d92-88af-4434-8f24-fc9d483c88f2","points":4,"question":"Is the Other Bank Debt monthly payment assumption on the Loan Amortization Schedule tab within +/- 2% of 4255.86?"},{"id":"04b2cedd-13ac-46d6-9e6f-2d6000ce1b7a","points":5,"question":"Is the Loan balance at Month 12 on the Loan Amortization Schedule tab within +/- 2% of 123916.40?"},{"id":"3d9488e8-f814-4068-8ae2-4f1e41485f53","points":5,"question":"Is the interest expense on the Income Statement tab at Month 60 within +/- 2% of 16.61?"}]},{"id":"bd387d0c-bba7-4c28-b0ee-37742a11326e","name":"Perturbation","criteria":[{"id":"875fc33d-0b28-4763-b7f5-9cab275c67e9","points":5,"question":"If the Loan Amount on the Capital tab is changed from 150,000 to 180,000, does Net income on the Income Statement tab for Year 1 Month 1 update to within +/- 2% of 2,754?"},{"id":"1f619c37-9e13-42a7-bd44-35bff9b39cd7","points":5,"question":"If the Loan Interest Rate on the Capital tab is changed from 7% to 10%, does Cash end of year on the Cash Flow tab for Year 1 Month 1 update to within +/- 2% of 133,865?"},{"id":"e91a8d2f-780f-47b9-bf14-ba6e2e063f9d","points":5,"question":"If the Mortgage Amount on the Capital tab is changed from 30,000 to 50,000, does the Loans balance on the Balance Sheet tab for Year 1 Month 1 update to within +/- 2% of 245,600?"},{"id":"10082bbc-bd5e-40d1-887a-c359f70f15d8","points":5,"question":"If the Mortgage Term on the Capital tab is changed from 4 years to 6 years, does Cash end of year on the Cash Flow tab for Year 1 Month 12 update to within +/- 2% of 165,000?"},{"id":"7ff15a88-8091-4c4d-8051-b0a8849a9965","points":5,"question":"If the Other Bank Debt Interest Rate on the Capital tab is changed from 4% to 7%, does Net income on the Income Statement tab for Year 1 Month 12 update to within +/- 2% of 7,385?"},{"id":"8c68221c-5438-43b5-aaa3-4d59c1e1a0fa","points":5,"question":"If the Other Bank Debt Term on the Capital tab is changed from 3 years to 5 years, does the Loans balance on the Balance Sheet tab for Year 1 Month 12 update to within +/- 2% of 187,553?"}]},{"id":"9d3f1fb1-47b3-48e9-b9d7-69c880730fba","name":"Presentation","criteria":[{"id":"3e0f1d1b-21e9-41c1-a270-acd9952be678","points":2,"question":"Are the monthly payment, interest, principal, and balance values on the Loan Amortization Schedule formatted with comma separators and two decimal places?"},{"id":"f0111dc3-2ac8-485e-a71e-9fbb08e175e5","points":2,"question":"Are the four debt instrument sections on the Loan Amortization Schedule visually separated with bold section header labels, light grey background fill, and bottom borders on the last row of each schedule?"},{"id":"c8a3008d-7926-42b7-a457-bbe4eab5d705","points":2,"question":"Are gridlines hidden on the Loan Amortization Schedule tab, consistent with all other tabs in the model?"}]},{"id":"40d4fe70-2639-44da-a9d0-2c664b5d8134","name":"Pitfalls","criteria":[{"id":"c88d9ad0-d06f-497e-b8cf-9929897e1c07","points":-5,"question":"Are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#NUM!)?"},{"id":"c0f4c89a-092f-408a-bc21-0b6d04dbd6a6","points":-3,"question":"Is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8" s="43" t="str">
        <f>IFERROR(__xludf.DUMMYFUNCTION("""COMPUTED_VALUE"""),"{""rating"":2,""feedback"":""Effective overall score roughly 58/100, decision band re-try needed. The submitted package has central misses. The input workbook still has Mortgage and Other Bank Debt terms of 1 year on the 6) Capital tab; they were not corr"&amp;"ected to 4 and 3, which triggers the 90 cap, and it also leaves the Mortgage and Other Bank Debt zeroing criteria in the rubric (which check beyond a 12-month term) factually wrong relative to the intended 48-month and 36-month terms. The submitted prompt"&amp;" drops Old Loans entirely rather than directing it to be sourced from 8) Opening Balance Sheet, even though the golden output workbook does build an Old Loans block sourced from Opening Balance Sheet; this prompt-vs-workbook misalignment is a major defect"&amp;" and the rubric likewise fails to grade Old Loans assumptions, interest, principal, balance, or downstream contribution. The interest-expense rubric line says 'sum of interest from all four debt instruments' but then lists only three, which is incoherent."&amp;" The duplicate Loan Amount 150,000 to 180,000 / Net Income Year 1 Month 1 perturbation remains, triggering the 92 cap, and the perturbation values are rounded display numbers rather than exact recalculated raw values. Output validation uses 16.61 for inte"&amp;"rest at Month 60 (OK, matches raw 16.6139) but uses 123916.40 for Loan-only Month 12 instead of 180728.16 for Balance Sheet Loans Month 12, and omits the Cash Flow repayment Month 36 / Month 37 check, so the starting -3225.17 period mismatch was sidestepp"&amp;"ed rather than corrected with the true Month 36 value (-4678.87). The prompt also omits any material formatting guidance, while the rubric still grades bundled presentation (bold + light grey fill + bottom borders in one criterion) and a gridlines-hidden "&amp;"criterion that should be removed. Pitfalls remain overly broad across many unrelated tabs and conflate truncated with hidden. Required revisions: correct the 6) Capital terms to 5/4/3; add Old Loans to the prompt as sourced from 8) Opening Balance Sheet a"&amp;"nd add corresponding rubric criteria for its assumptions and downstream contribution; fix Mortgage and Other Bank Debt zeroing thresholds to 48 and 36 months; replace the Loan Month 12 target with the Balance Sheet Loans Month 12 raw value 180728.16 or cl"&amp;"early scope it as Loan-only; add a Cash Flow repayment check at Month 36 using -4678.87 (or move the -3225.17 check to Month 37); remove the duplicate Loan Amount perturbation; use exact raw values for perturbation targets or note Excel recalculation; spl"&amp;"it the bundled presentation criterion and drop the gridlines criterion unless prompt-backed; narrow pitfalls to the changed/relevant tabs and replace 'hidden' with 'truncated' for sizing issues; add prompt-backed formatting guidance for headers and numeri"&amp;"c/percentage formats.""}")</f>
        <v>{"rating":2,"feedback":"Effective overall score roughly 58/100, decision band re-try needed. The submitted package has central misses. The input workbook still has Mortgage and Other Bank Debt terms of 1 year on the 6) Capital tab; they were not corrected to 4 and 3, which triggers the 90 cap, and it also leaves the Mortgage and Other Bank Debt zeroing criteria in the rubric (which check beyond a 12-month term) factually wrong relative to the intended 48-month and 36-month terms. The submitted prompt drops Old Loans entirely rather than directing it to be sourced from 8) Opening Balance Sheet, even though the golden output workbook does build an Old Loans block sourced from Opening Balance Sheet; this prompt-vs-workbook misalignment is a major defect and the rubric likewise fails to grade Old Loans assumptions, interest, principal, balance, or downstream contribution. The interest-expense rubric line says 'sum of interest from all four debt instruments' but then lists only three, which is incoherent. The duplicate Loan Amount 150,000 to 180,000 / Net Income Year 1 Month 1 perturbation remains, triggering the 92 cap, and the perturbation values are rounded display numbers rather than exact recalculated raw values. Output validation uses 16.61 for interest at Month 60 (OK, matches raw 16.6139) but uses 123916.40 for Loan-only Month 12 instead of 180728.16 for Balance Sheet Loans Month 12, and omits the Cash Flow repayment Month 36 / Month 37 check, so the starting -3225.17 period mismatch was sidestepped rather than corrected with the true Month 36 value (-4678.87). The prompt also omits any material formatting guidance, while the rubric still grades bundled presentation (bold + light grey fill + bottom borders in one criterion) and a gridlines-hidden criterion that should be removed. Pitfalls remain overly broad across many unrelated tabs and conflate truncated with hidden. Required revisions: correct the 6) Capital terms to 5/4/3; add Old Loans to the prompt as sourced from 8) Opening Balance Sheet and add corresponding rubric criteria for its assumptions and downstream contribution; fix Mortgage and Other Bank Debt zeroing thresholds to 48 and 36 months; replace the Loan Month 12 target with the Balance Sheet Loans Month 12 raw value 180728.16 or clearly scope it as Loan-only; add a Cash Flow repayment check at Month 36 using -4678.87 (or move the -3225.17 check to Month 37); remove the duplicate Loan Amount perturbation; use exact raw values for perturbation targets or note Excel recalculation; split the bundled presentation criterion and drop the gridlines criterion unless prompt-backed; narrow pitfalls to the changed/relevant tabs and replace 'hidden' with 'truncated' for sizing issues; add prompt-backed formatting guidance for headers and numeric/percentage formats."}</v>
      </c>
      <c r="U108"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08" s="110" t="str">
        <f>IFERROR(__xludf.DUMMYFUNCTION("""COMPUTED_VALUE"""),"https://tsipprd.blob.core.windows.net/tsip-files/imports/cb09ba27-c93f-488d-a521-1acfca174929/1779318018594_input.xlsx?sv=2026-02-06&amp;se=2026-05-23T18%3A39%3A32Z&amp;sr=b&amp;sp=r&amp;sig=1RJIZa7650JYE1IMkRUceKjqapafoZi4ZGEolxA%2B6Ys%3D")</f>
        <v>https://tsipprd.blob.core.windows.net/tsip-files/imports/cb09ba27-c93f-488d-a521-1acfca174929/1779318018594_input.xlsx?sv=2026-02-06&amp;se=2026-05-23T18%3A39%3A32Z&amp;sr=b&amp;sp=r&amp;sig=1RJIZa7650JYE1IMkRUceKjqapafoZi4ZGEolxA%2B6Ys%3D</v>
      </c>
      <c r="W108" s="110" t="str">
        <f>IFERROR(__xludf.DUMMYFUNCTION("""COMPUTED_VALUE"""),"https://tsipprd.blob.core.windows.net/tsip-files/38ae8597-d897-4d73-a93f-158e2478fd3f/4fae534b-c110-4b56-a700-8c4b5f9f06e7/1779364960853_output.xlsx?sv=2026-02-06&amp;se=2026-05-23T18%3A39%3A32Z&amp;sr=b&amp;sp=r&amp;sig=6QEie79tg0Yk0jrIQ1CY%2FciVrCbJsarnsNlgWKGG7uY%3D")</f>
        <v>https://tsipprd.blob.core.windows.net/tsip-files/38ae8597-d897-4d73-a93f-158e2478fd3f/4fae534b-c110-4b56-a700-8c4b5f9f06e7/1779364960853_output.xlsx?sv=2026-02-06&amp;se=2026-05-23T18%3A39%3A32Z&amp;sr=b&amp;sp=r&amp;sig=6QEie79tg0Yk0jrIQ1CY%2FciVrCbJsarnsNlgWKGG7uY%3D</v>
      </c>
      <c r="X108" s="43" t="str">
        <f>IFERROR(__xludf.DUMMYFUNCTION("""COMPUTED_VALUE"""),"success")</f>
        <v>success</v>
      </c>
      <c r="Y108" s="43">
        <f>IFERROR(__xludf.DUMMYFUNCTION("""COMPUTED_VALUE"""),2.0)</f>
        <v>2</v>
      </c>
      <c r="Z108" s="43" t="str">
        <f>IFERROR(__xludf.DUMMYFUNCTION("""COMPUTED_VALUE"""),"Effective overall score roughly 58/100, decision band re-try needed. The submitted package has central misses. The input workbook still has Mortgage and Other Bank Debt terms of 1 year on the 6) Capital tab; they were not corrected to 4 and 3, which trigg"&amp;"ers the 90 cap, and it also leaves the Mortgage and Other Bank Debt zeroing criteria in the rubric (which check beyond a 12-month term) factually wrong relative to the intended 48-month and 36-month terms. The submitted prompt drops Old Loans entirely rat"&amp;"her than directing it to be sourced from 8) Opening Balance Sheet, even though the golden output workbook does build an Old Loans block sourced from Opening Balance Sheet; this prompt-vs-workbook misalignment is a major defect and the rubric likewise fail"&amp;"s to grade Old Loans assumptions, interest, principal, balance, or downstream contribution. The interest-expense rubric line says 'sum of interest from all four debt instruments' but then lists only three, which is incoherent. The duplicate Loan Amount 15"&amp;"0,000 to 180,000 / Net Income Year 1 Month 1 perturbation remains, triggering the 92 cap, and the perturbation values are rounded display numbers rather than exact recalculated raw values. Output validation uses 16.61 for interest at Month 60 (OK, matches"&amp;" raw 16.6139) but uses 123916.40 for Loan-only Month 12 instead of 180728.16 for Balance Sheet Loans Month 12, and omits the Cash Flow repayment Month 36 / Month 37 check, so the starting -3225.17 period mismatch was sidestepped rather than corrected with"&amp;" the true Month 36 value (-4678.87). The prompt also omits any material formatting guidance, while the rubric still grades bundled presentation (bold + light grey fill + bottom borders in one criterion) and a gridlines-hidden criterion that should be remo"&amp;"ved. Pitfalls remain overly broad across many unrelated tabs and conflate truncated with hidden. Required revisions: correct the 6) Capital terms to 5/4/3; add Old Loans to the prompt as sourced from 8) Opening Balance Sheet and add corresponding rubric c"&amp;"riteria for its assumptions and downstream contribution; fix Mortgage and Other Bank Debt zeroing thresholds to 48 and 36 months; replace the Loan Month 12 target with the Balance Sheet Loans Month 12 raw value 180728.16 or clearly scope it as Loan-only; "&amp;"add a Cash Flow repayment check at Month 36 using -4678.87 (or move the -3225.17 check to Month 37); remove the duplicate Loan Amount perturbation; use exact raw values for perturbation targets or note Excel recalculation; split the bundled presentation c"&amp;"riterion and drop the gridlines criterion unless prompt-backed; narrow pitfalls to the changed/relevant tabs and replace 'hidden' with 'truncated' for sizing issues; add prompt-backed formatting guidance for headers and numeric/percentage formats.")</f>
        <v>Effective overall score roughly 58/100, decision band re-try needed. The submitted package has central misses. The input workbook still has Mortgage and Other Bank Debt terms of 1 year on the 6) Capital tab; they were not corrected to 4 and 3, which triggers the 90 cap, and it also leaves the Mortgage and Other Bank Debt zeroing criteria in the rubric (which check beyond a 12-month term) factually wrong relative to the intended 48-month and 36-month terms. The submitted prompt drops Old Loans entirely rather than directing it to be sourced from 8) Opening Balance Sheet, even though the golden output workbook does build an Old Loans block sourced from Opening Balance Sheet; this prompt-vs-workbook misalignment is a major defect and the rubric likewise fails to grade Old Loans assumptions, interest, principal, balance, or downstream contribution. The interest-expense rubric line says 'sum of interest from all four debt instruments' but then lists only three, which is incoherent. The duplicate Loan Amount 150,000 to 180,000 / Net Income Year 1 Month 1 perturbation remains, triggering the 92 cap, and the perturbation values are rounded display numbers rather than exact recalculated raw values. Output validation uses 16.61 for interest at Month 60 (OK, matches raw 16.6139) but uses 123916.40 for Loan-only Month 12 instead of 180728.16 for Balance Sheet Loans Month 12, and omits the Cash Flow repayment Month 36 / Month 37 check, so the starting -3225.17 period mismatch was sidestepped rather than corrected with the true Month 36 value (-4678.87). The prompt also omits any material formatting guidance, while the rubric still grades bundled presentation (bold + light grey fill + bottom borders in one criterion) and a gridlines-hidden criterion that should be removed. Pitfalls remain overly broad across many unrelated tabs and conflate truncated with hidden. Required revisions: correct the 6) Capital terms to 5/4/3; add Old Loans to the prompt as sourced from 8) Opening Balance Sheet and add corresponding rubric criteria for its assumptions and downstream contribution; fix Mortgage and Other Bank Debt zeroing thresholds to 48 and 36 months; replace the Loan Month 12 target with the Balance Sheet Loans Month 12 raw value 180728.16 or clearly scope it as Loan-only; add a Cash Flow repayment check at Month 36 using -4678.87 (or move the -3225.17 check to Month 37); remove the duplicate Loan Amount perturbation; use exact raw values for perturbation targets or note Excel recalculation; split the bundled presentation criterion and drop the gridlines criterion unless prompt-backed; narrow pitfalls to the changed/relevant tabs and replace 'hidden' with 'truncated' for sizing issues; add prompt-backed formatting guidance for headers and numeric/percentage formats.</v>
      </c>
      <c r="AA108" s="43" t="str">
        <f>IFERROR(__xludf.DUMMYFUNCTION("""COMPUTED_VALUE"""),"success")</f>
        <v>success</v>
      </c>
    </row>
    <row r="109">
      <c r="A109" s="110" t="str">
        <f t="shared" si="1"/>
        <v>www.tsip.ai/claim/751bb434-cd06-4b41-b5bf-54b962e71345</v>
      </c>
      <c r="B109" s="43" t="str">
        <f>IFERROR(__xludf.DUMMYFUNCTION("""COMPUTED_VALUE"""),"751bb434-cd06-4b41-b5bf-54b962e71345")</f>
        <v>751bb434-cd06-4b41-b5bf-54b962e71345</v>
      </c>
      <c r="C109" s="43" t="str">
        <f>IFERROR(__xludf.DUMMYFUNCTION("""COMPUTED_VALUE"""),"sheets-training")</f>
        <v>sheets-training</v>
      </c>
      <c r="D109" s="43">
        <f>IFERROR(__xludf.DUMMYFUNCTION("""COMPUTED_VALUE"""),3.0)</f>
        <v>3</v>
      </c>
      <c r="E109" s="43" t="str">
        <f>IFERROR(__xludf.DUMMYFUNCTION("""COMPUTED_VALUE"""),"training_review")</f>
        <v>training_review</v>
      </c>
      <c r="F109" s="43" t="str">
        <f>IFERROR(__xludf.DUMMYFUNCTION("""COMPUTED_VALUE"""),"cb09ba27-c93f-488d-a521-1acfca174929")</f>
        <v>cb09ba27-c93f-488d-a521-1acfca174929</v>
      </c>
      <c r="G109" s="43" t="str">
        <f>IFERROR(__xludf.DUMMYFUNCTION("""COMPUTED_VALUE"""),"NULL")</f>
        <v>NULL</v>
      </c>
      <c r="H109" s="43" t="str">
        <f>IFERROR(__xludf.DUMMYFUNCTION("""COMPUTED_VALUE"""),"""2026-05-20T23:01:40.245Z""")</f>
        <v>"2026-05-20T23:01:40.245Z"</v>
      </c>
      <c r="I109" s="43" t="str">
        <f>IFERROR(__xludf.DUMMYFUNCTION("""COMPUTED_VALUE"""),"NULL")</f>
        <v>NULL</v>
      </c>
      <c r="J109" s="43" t="str">
        <f>IFERROR(__xludf.DUMMYFUNCTION("""COMPUTED_VALUE"""),"""2026-05-20T23:29:05.118Z""")</f>
        <v>"2026-05-20T23:29:05.118Z"</v>
      </c>
      <c r="K109" s="43" t="str">
        <f>IFERROR(__xludf.DUMMYFUNCTION("""COMPUTED_VALUE"""),"""2026-05-20T23:00:23.981Z""")</f>
        <v>"2026-05-20T23:00:23.981Z"</v>
      </c>
      <c r="L109" s="43" t="str">
        <f>IFERROR(__xludf.DUMMYFUNCTION("""COMPUTED_VALUE"""),"""2026-05-20T23:29:05.118Z""")</f>
        <v>"2026-05-20T23:29:05.118Z"</v>
      </c>
      <c r="M109" s="43" t="str">
        <f>IFERROR(__xludf.DUMMYFUNCTION("""COMPUTED_VALUE"""),"NULL")</f>
        <v>NULL</v>
      </c>
      <c r="N109" s="43" t="str">
        <f>IFERROR(__xludf.DUMMYFUNCTION("""COMPUTED_VALUE"""),"cacf4da3-cd8d-402b-a1e9-f3ad3e7f11bf")</f>
        <v>cacf4da3-cd8d-402b-a1e9-f3ad3e7f11bf</v>
      </c>
      <c r="O109" s="43" t="str">
        <f>IFERROR(__xludf.DUMMYFUNCTION("""COMPUTED_VALUE"""),"{}")</f>
        <v>{}</v>
      </c>
      <c r="P109" s="43" t="str">
        <f>IFERROR(__xludf.DUMMYFUNCTION("""COMPUTED_VALUE"""),"training_review")</f>
        <v>training_review</v>
      </c>
      <c r="Q109" s="43" t="str">
        <f>IFERROR(__xludf.DUMMYFUNCTION("""COMPUTED_VALUE"""),"sheets-training")</f>
        <v>sheets-training</v>
      </c>
      <c r="R109"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v>
      </c>
      <c r="S109" s="43" t="str">
        <f>IFERROR(__xludf.DUMMYFUNCTION("""COMPUTED_VALUE"""),"{""sections"":[{""id"":""a94f6080-6e52-415b-b85a-fbe3cf18805c"",""name"":""Formula Correctness"",""criteria"":[{""id"":""5ff40524-639f-4946-9bfc-904fe9ace4b0"",""points"":2,""question"":""Is the monthly rate for each debt instrument on the Loan Amortizati"&amp;"on Schedule derived by converting the effective annual rate to a monthly rate using the compounding formula ((1+EAR)^(1/12))-1, not simply dividing by 12?""},{""id"":""cde73b3e-f537-4f6d-a2e3-c0ec306534a8"",""points"":1,""question"":""Is the number of pay"&amp;"ments for each debt instrument on the Loan Amortization Schedule derived by multiplying the term in years from the Capital tab by 12?""},{""id"":""e3200776-c114-4ca8-9534-08d2182a4a91"",""points"":2,""question"":""Is the monthly payment for each debt inst"&amp;"rument on the Loan Amortization Schedule derived as a formula-based level payment calculation using the loan amount, monthly rate, and number of payments (not hardcoded)?""},{""id"":""43164f89-e96e-4167-9041-0732dc9b62ed"",""points"":1,""question"":""Is t"&amp;"he monthly interest for each debt instrument on the Loan Amortization Schedule calculated as the prior period ending loan balance multiplied by the monthly rate?""},{""id"":""9893ef55-c46b-4475-b740-260be9f0e010"",""points"":2,""question"":""Is the monthl"&amp;"y principal for each debt instrument on the Loan Amortization Schedule calculated as the monthly payment minus the monthly interest?""},{""id"":""1dc741f5-71d2-423e-a4d4-37b67d8a6872"",""points"":2,""question"":""Is the loan balance for each debt instrume"&amp;"nt on the Loan Amortization Schedule calculated as the prior period ending balance minus the current period principal repayment?""},{""id"":""ed727156-3c21-4611-b5c0-e78274dd73e4"",""points"":1,""question"":""Is the Month 1 loan balance for the Loan secti"&amp;"on on the Loan Amortization Schedule calculated as the original loan amount minus the Month 1 principal payment?""},{""id"":""ff4442c7-a189-4c7d-bdd4-b8815bb066a3"",""points"":2,""question"":""Does the Mortgage schedule on the Loan Amortization Schedule c"&amp;"orrectly produce zero interest, principal, and balance values for months beyond the 48-month term?""},{""id"":""d4c2c95b-31b0-4398-b442-8abd1d18f1fd"",""points"":2,""question"":""Does the Other Bank Debt schedule on the Loan Amortization Schedule correctl"&amp;"y produce zero interest, principal, and balance values for months beyond the 36-month term?""},{""id"":""36444dea-1936-4a08-9fd8-96295130b1e8"",""points"":2,""question"":""Is the interest expense on the monthly Income Statement calculated as the sum of in"&amp;"terest from all four debt instruments (Loan, Mortgage, Other Bank Debt, and Old Loans) for each corresponding month?""},{""id"":""49a6f0f6-55a3-41d8-b8fe-640911d39f71"",""points"":2,""question"":""Is the Earnings before taxes line on the monthly Income St"&amp;"atement derived as EBITDA minus depreciation and amortization expense minus interest expense?""}]},{""id"":""e816880d-c8b7-4303-909c-fbb1f4a3cbde"",""name"":""Model Integration"",""criteria"":[{""id"":""b4f21abe-64c1-413a-b50f-8ec281d7ce12"",""points"":4,"&amp;"""question"":""Is repayment of debt on the Cash Flow tab linked to the Loan Amortization Schedule tab via a formula that aggregates principal repayment across all debt instruments with a sign-flip transformation (not recalculated locally)?""},{""id"":""10"&amp;"bfc7a7-ce76-460b-9796-9c0e12dd0743"",""points"":4,""question"":""Is interest expense on the Income Statement tab linked to the Loan Amortization Schedule tab via a formula that aggregates interest across all debt instruments (not recalculated locally)?""}"&amp;",{""id"":""9627c1a8-93f7-4325-b79a-f2117f2775da"",""points"":4,""question"":""Is the Loans line under long term liabilities on the Balance Sheet tab linked to the Loan Amortization Schedule tab via a formula that aggregates loan balances across all debt i"&amp;"nstruments (not recalculated locally)?""},{""id"":""d1431351-3754-4f4d-ac93-078c911ee53c"",""points"":3,""question"":""Is the number of payments assumption on the Loan Amortization Schedule tab linked to the Capital tab with an arithmetic transformation t"&amp;"o convert the loan term to months (not hardcoded)?""},{""id"":""30d8a093-b77b-4e22-a370-524a0702efba"",""points"":2,""question"":""Is the loan amount assumption on the Loan Amortization Schedule tab linked to the Capital tab (not hardcoded)?""},{""id"":"""&amp;"13f4a385-9030-443c-9353-9ffb4b1bb91b"",""points"":2,""question"":""Is the Old Loans loan amount on the Loan Amortization Schedule tab linked to the Opening Balance Sheet tab (not hardcoded)?""}]},{""id"":""11d874c4-16ab-4792-b5b7-4c3020ed33ad"",""name"":"&amp;"""Output Validation"",""criteria"":[{""id"":""dfdfb542-68f3-4ccd-8078-04456812ec92"",""points"":3,""question"":""Is the Loan monthly payment assumption on the Loan Amortization Schedule tab within +/- 2% of 2954.99?""},{""id"":""a2f5562d-dcec-4006-8da5-ef"&amp;"d70855653e"",""points"":4,""question"":""Is the Mortgage loan balance at Month 24 on the Loan Amortization Schedule tab within +/- 2% of 15443.25?""},{""id"":""e503e32a-11e7-416d-af88-7e56f2634f23"",""points"":4,""question"":""Is the Other Bank Debt loan "&amp;"balance at Month 30 on the Loan Amortization Schedule tab within +/- 2% of 8747.16?""},{""id"":""5472554d-25a1-42a9-bd87-3c37f34feb6e"",""points"":5,""question"":""Is the Loan balance at Month 12 on the Loan Amortization Schedule tab within +/- 2% of 1239"&amp;"16.40?""},{""id"":""aeee3488-f869-4426-8fa1-f8dbe98ceb2a"",""points"":5,""question"":""Is the Loans line on the Balance Sheet tab at Month 12 within +/- 2% of 180728.16?""},{""id"":""f0beab7e-2d38-4d22-bb24-426ed60c7215"",""points"":5,""question"":""Is th"&amp;"e Loans line on the Balance Sheet tab at Month 36 within +/- 2% of 73979.56?""},{""id"":""a06dc0a4-bed0-4069-9004-37ad02ee798c"",""points"":5,""question"":""Is the repayment of debt on the Cash Flow tab at Month 36 within +/- 2% of -3225.17?""},{""id"":"""&amp;"78af4360-c8ac-4acd-a5f5-8d86c96d11f8"",""points"":5,""question"":""Is the interest expense on the Income Statement tab at Month 60 within +/- 2% of 16.61?""}]},{""id"":""3d43e8a8-9996-480f-adf8-70d6845fb14c"",""name"":""Perturbation"",""criteria"":[{""id"&amp;""":""9b22acd2-c46f-470b-85e3-57c39c32fa82"",""points"":5,""question"":""If the Loan Amount on the Capital tab is changed from 150,000 to 180,000, does Net income on the Income Statement tab for Year 1 Month 1 update to within +/- 2% of 2,754?""},{""id"":"&amp;"""5d169e5b-76d6-404f-845b-6acc9c30d36c"",""points"":5,""question"":""If the Loan Interest Rate on the Capital tab is changed from 7% to 10%, does Cash end of year on the Cash Flow tab for Year 1 Month 1 update to within +/- 2% of 133,865?""},{""id"":""9b8"&amp;"08127-5ce6-46d1-a40b-e3323b8e4bbf"",""points"":5,""question"":""If the Mortgage Amount on the Capital tab is changed from 30,000 to 50,000, does the Loans balance on the Balance Sheet tab for Year 1 Month 1 update to within +/- 2% of 245,600?""},{""id"":"&amp;"""875b6818-41da-4abf-9596-06ed7996c74f"",""points"":5,""question"":""If the Mortgage Term on the Capital tab is changed from 4 years to 6 years, does Cash end of year on the Cash Flow tab for Year 1 Month 12 update to within +/- 2% of 165,000?""},{""id"":"&amp;"""7f41613e-c2a7-4699-bf8e-945f328ff0fc"",""points"":5,""question"":""If the Other Bank Debt Interest Rate on the Capital tab is changed from 4% to 7%, does Net income on the Income Statement tab for Year 1 Month 12 update to within +/- 2% of 7,385?""},{"""&amp;"id"":""33b5cc29-b27f-40a2-9969-80cddeac5c2e"",""points"":5,""question"":""If the Other Bank Debt Term on the Capital tab is changed from 3 years to 5 years, does the Loans balance on the Balance Sheet tab for Year 1 Month 12 update to within +/- 2% of 187"&amp;",553?""},{""id"":""234b2b3a-b4bf-495a-ae91-9909317861e6"",""points"":5,""question"":""If the Loan Amount on the Capital tab is changed from 150,000 to 180,000, does Net income on the Income Statement tab for Year 1 Month 1 update to within +/- 2% of 2,754"&amp;"?""}]},{""id"":""7505b2af-cbfe-476e-9130-c368561f9d5b"",""name"":""Presentation"",""criteria"":[{""id"":""20721f0f-0768-4533-942f-f46d68f85cde"",""points"":2,""question"":""Are the monthly payment, interest, principal, and balance values on the Loan Amort"&amp;"ization Schedule formatted with comma separators and two decimal places?""},{""id"":""74d11b1b-a347-42c6-93d2-51f6c7ae7aa9"",""points"":2,""question"":""Are the four debt instrument sections on the Loan Amortization Schedule visually separated with bold s"&amp;"ection header labels, light grey background fill, and bottom borders on the last row of each schedule?""},{""id"":""f960f86a-d913-4b71-92c4-da8a19f3ea36"",""points"":2,""question"":""Are gridlines hidden on the Loan Amortization Schedule tab, consistent w"&amp;"ith all other tabs in the model?""}]},{""id"":""f45dfa3d-9227-46e8-a20f-c256a894da21"",""name"":""Pitfalls"",""criteria"":[{""id"":""122cc653-f641-4759-afcc-92a723415cae"",""points"":-5,""question"":""Are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#NUM!)?""},{""id"":""b1d4e056-de20-440a-95c6-52f9cbd2cb2f"",""points"":-3,""question"":""Is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{"sections":[{"id":"a94f6080-6e52-415b-b85a-fbe3cf18805c","name":"Formula Correctness","criteria":[{"id":"5ff40524-639f-4946-9bfc-904fe9ace4b0","points":2,"question":"Is the monthly rate for each debt instrument on the Loan Amortization Schedule derived by converting the effective annual rate to a monthly rate using the compounding formula ((1+EAR)^(1/12))-1, not simply dividing by 12?"},{"id":"cde73b3e-f537-4f6d-a2e3-c0ec306534a8","points":1,"question":"Is the number of payments for each debt instrument on the Loan Amortization Schedule derived by multiplying the term in years from the Capital tab by 12?"},{"id":"e3200776-c114-4ca8-9534-08d2182a4a91","points":2,"question":"Is the monthly payment for each debt instrument on the Loan Amortization Schedule derived as a formula-based level payment calculation using the loan amount, monthly rate, and number of payments (not hardcoded)?"},{"id":"43164f89-e96e-4167-9041-0732dc9b62ed","points":1,"question":"Is the monthly interest for each debt instrument on the Loan Amortization Schedule calculated as the prior period ending loan balance multiplied by the monthly rate?"},{"id":"9893ef55-c46b-4475-b740-260be9f0e010","points":2,"question":"Is the monthly principal for each debt instrument on the Loan Amortization Schedule calculated as the monthly payment minus the monthly interest?"},{"id":"1dc741f5-71d2-423e-a4d4-37b67d8a6872","points":2,"question":"Is the loan balance for each debt instrument on the Loan Amortization Schedule calculated as the prior period ending balance minus the current period principal repayment?"},{"id":"ed727156-3c21-4611-b5c0-e78274dd73e4","points":1,"question":"Is the Month 1 loan balance for the Loan section on the Loan Amortization Schedule calculated as the original loan amount minus the Month 1 principal payment?"},{"id":"ff4442c7-a189-4c7d-bdd4-b8815bb066a3","points":2,"question":"Does the Mortgage schedule on the Loan Amortization Schedule correctly produce zero interest, principal, and balance values for months beyond the 48-month term?"},{"id":"d4c2c95b-31b0-4398-b442-8abd1d18f1fd","points":2,"question":"Does the Other Bank Debt schedule on the Loan Amortization Schedule correctly produce zero interest, principal, and balance values for months beyond the 36-month term?"},{"id":"36444dea-1936-4a08-9fd8-96295130b1e8","points":2,"question":"Is the interest expense on the monthly Income Statement calculated as the sum of interest from all four debt instruments (Loan, Mortgage, Other Bank Debt, and Old Loans) for each corresponding month?"},{"id":"49a6f0f6-55a3-41d8-b8fe-640911d39f71","points":2,"question":"Is the Earnings before taxes line on the monthly Income Statement derived as EBITDA minus depreciation and amortization expense minus interest expense?"}]},{"id":"e816880d-c8b7-4303-909c-fbb1f4a3cbde","name":"Model Integration","criteria":[{"id":"b4f21abe-64c1-413a-b50f-8ec281d7ce12","points":4,"question":"Is repayment of debt on the Cash Flow tab linked to the Loan Amortization Schedule tab via a formula that aggregates principal repayment across all debt instruments with a sign-flip transformation (not recalculated locally)?"},{"id":"10bfc7a7-ce76-460b-9796-9c0e12dd0743","points":4,"question":"Is interest expense on the Income Statement tab linked to the Loan Amortization Schedule tab via a formula that aggregates interest across all debt instruments (not recalculated locally)?"},{"id":"9627c1a8-93f7-4325-b79a-f2117f2775da","points":4,"question":"Is the Loans line under long term liabilities on the Balance Sheet tab linked to the Loan Amortization Schedule tab via a formula that aggregates loan balances across all debt instruments (not recalculated locally)?"},{"id":"d1431351-3754-4f4d-ac93-078c911ee53c","points":3,"question":"Is the number of payments assumption on the Loan Amortization Schedule tab linked to the Capital tab with an arithmetic transformation to convert the loan term to months (not hardcoded)?"},{"id":"30d8a093-b77b-4e22-a370-524a0702efba","points":2,"question":"Is the loan amount assumption on the Loan Amortization Schedule tab linked to the Capital tab (not hardcoded)?"},{"id":"13f4a385-9030-443c-9353-9ffb4b1bb91b","points":2,"question":"Is the Old Loans loan amount on the Loan Amortization Schedule tab linked to the Opening Balance Sheet tab (not hardcoded)?"}]},{"id":"11d874c4-16ab-4792-b5b7-4c3020ed33ad","name":"Output Validation","criteria":[{"id":"dfdfb542-68f3-4ccd-8078-04456812ec92","points":3,"question":"Is the Loan monthly payment assumption on the Loan Amortization Schedule tab within +/- 2% of 2954.99?"},{"id":"a2f5562d-dcec-4006-8da5-efd70855653e","points":4,"question":"Is the Mortgage loan balance at Month 24 on the Loan Amortization Schedule tab within +/- 2% of 15443.25?"},{"id":"e503e32a-11e7-416d-af88-7e56f2634f23","points":4,"question":"Is the Other Bank Debt loan balance at Month 30 on the Loan Amortization Schedule tab within +/- 2% of 8747.16?"},{"id":"5472554d-25a1-42a9-bd87-3c37f34feb6e","points":5,"question":"Is the Loan balance at Month 12 on the Loan Amortization Schedule tab within +/- 2% of 123916.40?"},{"id":"aeee3488-f869-4426-8fa1-f8dbe98ceb2a","points":5,"question":"Is the Loans line on the Balance Sheet tab at Month 12 within +/- 2% of 180728.16?"},{"id":"f0beab7e-2d38-4d22-bb24-426ed60c7215","points":5,"question":"Is the Loans line on the Balance Sheet tab at Month 36 within +/- 2% of 73979.56?"},{"id":"a06dc0a4-bed0-4069-9004-37ad02ee798c","points":5,"question":"Is the repayment of debt on the Cash Flow tab at Month 36 within +/- 2% of -3225.17?"},{"id":"78af4360-c8ac-4acd-a5f5-8d86c96d11f8","points":5,"question":"Is the interest expense on the Income Statement tab at Month 60 within +/- 2% of 16.61?"}]},{"id":"3d43e8a8-9996-480f-adf8-70d6845fb14c","name":"Perturbation","criteria":[{"id":"9b22acd2-c46f-470b-85e3-57c39c32fa82","points":5,"question":"If the Loan Amount on the Capital tab is changed from 150,000 to 180,000, does Net income on the Income Statement tab for Year 1 Month 1 update to within +/- 2% of 2,754?"},{"id":"5d169e5b-76d6-404f-845b-6acc9c30d36c","points":5,"question":"If the Loan Interest Rate on the Capital tab is changed from 7% to 10%, does Cash end of year on the Cash Flow tab for Year 1 Month 1 update to within +/- 2% of 133,865?"},{"id":"9b808127-5ce6-46d1-a40b-e3323b8e4bbf","points":5,"question":"If the Mortgage Amount on the Capital tab is changed from 30,000 to 50,000, does the Loans balance on the Balance Sheet tab for Year 1 Month 1 update to within +/- 2% of 245,600?"},{"id":"875b6818-41da-4abf-9596-06ed7996c74f","points":5,"question":"If the Mortgage Term on the Capital tab is changed from 4 years to 6 years, does Cash end of year on the Cash Flow tab for Year 1 Month 12 update to within +/- 2% of 165,000?"},{"id":"7f41613e-c2a7-4699-bf8e-945f328ff0fc","points":5,"question":"If the Other Bank Debt Interest Rate on the Capital tab is changed from 4% to 7%, does Net income on the Income Statement tab for Year 1 Month 12 update to within +/- 2% of 7,385?"},{"id":"33b5cc29-b27f-40a2-9969-80cddeac5c2e","points":5,"question":"If the Other Bank Debt Term on the Capital tab is changed from 3 years to 5 years, does the Loans balance on the Balance Sheet tab for Year 1 Month 12 update to within +/- 2% of 187,553?"},{"id":"234b2b3a-b4bf-495a-ae91-9909317861e6","points":5,"question":"If the Loan Amount on the Capital tab is changed from 150,000 to 180,000, does Net income on the Income Statement tab for Year 1 Month 1 update to within +/- 2% of 2,754?"}]},{"id":"7505b2af-cbfe-476e-9130-c368561f9d5b","name":"Presentation","criteria":[{"id":"20721f0f-0768-4533-942f-f46d68f85cde","points":2,"question":"Are the monthly payment, interest, principal, and balance values on the Loan Amortization Schedule formatted with comma separators and two decimal places?"},{"id":"74d11b1b-a347-42c6-93d2-51f6c7ae7aa9","points":2,"question":"Are the four debt instrument sections on the Loan Amortization Schedule visually separated with bold section header labels, light grey background fill, and bottom borders on the last row of each schedule?"},{"id":"f960f86a-d913-4b71-92c4-da8a19f3ea36","points":2,"question":"Are gridlines hidden on the Loan Amortization Schedule tab, consistent with all other tabs in the model?"}]},{"id":"f45dfa3d-9227-46e8-a20f-c256a894da21","name":"Pitfalls","criteria":[{"id":"122cc653-f641-4759-afcc-92a723415cae","points":-5,"question":"Are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#NUM!)?"},{"id":"b1d4e056-de20-440a-95c6-52f9cbd2cb2f","points":-3,"question":"Is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09" s="43" t="str">
        <f>IFERROR(__xludf.DUMMYFUNCTION("""COMPUTED_VALUE"""),"{""rating"":3,""feedback"":""Effective score ~78–80, decision band: missing some items / re-try borderline. Several central defects remain. The prompt explicitly tells the model to pull loan amount, interest rate, and term from the Capital tab 'for each o"&amp;"f the four debt instruments' — Old Loans must source from 8) Opening Balance Sheet, and this misstatement triggers the Old-Loans-from-Capital cap at 80 even though the rubric correctly links Old Loans amount to Opening Balance Sheet (creating a prompt/rub"&amp;"ric contradiction). The submitted input workbook still has Mortgage term = 1 and Other Bank Debt term = 1 on 6) Capital instead of the required 4 and 3 (cap 90). The rubric's Cash Flow repayment Month 36 check still uses -3,225.17, which is the Month 37 v"&amp;"alue; the true Month 36 figure is -4,678.87 (cap 88). The Perturbation section also contains an exact duplicate Loan Amount 150,000→180,000 / Net Income Year 1 Month 1 / 2,754 criterion (IDs 9b22acd2 and 234b2b3a), triggering the duplicate-perturbation ca"&amp;"p at 92. The prompt also omits required downstream integration to Income Statement, Balance Sheet, and Cash Flow, and underspecifies methodology (compounding monthly rate conversion, fixed level payment, interest on prior balance, principal = payment − in"&amp;"terest, balance reduction, term zero-out), while the rubric heavily grades these — a prompt/rubric mismatch. Numeric output-validation targets use rounded values (2954.99, 180728.16, 73979.56, 16.61) rather than the exact raw values. Presentation includes"&amp;" a gridline-hiding criterion that should be dropped, and the Pitfalls tab list is overly broad with inherited-issue tabs (PD Charts, Valuation, Sensitivity, Ratio, Financial Highlights, WACC, Operating Expenses) unrelated to this build. Required revisions"&amp;": fix prompt to state Old Loans assumptions come from 8) Opening Balance Sheet; correct Capital terms to 5/4/3 in the input workbook; replace the Month 36 -3,225.17 target with -4,678.87 (or relabel to Month 37); remove the duplicate Loan-Amount perturbat"&amp;"ion; add downstream Income Statement / Balance Sheet / Cash Flow integration language to the prompt; specify compounding monthly rate, level amortizing payment, interest on prior balance, principal = payment − interest, balance roll-forward, and term-base"&amp;"d zeroing in prose; tighten output-validation values to exact raw figures; drop the gridline criterion and scope Pitfalls to the changed/relevant tabs (6) Capital, 8) Opening Balance Sheet, Loan Amortization Schedule, Income Statement, Balance Sheet, Cash"&amp;" Flow).""}")</f>
        <v>{"rating":3,"feedback":"Effective score ~78–80, decision band: missing some items / re-try borderline. Several central defects remain. The prompt explicitly tells the model to pull loan amount, interest rate, and term from the Capital tab 'for each of the four debt instruments' — Old Loans must source from 8) Opening Balance Sheet, and this misstatement triggers the Old-Loans-from-Capital cap at 80 even though the rubric correctly links Old Loans amount to Opening Balance Sheet (creating a prompt/rubric contradiction). The submitted input workbook still has Mortgage term = 1 and Other Bank Debt term = 1 on 6) Capital instead of the required 4 and 3 (cap 90). The rubric's Cash Flow repayment Month 36 check still uses -3,225.17, which is the Month 37 value; the true Month 36 figure is -4,678.87 (cap 88). The Perturbation section also contains an exact duplicate Loan Amount 150,000→180,000 / Net Income Year 1 Month 1 / 2,754 criterion (IDs 9b22acd2 and 234b2b3a), triggering the duplicate-perturbation cap at 92. The prompt also omits required downstream integration to Income Statement, Balance Sheet, and Cash Flow, and underspecifies methodology (compounding monthly rate conversion, fixed level payment, interest on prior balance, principal = payment − interest, balance reduction, term zero-out), while the rubric heavily grades these — a prompt/rubric mismatch. Numeric output-validation targets use rounded values (2954.99, 180728.16, 73979.56, 16.61) rather than the exact raw values. Presentation includes a gridline-hiding criterion that should be dropped, and the Pitfalls tab list is overly broad with inherited-issue tabs (PD Charts, Valuation, Sensitivity, Ratio, Financial Highlights, WACC, Operating Expenses) unrelated to this build. Required revisions: fix prompt to state Old Loans assumptions come from 8) Opening Balance Sheet; correct Capital terms to 5/4/3 in the input workbook; replace the Month 36 -3,225.17 target with -4,678.87 (or relabel to Month 37); remove the duplicate Loan-Amount perturbation; add downstream Income Statement / Balance Sheet / Cash Flow integration language to the prompt; specify compounding monthly rate, level amortizing payment, interest on prior balance, principal = payment − interest, balance roll-forward, and term-based zeroing in prose; tighten output-validation values to exact raw figures; drop the gridline criterion and scope Pitfalls to the changed/relevant tabs (6) Capital, 8) Opening Balance Sheet, Loan Amortization Schedule, Income Statement, Balance Sheet, Cash Flow)."}</v>
      </c>
      <c r="U109"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09" s="110" t="str">
        <f>IFERROR(__xludf.DUMMYFUNCTION("""COMPUTED_VALUE"""),"https://tsipprd.blob.core.windows.net/tsip-files/imports/cb09ba27-c93f-488d-a521-1acfca174929/1779318018594_input.xlsx?sv=2026-02-06&amp;se=2026-05-23T18%3A39%3A34Z&amp;sr=b&amp;sp=r&amp;sig=P7xjdb5m84SQiukNrg%2F3sGndAVBKZOuVY9c3D%2BVuqjA%3D")</f>
        <v>https://tsipprd.blob.core.windows.net/tsip-files/imports/cb09ba27-c93f-488d-a521-1acfca174929/1779318018594_input.xlsx?sv=2026-02-06&amp;se=2026-05-23T18%3A39%3A34Z&amp;sr=b&amp;sp=r&amp;sig=P7xjdb5m84SQiukNrg%2F3sGndAVBKZOuVY9c3D%2BVuqjA%3D</v>
      </c>
      <c r="W109" s="110" t="str">
        <f>IFERROR(__xludf.DUMMYFUNCTION("""COMPUTED_VALUE"""),"https://tsipprd.blob.core.windows.net/tsip-files/imports/cb09ba27-c93f-488d-a521-1acfca174929/1779318018349_output.xlsx?sv=2026-02-06&amp;se=2026-05-23T18%3A39%3A34Z&amp;sr=b&amp;sp=r&amp;sig=6zk%2BPAuTTmy%2BOuYPUgYdxYV3hHt%2FdZZlPyULgpkvLEo%3D")</f>
        <v>https://tsipprd.blob.core.windows.net/tsip-files/imports/cb09ba27-c93f-488d-a521-1acfca174929/1779318018349_output.xlsx?sv=2026-02-06&amp;se=2026-05-23T18%3A39%3A34Z&amp;sr=b&amp;sp=r&amp;sig=6zk%2BPAuTTmy%2BOuYPUgYdxYV3hHt%2FdZZlPyULgpkvLEo%3D</v>
      </c>
      <c r="X109" s="43" t="str">
        <f>IFERROR(__xludf.DUMMYFUNCTION("""COMPUTED_VALUE"""),"success")</f>
        <v>success</v>
      </c>
      <c r="Y109" s="43">
        <f>IFERROR(__xludf.DUMMYFUNCTION("""COMPUTED_VALUE"""),3.0)</f>
        <v>3</v>
      </c>
      <c r="Z109" s="43" t="str">
        <f>IFERROR(__xludf.DUMMYFUNCTION("""COMPUTED_VALUE"""),"Effective score ~78–80, decision band: missing some items / re-try borderline. Several central defects remain. The prompt explicitly tells the model to pull loan amount, interest rate, and term from the Capital tab 'for each of the four debt instruments' "&amp;"— Old Loans must source from 8) Opening Balance Sheet, and this misstatement triggers the Old-Loans-from-Capital cap at 80 even though the rubric correctly links Old Loans amount to Opening Balance Sheet (creating a prompt/rubric contradiction). The submi"&amp;"tted input workbook still has Mortgage term = 1 and Other Bank Debt term = 1 on 6) Capital instead of the required 4 and 3 (cap 90). The rubric's Cash Flow repayment Month 36 check still uses -3,225.17, which is the Month 37 value; the true Month 36 figur"&amp;"e is -4,678.87 (cap 88). The Perturbation section also contains an exact duplicate Loan Amount 150,000→180,000 / Net Income Year 1 Month 1 / 2,754 criterion (IDs 9b22acd2 and 234b2b3a), triggering the duplicate-perturbation cap at 92. The prompt also omit"&amp;"s required downstream integration to Income Statement, Balance Sheet, and Cash Flow, and underspecifies methodology (compounding monthly rate conversion, fixed level payment, interest on prior balance, principal = payment − interest, balance reduction, te"&amp;"rm zero-out), while the rubric heavily grades these — a prompt/rubric mismatch. Numeric output-validation targets use rounded values (2954.99, 180728.16, 73979.56, 16.61) rather than the exact raw values. Presentation includes a gridline-hiding criterion "&amp;"that should be dropped, and the Pitfalls tab list is overly broad with inherited-issue tabs (PD Charts, Valuation, Sensitivity, Ratio, Financial Highlights, WACC, Operating Expenses) unrelated to this build. Required revisions: fix prompt to state Old Loa"&amp;"ns assumptions come from 8) Opening Balance Sheet; correct Capital terms to 5/4/3 in the input workbook; replace the Month 36 -3,225.17 target with -4,678.87 (or relabel to Month 37); remove the duplicate Loan-Amount perturbation; add downstream Income St"&amp;"atement / Balance Sheet / Cash Flow integration language to the prompt; specify compounding monthly rate, level amortizing payment, interest on prior balance, principal = payment − interest, balance roll-forward, and term-based zeroing in prose; tighten o"&amp;"utput-validation values to exact raw figures; drop the gridline criterion and scope Pitfalls to the changed/relevant tabs (6) Capital, 8) Opening Balance Sheet, Loan Amortization Schedule, Income Statement, Balance Sheet, Cash Flow).")</f>
        <v>Effective score ~78–80, decision band: missing some items / re-try borderline. Several central defects remain. The prompt explicitly tells the model to pull loan amount, interest rate, and term from the Capital tab 'for each of the four debt instruments' — Old Loans must source from 8) Opening Balance Sheet, and this misstatement triggers the Old-Loans-from-Capital cap at 80 even though the rubric correctly links Old Loans amount to Opening Balance Sheet (creating a prompt/rubric contradiction). The submitted input workbook still has Mortgage term = 1 and Other Bank Debt term = 1 on 6) Capital instead of the required 4 and 3 (cap 90). The rubric's Cash Flow repayment Month 36 check still uses -3,225.17, which is the Month 37 value; the true Month 36 figure is -4,678.87 (cap 88). The Perturbation section also contains an exact duplicate Loan Amount 150,000→180,000 / Net Income Year 1 Month 1 / 2,754 criterion (IDs 9b22acd2 and 234b2b3a), triggering the duplicate-perturbation cap at 92. The prompt also omits required downstream integration to Income Statement, Balance Sheet, and Cash Flow, and underspecifies methodology (compounding monthly rate conversion, fixed level payment, interest on prior balance, principal = payment − interest, balance reduction, term zero-out), while the rubric heavily grades these — a prompt/rubric mismatch. Numeric output-validation targets use rounded values (2954.99, 180728.16, 73979.56, 16.61) rather than the exact raw values. Presentation includes a gridline-hiding criterion that should be dropped, and the Pitfalls tab list is overly broad with inherited-issue tabs (PD Charts, Valuation, Sensitivity, Ratio, Financial Highlights, WACC, Operating Expenses) unrelated to this build. Required revisions: fix prompt to state Old Loans assumptions come from 8) Opening Balance Sheet; correct Capital terms to 5/4/3 in the input workbook; replace the Month 36 -3,225.17 target with -4,678.87 (or relabel to Month 37); remove the duplicate Loan-Amount perturbation; add downstream Income Statement / Balance Sheet / Cash Flow integration language to the prompt; specify compounding monthly rate, level amortizing payment, interest on prior balance, principal = payment − interest, balance roll-forward, and term-based zeroing in prose; tighten output-validation values to exact raw figures; drop the gridline criterion and scope Pitfalls to the changed/relevant tabs (6) Capital, 8) Opening Balance Sheet, Loan Amortization Schedule, Income Statement, Balance Sheet, Cash Flow).</v>
      </c>
      <c r="AA109" s="43" t="str">
        <f>IFERROR(__xludf.DUMMYFUNCTION("""COMPUTED_VALUE"""),"success")</f>
        <v>success</v>
      </c>
    </row>
    <row r="110">
      <c r="A110" s="110" t="str">
        <f t="shared" si="1"/>
        <v>www.tsip.ai/claim/f8a8ed3d-7c74-45cf-b9de-9dd2c10bd0d7</v>
      </c>
      <c r="B110" s="43" t="str">
        <f>IFERROR(__xludf.DUMMYFUNCTION("""COMPUTED_VALUE"""),"f8a8ed3d-7c74-45cf-b9de-9dd2c10bd0d7")</f>
        <v>f8a8ed3d-7c74-45cf-b9de-9dd2c10bd0d7</v>
      </c>
      <c r="C110" s="43" t="str">
        <f>IFERROR(__xludf.DUMMYFUNCTION("""COMPUTED_VALUE"""),"sheets-training")</f>
        <v>sheets-training</v>
      </c>
      <c r="D110" s="43">
        <f>IFERROR(__xludf.DUMMYFUNCTION("""COMPUTED_VALUE"""),3.0)</f>
        <v>3</v>
      </c>
      <c r="E110" s="43" t="str">
        <f>IFERROR(__xludf.DUMMYFUNCTION("""COMPUTED_VALUE"""),"training_review")</f>
        <v>training_review</v>
      </c>
      <c r="F110" s="43" t="str">
        <f>IFERROR(__xludf.DUMMYFUNCTION("""COMPUTED_VALUE"""),"cb09ba27-c93f-488d-a521-1acfca174929")</f>
        <v>cb09ba27-c93f-488d-a521-1acfca174929</v>
      </c>
      <c r="G110" s="43" t="str">
        <f>IFERROR(__xludf.DUMMYFUNCTION("""COMPUTED_VALUE"""),"NULL")</f>
        <v>NULL</v>
      </c>
      <c r="H110" s="43" t="str">
        <f>IFERROR(__xludf.DUMMYFUNCTION("""COMPUTED_VALUE"""),"""2026-05-20T23:28:02.811Z""")</f>
        <v>"2026-05-20T23:28:02.811Z"</v>
      </c>
      <c r="I110" s="43" t="str">
        <f>IFERROR(__xludf.DUMMYFUNCTION("""COMPUTED_VALUE"""),"NULL")</f>
        <v>NULL</v>
      </c>
      <c r="J110" s="43" t="str">
        <f>IFERROR(__xludf.DUMMYFUNCTION("""COMPUTED_VALUE"""),"""2026-05-20T23:29:05.118Z""")</f>
        <v>"2026-05-20T23:29:05.118Z"</v>
      </c>
      <c r="K110" s="43" t="str">
        <f>IFERROR(__xludf.DUMMYFUNCTION("""COMPUTED_VALUE"""),"""2026-05-20T23:00:23.981Z""")</f>
        <v>"2026-05-20T23:00:23.981Z"</v>
      </c>
      <c r="L110" s="43" t="str">
        <f>IFERROR(__xludf.DUMMYFUNCTION("""COMPUTED_VALUE"""),"""2026-05-20T23:29:05.118Z""")</f>
        <v>"2026-05-20T23:29:05.118Z"</v>
      </c>
      <c r="M110" s="43" t="str">
        <f>IFERROR(__xludf.DUMMYFUNCTION("""COMPUTED_VALUE"""),"700b3d35-181d-41d3-9eda-5bae243ee865")</f>
        <v>700b3d35-181d-41d3-9eda-5bae243ee865</v>
      </c>
      <c r="N110" s="43" t="str">
        <f>IFERROR(__xludf.DUMMYFUNCTION("""COMPUTED_VALUE"""),"cacf4da3-cd8d-402b-a1e9-f3ad3e7f11bf")</f>
        <v>cacf4da3-cd8d-402b-a1e9-f3ad3e7f11bf</v>
      </c>
      <c r="O110" s="43" t="str">
        <f>IFERROR(__xludf.DUMMYFUNCTION("""COMPUTED_VALUE"""),"{}")</f>
        <v>{}</v>
      </c>
      <c r="P110" s="43" t="str">
        <f>IFERROR(__xludf.DUMMYFUNCTION("""COMPUTED_VALUE"""),"training_review")</f>
        <v>training_review</v>
      </c>
      <c r="Q110" s="43" t="str">
        <f>IFERROR(__xludf.DUMMYFUNCTION("""COMPUTED_VALUE"""),"sheets-training")</f>
        <v>sheets-training</v>
      </c>
      <c r="R110" s="43" t="str">
        <f>IFERROR(__xludf.DUMMYFUNCTION("""COMPUTED_VALUE"""),"I want to fully understand my debt situation. Create a Loan Amortization Schedule on the blank Loan Amortization Schedule tab that builds out the full monthly repayment schedule for each instrument across the full loan term for Loan, Mortgage, Other Bank "&amp;"Debt, and Old Loans.
For each of the four debt instruments, pull the loan amount, interest rate, and term directly from the Capital tab and derive the remaining assumptions (monthly rate, number of payments, and monthly payment) from those inputs. Then bu"&amp;"ild a monthly schedule across a five year period.
test test")</f>
        <v>I want to fully understand my debt situation. Create a Loan Amortization Schedule on the blank Loan Amortization Schedule tab that builds out the full monthly repayment schedule for each instrument across the full loan term for Loan, Mortgage, Other Bank Debt, and Old Loans.
For each of the four debt instruments, pull the loan amount, interest rate, and term directly from the Capital tab and derive the remaining assumptions (monthly rate, number of payments, and monthly payment) from those inputs. Then build a monthly schedule across a five year period.
test test</v>
      </c>
      <c r="S110" s="43" t="str">
        <f>IFERROR(__xludf.DUMMYFUNCTION("""COMPUTED_VALUE"""),"{""sections"":[{""id"":""ad739582-b8ab-4d16-bfce-4c4ef23a2d40"",""name"":""Formula Correctness"",""criteria"":[{""id"":""10e0c8bd-199f-48df-a595-403ec0ffb17a"",""points"":2,""question"":""Is the monthly rate for each debt instrument on the Loan Amortizati"&amp;"on Schedule derived by converting the effective annual rate to a monthly rate using the compounding formula ((1+EAR)^(1/12))-1, not simply dividing by 12?""},{""id"":""422b15f1-6668-480c-988c-57cf4c830759"",""points"":1,""question"":""Is the number of pay"&amp;"ments for each debt instrument on the Loan Amortization Schedule derived by multiplying the term in years from the Capital tab by 12?""},{""id"":""3fea80c4-0b0d-4850-b041-fc6f4b45396a"",""points"":2,""question"":""Is the monthly payment for each debt inst"&amp;"rument on the Loan Amortization Schedule derived as a formula-based level payment calculation using the loan amount, monthly rate, and number of payments (not hardcoded)?""},{""id"":""7fe41fcb-4a63-480b-9b77-09f9ffdb5b92"",""points"":1,""question"":""Is t"&amp;"he monthly interest for each debt instrument on the Loan Amortization Schedule calculated as the prior period ending loan balance multiplied by the monthly rate?""},{""id"":""e8759b68-5094-4de7-94dc-20774f758876"",""points"":2,""question"":""Is the monthl"&amp;"y principal for each debt instrument on the Loan Amortization Schedule calculated as the monthly payment minus the monthly interest?""},{""id"":""d6af27e5-468a-488b-ab6e-20a1292dc016"",""points"":2,""question"":""Is the loan balance for each debt instrume"&amp;"nt on the Loan Amortization Schedule calculated as the prior period ending balance minus the current period principal repayment?""},{""id"":""a517efe5-0cbe-4521-8e5c-44f2608e1819"",""points"":1,""question"":""Is the Month 1 loan balance for the Loan secti"&amp;"on on the Loan Amortization Schedule calculated as the original loan amount minus the Month 1 principal payment?""},{""id"":""c4913dc7-88b6-4efe-adc1-b96a317dabe4"",""points"":2,""question"":""Does the Mortgage schedule on the Loan Amortization Schedule c"&amp;"orrectly produce zero interest, principal, and balance values for months beyond the 48-month term?""},{""id"":""4887c9e8-b5ba-44c5-a174-d8fe48fe4835"",""points"":2,""question"":""Does the Other Bank Debt schedule on the Loan Amortization Schedule correctl"&amp;"y produce zero interest, principal, and balance values for months beyond the 36-month term?""},{""id"":""f22135f2-6d32-4675-af92-dd8480e30baf"",""points"":2,""question"":""Is the interest expense on the monthly Income Statement calculated as the sum of in"&amp;"terest from all four debt instruments (Loan, Mortgage, Other Bank Debt, and Old Loans) for each corresponding month?""},{""id"":""035104dd-a4b7-4436-935a-5b0b0ed259f1"",""points"":2,""question"":""Is the Earnings before taxes line on the monthly Income St"&amp;"atement derived as EBITDA minus depreciation and amortization expense minus interest expense?""}]},{""id"":""0d547735-3001-449e-8881-f04939896805"",""name"":""Model Integration"",""criteria"":[{""id"":""e35f2fe9-95d9-4ffa-beec-d1227815013e"",""points"":4,"&amp;"""question"":""Is repayment of debt on the Cash Flow tab linked to the Loan Amortization Schedule tab via a formula that aggregates principal repayment across all debt instruments with a sign-flip transformation (not recalculated locally)?""},{""id"":""a8"&amp;"f4dcd3-e976-481d-bf79-a990caed8442"",""points"":4,""question"":""Is interest expense on the Income Statement tab linked to the Loan Amortization Schedule tab via a formula that aggregates interest across all debt instruments (not recalculated locally)?""}"&amp;",{""id"":""45de4d43-da22-421e-bf1e-2f891ddcc9a6"",""points"":4,""question"":""Is the Loans line under long term liabilities on the Balance Sheet tab linked to the Loan Amortization Schedule tab via a formula that aggregates loan balances across all debt i"&amp;"nstruments (not recalculated locally)?""},{""id"":""f9822eae-ad4d-4b64-b37a-2b7b11b2cccc"",""points"":3,""question"":""Is the number of payments assumption on the Loan Amortization Schedule tab linked to the Capital tab with an arithmetic transformation t"&amp;"o convert the loan term to months (not hardcoded)?""},{""id"":""8d06a7ef-85ea-4931-b469-361fc10605da"",""points"":2,""question"":""Is the loan amount assumption on the Loan Amortization Schedule tab linked to the Capital tab (not hardcoded)?""},{""id"":"""&amp;"c72fccdc-1e0f-4b62-b91a-22cdf975cbda"",""points"":2,""question"":""Is the Old Loans loan amount on the Loan Amortization Schedule tab linked to the Opening Balance Sheet tab (not hardcoded)?""}]},{""id"":""1f573bae-0584-421f-9bd8-4a3e1c77509f"",""name"":"&amp;"""Output Validation"",""criteria"":[{""id"":""1ac2445d-73ce-42dd-9ab6-4e1c9d127b9e"",""points"":3,""question"":""Is the Loan monthly payment assumption on the Loan Amortization Schedule tab within +/- 2% of 2954.99?""},{""id"":""52a7fa40-1080-4af4-a0d5-f4"&amp;"45f7271ffc"",""points"":4,""question"":""Is the Mortgage loan balance at Month 24 on the Loan Amortization Schedule tab within +/- 2% of 15443.25?""},{""id"":""1eba8797-61d3-432b-802f-3fba78d25f57"",""points"":4,""question"":""Is the Other Bank Debt loan "&amp;"balance at Month 30 on the Loan Amortization Schedule tab within +/- 2% of 8747.16?""},{""id"":""2e1bfa09-a775-4326-853e-340d11fd25a1"",""points"":5,""question"":""Is the Loan balance at Month 12 on the Loan Amortization Schedule tab within +/- 2% of 1239"&amp;"16.40?""},{""id"":""037b51e2-5237-4a24-b2e4-4e0dbdd2501c"",""points"":5,""question"":""Is the Loans line on the Balance Sheet tab at Month 12 within +/- 2% of 180728.16?""},{""id"":""8457e375-2ad6-4f22-a5eb-7798519f78dc"",""points"":5,""question"":""Is th"&amp;"e Loans line on the Balance Sheet tab at Month 36 within +/- 2% of 73979.56?""},{""id"":""a3fbc267-53c1-458e-80ee-2f99402bc840"",""points"":5,""question"":""Is the repayment of debt on the Cash Flow tab at Month 36 within +/- 2% of -3225.17?""},{""id"":"""&amp;"a0df43b4-d716-4e3b-baf7-12201b9a0fcd"",""points"":5,""question"":""Is the interest expense on the Income Statement tab at Month 60 within +/- 2% of 16.61?""}]},{""id"":""7cf9f949-ac67-47a2-81b8-2ec94a0f2a2d"",""name"":""Perturbation"",""criteria"":[{""id"&amp;""":""13964d25-3080-48ce-9b88-18332429e93a"",""points"":5,""question"":""If the Loan Amount on the Capital tab is changed from 150,000 to 180,000, does Net income on the Income Statement tab for Year 1 Month 1 update to within +/- 2% of 2,754?""},{""id"":"&amp;"""61cc3a8f-69cf-4ee7-9147-ae08f284360d"",""points"":5,""question"":""If the Loan Interest Rate on the Capital tab is changed from 7% to 10%, does Cash end of year on the Cash Flow tab for Year 1 Month 1 update to within +/- 2% of 133,865?""},{""id"":""e97"&amp;"f25d1-aabd-468f-8c81-7cb3c1c09199"",""points"":5,""question"":""If the Mortgage Amount on the Capital tab is changed from 30,000 to 50,000, does the Loans balance on the Balance Sheet tab for Year 1 Month 1 update to within +/- 2% of 245,600?""},{""id"":"&amp;"""c08d8ae1-3404-4876-af78-d92f4d395606"",""points"":5,""question"":""If the Mortgage Term on the Capital tab is changed from 4 years to 6 years, does Cash end of year on the Cash Flow tab for Year 1 Month 12 update to within +/- 2% of 165,000?""},{""id"":"&amp;"""b4a7abed-550e-4a7e-9f8f-0af9fbd962a1"",""points"":5,""question"":""If the Other Bank Debt Interest Rate on the Capital tab is changed from 4% to 7%, does Net income on the Income Statement tab for Year 1 Month 12 update to within +/- 2% of 7,385?""},{"""&amp;"id"":""2c32804c-c34f-4d68-a0e2-a236c7a6b8bc"",""points"":5,""question"":""If the Other Bank Debt Term on the Capital tab is changed from 3 years to 5 years, does the Loans balance on the Balance Sheet tab for Year 1 Month 12 update to within +/- 2% of 187"&amp;",553?""},{""id"":""18ddc3e9-caa9-454f-9b75-7677cdaa1083"",""points"":5,""question"":""If the Loan Amount on the Capital tab is changed from 150,000 to 180,000, does Net income on the Income Statement tab for Year 1 Month 1 update to within +/- 2% of 2,754"&amp;"?""}]},{""id"":""310431c5-f154-470d-9387-30d4bcfeba60"",""name"":""Presentation"",""criteria"":[{""id"":""9b3f80f1-42b9-482d-8315-da846b2daacc"",""points"":2,""question"":""Are the monthly payment, interest, principal, and balance values on the Loan Amort"&amp;"ization Schedule formatted with comma separators and two decimal places?""},{""id"":""b64ef200-d4d1-48fa-a9d9-dc1c0c7e68ac"",""points"":2,""question"":""Are the four debt instrument sections on the Loan Amortization Schedule visually separated with bold s"&amp;"ection header labels, light grey background fill, and bottom borders on the last row of each schedule?""},{""id"":""45b8553e-0bf4-426a-9a4e-b661fd6caf63"",""points"":2,""question"":""Are gridlines hidden on the Loan Amortization Schedule tab, consistent w"&amp;"ith all other tabs in the model?""}]},{""id"":""8e5f80de-71fd-4a76-9491-add379e6b40c"",""name"":""Pitfalls"",""criteria"":[{""id"":""2586c158-e9ac-43e9-9bca-9379a01bfd08"",""points"":-5,""question"":""Are there any error values in the 4) Operating Expense"&amp;"s tab, the 6) Capital tab, the 9) WACC tab, the Income Statement tab, the Balance Sheet tab, the Cash Flow tab, the Financial Highlights tab, the Sensitivity Analysis tab, the Ratio Analysis tab, the Loan Amortization Schedule tab, the PD Charts tab, and "&amp;"the Valuation tab (#REF!, #DIV/0!, #VALUE!, #NAME?, #N/A, #NUM!)?""},{""id"":""af7fbce7-281e-4701-873a-82d252a6d19c"",""points"":-3,""question"":""Is any data or label text truncated or hidden due to insufficient column widths or row heights in the 4) Ope"&amp;"rating Expenses tab, the 6) Capital tab, the 9) WACC tab, the Income Statement tab, the Balance Sheet tab, the Cash Flow tab, the Financial Highlights tab, the Sensitivity Analysis tab, the Ratio Analysis tab, the Loan Amortization Schedule tab, the PD Ch"&amp;"arts tab, and the Valuation tab?""}]}]}")</f>
        <v>{"sections":[{"id":"ad739582-b8ab-4d16-bfce-4c4ef23a2d40","name":"Formula Correctness","criteria":[{"id":"10e0c8bd-199f-48df-a595-403ec0ffb17a","points":2,"question":"Is the monthly rate for each debt instrument on the Loan Amortization Schedule derived by converting the effective annual rate to a monthly rate using the compounding formula ((1+EAR)^(1/12))-1, not simply dividing by 12?"},{"id":"422b15f1-6668-480c-988c-57cf4c830759","points":1,"question":"Is the number of payments for each debt instrument on the Loan Amortization Schedule derived by multiplying the term in years from the Capital tab by 12?"},{"id":"3fea80c4-0b0d-4850-b041-fc6f4b45396a","points":2,"question":"Is the monthly payment for each debt instrument on the Loan Amortization Schedule derived as a formula-based level payment calculation using the loan amount, monthly rate, and number of payments (not hardcoded)?"},{"id":"7fe41fcb-4a63-480b-9b77-09f9ffdb5b92","points":1,"question":"Is the monthly interest for each debt instrument on the Loan Amortization Schedule calculated as the prior period ending loan balance multiplied by the monthly rate?"},{"id":"e8759b68-5094-4de7-94dc-20774f758876","points":2,"question":"Is the monthly principal for each debt instrument on the Loan Amortization Schedule calculated as the monthly payment minus the monthly interest?"},{"id":"d6af27e5-468a-488b-ab6e-20a1292dc016","points":2,"question":"Is the loan balance for each debt instrument on the Loan Amortization Schedule calculated as the prior period ending balance minus the current period principal repayment?"},{"id":"a517efe5-0cbe-4521-8e5c-44f2608e1819","points":1,"question":"Is the Month 1 loan balance for the Loan section on the Loan Amortization Schedule calculated as the original loan amount minus the Month 1 principal payment?"},{"id":"c4913dc7-88b6-4efe-adc1-b96a317dabe4","points":2,"question":"Does the Mortgage schedule on the Loan Amortization Schedule correctly produce zero interest, principal, and balance values for months beyond the 48-month term?"},{"id":"4887c9e8-b5ba-44c5-a174-d8fe48fe4835","points":2,"question":"Does the Other Bank Debt schedule on the Loan Amortization Schedule correctly produce zero interest, principal, and balance values for months beyond the 36-month term?"},{"id":"f22135f2-6d32-4675-af92-dd8480e30baf","points":2,"question":"Is the interest expense on the monthly Income Statement calculated as the sum of interest from all four debt instruments (Loan, Mortgage, Other Bank Debt, and Old Loans) for each corresponding month?"},{"id":"035104dd-a4b7-4436-935a-5b0b0ed259f1","points":2,"question":"Is the Earnings before taxes line on the monthly Income Statement derived as EBITDA minus depreciation and amortization expense minus interest expense?"}]},{"id":"0d547735-3001-449e-8881-f04939896805","name":"Model Integration","criteria":[{"id":"e35f2fe9-95d9-4ffa-beec-d1227815013e","points":4,"question":"Is repayment of debt on the Cash Flow tab linked to the Loan Amortization Schedule tab via a formula that aggregates principal repayment across all debt instruments with a sign-flip transformation (not recalculated locally)?"},{"id":"a8f4dcd3-e976-481d-bf79-a990caed8442","points":4,"question":"Is interest expense on the Income Statement tab linked to the Loan Amortization Schedule tab via a formula that aggregates interest across all debt instruments (not recalculated locally)?"},{"id":"45de4d43-da22-421e-bf1e-2f891ddcc9a6","points":4,"question":"Is the Loans line under long term liabilities on the Balance Sheet tab linked to the Loan Amortization Schedule tab via a formula that aggregates loan balances across all debt instruments (not recalculated locally)?"},{"id":"f9822eae-ad4d-4b64-b37a-2b7b11b2cccc","points":3,"question":"Is the number of payments assumption on the Loan Amortization Schedule tab linked to the Capital tab with an arithmetic transformation to convert the loan term to months (not hardcoded)?"},{"id":"8d06a7ef-85ea-4931-b469-361fc10605da","points":2,"question":"Is the loan amount assumption on the Loan Amortization Schedule tab linked to the Capital tab (not hardcoded)?"},{"id":"c72fccdc-1e0f-4b62-b91a-22cdf975cbda","points":2,"question":"Is the Old Loans loan amount on the Loan Amortization Schedule tab linked to the Opening Balance Sheet tab (not hardcoded)?"}]},{"id":"1f573bae-0584-421f-9bd8-4a3e1c77509f","name":"Output Validation","criteria":[{"id":"1ac2445d-73ce-42dd-9ab6-4e1c9d127b9e","points":3,"question":"Is the Loan monthly payment assumption on the Loan Amortization Schedule tab within +/- 2% of 2954.99?"},{"id":"52a7fa40-1080-4af4-a0d5-f445f7271ffc","points":4,"question":"Is the Mortgage loan balance at Month 24 on the Loan Amortization Schedule tab within +/- 2% of 15443.25?"},{"id":"1eba8797-61d3-432b-802f-3fba78d25f57","points":4,"question":"Is the Other Bank Debt loan balance at Month 30 on the Loan Amortization Schedule tab within +/- 2% of 8747.16?"},{"id":"2e1bfa09-a775-4326-853e-340d11fd25a1","points":5,"question":"Is the Loan balance at Month 12 on the Loan Amortization Schedule tab within +/- 2% of 123916.40?"},{"id":"037b51e2-5237-4a24-b2e4-4e0dbdd2501c","points":5,"question":"Is the Loans line on the Balance Sheet tab at Month 12 within +/- 2% of 180728.16?"},{"id":"8457e375-2ad6-4f22-a5eb-7798519f78dc","points":5,"question":"Is the Loans line on the Balance Sheet tab at Month 36 within +/- 2% of 73979.56?"},{"id":"a3fbc267-53c1-458e-80ee-2f99402bc840","points":5,"question":"Is the repayment of debt on the Cash Flow tab at Month 36 within +/- 2% of -3225.17?"},{"id":"a0df43b4-d716-4e3b-baf7-12201b9a0fcd","points":5,"question":"Is the interest expense on the Income Statement tab at Month 60 within +/- 2% of 16.61?"}]},{"id":"7cf9f949-ac67-47a2-81b8-2ec94a0f2a2d","name":"Perturbation","criteria":[{"id":"13964d25-3080-48ce-9b88-18332429e93a","points":5,"question":"If the Loan Amount on the Capital tab is changed from 150,000 to 180,000, does Net income on the Income Statement tab for Year 1 Month 1 update to within +/- 2% of 2,754?"},{"id":"61cc3a8f-69cf-4ee7-9147-ae08f284360d","points":5,"question":"If the Loan Interest Rate on the Capital tab is changed from 7% to 10%, does Cash end of year on the Cash Flow tab for Year 1 Month 1 update to within +/- 2% of 133,865?"},{"id":"e97f25d1-aabd-468f-8c81-7cb3c1c09199","points":5,"question":"If the Mortgage Amount on the Capital tab is changed from 30,000 to 50,000, does the Loans balance on the Balance Sheet tab for Year 1 Month 1 update to within +/- 2% of 245,600?"},{"id":"c08d8ae1-3404-4876-af78-d92f4d395606","points":5,"question":"If the Mortgage Term on the Capital tab is changed from 4 years to 6 years, does Cash end of year on the Cash Flow tab for Year 1 Month 12 update to within +/- 2% of 165,000?"},{"id":"b4a7abed-550e-4a7e-9f8f-0af9fbd962a1","points":5,"question":"If the Other Bank Debt Interest Rate on the Capital tab is changed from 4% to 7%, does Net income on the Income Statement tab for Year 1 Month 12 update to within +/- 2% of 7,385?"},{"id":"2c32804c-c34f-4d68-a0e2-a236c7a6b8bc","points":5,"question":"If the Other Bank Debt Term on the Capital tab is changed from 3 years to 5 years, does the Loans balance on the Balance Sheet tab for Year 1 Month 12 update to within +/- 2% of 187,553?"},{"id":"18ddc3e9-caa9-454f-9b75-7677cdaa1083","points":5,"question":"If the Loan Amount on the Capital tab is changed from 150,000 to 180,000, does Net income on the Income Statement tab for Year 1 Month 1 update to within +/- 2% of 2,754?"}]},{"id":"310431c5-f154-470d-9387-30d4bcfeba60","name":"Presentation","criteria":[{"id":"9b3f80f1-42b9-482d-8315-da846b2daacc","points":2,"question":"Are the monthly payment, interest, principal, and balance values on the Loan Amortization Schedule formatted with comma separators and two decimal places?"},{"id":"b64ef200-d4d1-48fa-a9d9-dc1c0c7e68ac","points":2,"question":"Are the four debt instrument sections on the Loan Amortization Schedule visually separated with bold section header labels, light grey background fill, and bottom borders on the last row of each schedule?"},{"id":"45b8553e-0bf4-426a-9a4e-b661fd6caf63","points":2,"question":"Are gridlines hidden on the Loan Amortization Schedule tab, consistent with all other tabs in the model?"}]},{"id":"8e5f80de-71fd-4a76-9491-add379e6b40c","name":"Pitfalls","criteria":[{"id":"2586c158-e9ac-43e9-9bca-9379a01bfd08","points":-5,"question":"Are there any error values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 (#REF!, #DIV/0!, #VALUE!, #NAME?, #N/A, #NUM!)?"},{"id":"af7fbce7-281e-4701-873a-82d252a6d19c","points":-3,"question":"Is any data or label text truncated or hidden due to insufficient column widths or row heights in the 4) Operating Expenses tab, the 6) Capital tab, the 9) WACC tab, the Income Statement tab, the Balance Sheet tab, the Cash Flow tab, the Financial Highlights tab, the Sensitivity Analysis tab, the Ratio Analysis tab, the Loan Amortization Schedule tab, the PD Charts tab, and the Valuation tab?"}]}]}</v>
      </c>
      <c r="T110" s="43" t="str">
        <f>IFERROR(__xludf.DUMMYFUNCTION("""COMPUTED_VALUE"""),"{""rating"":2,""feedback"":""Effective overall score around 55/100, decision band re-try needed. The submitted prompt is materially incomplete and contains stray 'test test' text: it incorrectly says all four debt instruments (including Old Loans) source "&amp;"from 6) Capital instead of pulling Old Loans assumptions from 8) Opening Balance Sheet, omits any mention of downstream integration into the Income Statement, Balance Sheet, and Cash Flow, underspecifies the methodology (no compounding-aware monthly rate "&amp;"conversion, no fixed level amortizing payment, no statement that interest equals prior-period ending balance times the monthly rate, no payoff/term zeroing), and provides no formatting guidance. The submitted input workbook still has Mortgage Term=1 and O"&amp;"ther Bank Debt Term=1 on 6) Capital instead of the required 4 and 3 (the output/golden workbook does show 5/4/3), which by itself caps the overall score at 90. The rubric still uses the period-mismatched -3225.17 Cash Flow repayment target at Month 36 (th"&amp;"at value is the Month 37 figure; the true Month 36 value is roughly -4678.87), which caps at 88, and it contains a literal duplicate perturbation (Loan Amount 150,000 to 180,000 → Net Income Year 1 Month 1 ≈ 2,754 appears twice as 13964d25 and 18ddc3e9), "&amp;"which caps at 92. The rubric also grades downstream Income Statement/Balance Sheet/Cash Flow linkage that the prompt never requests (prompt/rubric mismatch), keeps a gridlines-hidden presentation check, and uses broad pitfall sweeps across many unrelated "&amp;"tabs (4) Operating Expenses, 9) WACC, Financial Highlights, Sensitivity Analysis, Ratio Analysis, PD Charts, Valuation) rather than scoping to the tabs actually changed. Required revisions: remove the 'test test' filler and rewrite the prompt to explicitl"&amp;"y source Old Loans from 8) Opening Balance Sheet while Loan/Mortgage/Other Bank Debt come from 6) Capital, specify compounding monthly rate conversion and a fixed level amortizing payment with interest on prior balance and principal = payment − interest a"&amp;"nd term/payoff zeroing, add Income Statement interest, Balance Sheet Loans, and Cash Flow issuance/repayment linkage requirements, and add material formatting guidance; correct the input workbook Capital terms to 5/4/3; in the rubric either move the -3225"&amp;".17 target to Month 37 or replace with the true raw Month 36 value (~-4678.868767), delete the duplicate Loan-Amount perturbation, use exact raw target values (e.g., 2954.985953, 180728.157517, 73979.560146, 16.613982) instead of rounded display values, a"&amp;"dd a criterion that Old Loans rate/term sourcing comes from 8) Opening Balance Sheet rather than Capital, drop the gridlines check, scope pitfalls to the actually relevant tabs (6) Capital, 8) Opening Balance Sheet, Loan Amortization Schedule, Income Stat"&amp;"ement, Balance Sheet, Cash Flow), and split bundled presentation criteria.""}")</f>
        <v>{"rating":2,"feedback":"Effective overall score around 55/100, decision band re-try needed. The submitted prompt is materially incomplete and contains stray 'test test' text: it incorrectly says all four debt instruments (including Old Loans) source from 6) Capital instead of pulling Old Loans assumptions from 8) Opening Balance Sheet, omits any mention of downstream integration into the Income Statement, Balance Sheet, and Cash Flow, underspecifies the methodology (no compounding-aware monthly rate conversion, no fixed level amortizing payment, no statement that interest equals prior-period ending balance times the monthly rate, no payoff/term zeroing), and provides no formatting guidance. The submitted input workbook still has Mortgage Term=1 and Other Bank Debt Term=1 on 6) Capital instead of the required 4 and 3 (the output/golden workbook does show 5/4/3), which by itself caps the overall score at 90. The rubric still uses the period-mismatched -3225.17 Cash Flow repayment target at Month 36 (that value is the Month 37 figure; the true Month 36 value is roughly -4678.87), which caps at 88, and it contains a literal duplicate perturbation (Loan Amount 150,000 to 180,000 → Net Income Year 1 Month 1 ≈ 2,754 appears twice as 13964d25 and 18ddc3e9), which caps at 92. The rubric also grades downstream Income Statement/Balance Sheet/Cash Flow linkage that the prompt never requests (prompt/rubric mismatch), keeps a gridlines-hidden presentation check, and uses broad pitfall sweeps across many unrelated tabs (4) Operating Expenses, 9) WACC, Financial Highlights, Sensitivity Analysis, Ratio Analysis, PD Charts, Valuation) rather than scoping to the tabs actually changed. Required revisions: remove the 'test test' filler and rewrite the prompt to explicitly source Old Loans from 8) Opening Balance Sheet while Loan/Mortgage/Other Bank Debt come from 6) Capital, specify compounding monthly rate conversion and a fixed level amortizing payment with interest on prior balance and principal = payment − interest and term/payoff zeroing, add Income Statement interest, Balance Sheet Loans, and Cash Flow issuance/repayment linkage requirements, and add material formatting guidance; correct the input workbook Capital terms to 5/4/3; in the rubric either move the -3225.17 target to Month 37 or replace with the true raw Month 36 value (~-4678.868767), delete the duplicate Loan-Amount perturbation, use exact raw target values (e.g., 2954.985953, 180728.157517, 73979.560146, 16.613982) instead of rounded display values, add a criterion that Old Loans rate/term sourcing comes from 8) Opening Balance Sheet rather than Capital, drop the gridlines check, scope pitfalls to the actually relevant tabs (6) Capital, 8) Opening Balance Sheet, Loan Amortization Schedule, Income Statement, Balance Sheet, Cash Flow), and split bundled presentation criteria."}</v>
      </c>
      <c r="U110" s="43" t="str">
        <f>IFERROR(__xludf.DUMMYFUNCTION("""COMPUTED_VALUE"""),"This the Calibration task you will be asked to edit and apply the principles you've learned so far to identify, assess, and implement fixes to each part of the task, making sure that all pieces are aligned. Upon submitting, you will receive feedback and a"&amp;" score of how well you did on this task. Please ensure before you submit that this is you BEST AND FINAL attempt at this task, with no further changes or edits to any piece that you think needs to be made. To be clear: **DO NOT SUBMIT UNTIL EACH PIECE IS "&amp;"READY, DOUBLE CHECK EVERYTHING OTHERWISE THIS WILL IMPACT YOUR SCORE.**
General Tasking Workflow Steps [rough time guidances, with some overlap -- overall target is roughly 60 minutes]---
Step 1: Download the Input and Output Workbooks, note the work do"&amp;"ne to get from the input workbook 'state' of the model to the output workbook 'state' (this transition is the ""scope"" of the task). [5-10 minutes]
Step 2: Make sure the prompt captures and describes ALL parts of this change accurately without over-spec"&amp;"ifying obvious or standard concepts or calculations. At the same time, make sure to add the minimum necessary detail and describe specific methodologies in an abstract way, such that the prompt CAN produce the intended result, but allow for equivalent met"&amp;"hodologies to get to that same result. Determining the correct level of detail or ""specificity"" is something that varies task-to-task and is exactly why we need experts like you who have seen a wide variety of financial models and have a deep understand"&amp;"ing of when a small detail in a model matters or not. [20-35 minutes]
Step 3: Check that the rubric has good coverage (checks a representative sample of important formulas, values, linkages, and formatting items across a variety of time periods) and is f"&amp;"actually accurate, with no duplicates, stacked criteria, or items that are out of scope. Further, make sure rubric items are a clear ""binary"" yes/no answer and the all items and sections have appropriate number of items and point weights. [15-30 minutes"&amp;"]
Step 4: Before submitting, make final checks and ensure alignment of all pieces of the task -- prompt, rubric, and workbooks -- such that your final submission is error free and demonstrates you understand our expectations of task quality and attention"&amp;" to detail. [5-15 minutes]")</f>
        <v>This the Calibration task you will be asked to edit and apply the principles you've learned so far to identify, assess, and implement fixes to each part of the task, making sure that all pieces are aligned. Upon submitting, you will receive feedback and a score of how well you did on this task. Please ensure before you submit that this is you BEST AND FINAL attempt at this task, with no further changes or edits to any piece that you think needs to be made. To be clear: **DO NOT SUBMIT UNTIL EACH PIECE IS READY, DOUBLE CHECK EVERYTHING OTHERWISE THIS WILL IMPACT YOUR SCORE.**
General Tasking Workflow Steps [rough time guidances, with some overlap -- overall target is roughly 60 minutes]---
Step 1: Download the Input and Output Workbooks, note the work done to get from the input workbook 'state' of the model to the output workbook 'state' (this transition is the "scope" of the task). [5-10 minutes]
Step 2: Make sure the prompt captures and describes ALL parts of this change accurately without over-specifying obvious or standard concepts or calculations. At the same time, make sure to add the minimum necessary detail and describe specific methodologies in an abstract way, such that the prompt CAN produce the intended result, but allow for equivalent methodologies to get to that same result. Determining the correct level of detail or "specificity" is something that varies task-to-task and is exactly why we need experts like you who have seen a wide variety of financial models and have a deep understanding of when a small detail in a model matters or not. [20-35 minutes]
Step 3: Check that the rubric has good coverage (checks a representative sample of important formulas, values, linkages, and formatting items across a variety of time periods) and is factually accurate, with no duplicates, stacked criteria, or items that are out of scope. Further, make sure rubric items are a clear "binary" yes/no answer and the all items and sections have appropriate number of items and point weights. [15-30 minutes]
Step 4: Before submitting, make final checks and ensure alignment of all pieces of the task -- prompt, rubric, and workbooks -- such that your final submission is error free and demonstrates you understand our expectations of task quality and attention to detail. [5-15 minutes]</v>
      </c>
      <c r="V110" s="110" t="str">
        <f>IFERROR(__xludf.DUMMYFUNCTION("""COMPUTED_VALUE"""),"https://tsipprd.blob.core.windows.net/tsip-files/imports/cb09ba27-c93f-488d-a521-1acfca174929/1779318018594_input.xlsx?sv=2026-02-06&amp;se=2026-05-23T18%3A39%3A34Z&amp;sr=b&amp;sp=r&amp;sig=P7xjdb5m84SQiukNrg%2F3sGndAVBKZOuVY9c3D%2BVuqjA%3D")</f>
        <v>https://tsipprd.blob.core.windows.net/tsip-files/imports/cb09ba27-c93f-488d-a521-1acfca174929/1779318018594_input.xlsx?sv=2026-02-06&amp;se=2026-05-23T18%3A39%3A34Z&amp;sr=b&amp;sp=r&amp;sig=P7xjdb5m84SQiukNrg%2F3sGndAVBKZOuVY9c3D%2BVuqjA%3D</v>
      </c>
      <c r="W110" s="110" t="str">
        <f>IFERROR(__xludf.DUMMYFUNCTION("""COMPUTED_VALUE"""),"https://tsipprd.blob.core.windows.net/tsip-files/imports/cb09ba27-c93f-488d-a521-1acfca174929/1779318018349_output.xlsx?sv=2026-02-06&amp;se=2026-05-23T18%3A39%3A34Z&amp;sr=b&amp;sp=r&amp;sig=6zk%2BPAuTTmy%2BOuYPUgYdxYV3hHt%2FdZZlPyULgpkvLEo%3D")</f>
        <v>https://tsipprd.blob.core.windows.net/tsip-files/imports/cb09ba27-c93f-488d-a521-1acfca174929/1779318018349_output.xlsx?sv=2026-02-06&amp;se=2026-05-23T18%3A39%3A34Z&amp;sr=b&amp;sp=r&amp;sig=6zk%2BPAuTTmy%2BOuYPUgYdxYV3hHt%2FdZZlPyULgpkvLEo%3D</v>
      </c>
      <c r="X110" s="43" t="str">
        <f>IFERROR(__xludf.DUMMYFUNCTION("""COMPUTED_VALUE"""),"success")</f>
        <v>success</v>
      </c>
      <c r="Y110" s="43">
        <f>IFERROR(__xludf.DUMMYFUNCTION("""COMPUTED_VALUE"""),2.0)</f>
        <v>2</v>
      </c>
      <c r="Z110" s="43" t="str">
        <f>IFERROR(__xludf.DUMMYFUNCTION("""COMPUTED_VALUE"""),"Effective overall score around 55/100, decision band re-try needed. The submitted prompt is materially incomplete and contains stray 'test test' text: it incorrectly says all four debt instruments (including Old Loans) source from 6) Capital instead of pu"&amp;"lling Old Loans assumptions from 8) Opening Balance Sheet, omits any mention of downstream integration into the Income Statement, Balance Sheet, and Cash Flow, underspecifies the methodology (no compounding-aware monthly rate conversion, no fixed level am"&amp;"ortizing payment, no statement that interest equals prior-period ending balance times the monthly rate, no payoff/term zeroing), and provides no formatting guidance. The submitted input workbook still has Mortgage Term=1 and Other Bank Debt Term=1 on 6) C"&amp;"apital instead of the required 4 and 3 (the output/golden workbook does show 5/4/3), which by itself caps the overall score at 90. The rubric still uses the period-mismatched -3225.17 Cash Flow repayment target at Month 36 (that value is the Month 37 figu"&amp;"re; the true Month 36 value is roughly -4678.87), which caps at 88, and it contains a literal duplicate perturbation (Loan Amount 150,000 to 180,000 → Net Income Year 1 Month 1 ≈ 2,754 appears twice as 13964d25 and 18ddc3e9), which caps at 92. The rubric "&amp;"also grades downstream Income Statement/Balance Sheet/Cash Flow linkage that the prompt never requests (prompt/rubric mismatch), keeps a gridlines-hidden presentation check, and uses broad pitfall sweeps across many unrelated tabs (4) Operating Expenses, "&amp;"9) WACC, Financial Highlights, Sensitivity Analysis, Ratio Analysis, PD Charts, Valuation) rather than scoping to the tabs actually changed. Required revisions: remove the 'test test' filler and rewrite the prompt to explicitly source Old Loans from 8) Op"&amp;"ening Balance Sheet while Loan/Mortgage/Other Bank Debt come from 6) Capital, specify compounding monthly rate conversion and a fixed level amortizing payment with interest on prior balance and principal = payment − interest and term/payoff zeroing, add I"&amp;"ncome Statement interest, Balance Sheet Loans, and Cash Flow issuance/repayment linkage requirements, and add material formatting guidance; correct the input workbook Capital terms to 5/4/3; in the rubric either move the -3225.17 target to Month 37 or rep"&amp;"lace with the true raw Month 36 value (~-4678.868767), delete the duplicate Loan-Amount perturbation, use exact raw target values (e.g., 2954.985953, 180728.157517, 73979.560146, 16.613982) instead of rounded display values, add a criterion that Old Loans"&amp;" rate/term sourcing comes from 8) Opening Balance Sheet rather than Capital, drop the gridlines check, scope pitfalls to the actually relevant tabs (6) Capital, 8) Opening Balance Sheet, Loan Amortization Schedule, Income Statement, Balance Sheet, Cash Fl"&amp;"ow), and split bundled presentation criteria.")</f>
        <v>Effective overall score around 55/100, decision band re-try needed. The submitted prompt is materially incomplete and contains stray 'test test' text: it incorrectly says all four debt instruments (including Old Loans) source from 6) Capital instead of pulling Old Loans assumptions from 8) Opening Balance Sheet, omits any mention of downstream integration into the Income Statement, Balance Sheet, and Cash Flow, underspecifies the methodology (no compounding-aware monthly rate conversion, no fixed level amortizing payment, no statement that interest equals prior-period ending balance times the monthly rate, no payoff/term zeroing), and provides no formatting guidance. The submitted input workbook still has Mortgage Term=1 and Other Bank Debt Term=1 on 6) Capital instead of the required 4 and 3 (the output/golden workbook does show 5/4/3), which by itself caps the overall score at 90. The rubric still uses the period-mismatched -3225.17 Cash Flow repayment target at Month 36 (that value is the Month 37 figure; the true Month 36 value is roughly -4678.87), which caps at 88, and it contains a literal duplicate perturbation (Loan Amount 150,000 to 180,000 → Net Income Year 1 Month 1 ≈ 2,754 appears twice as 13964d25 and 18ddc3e9), which caps at 92. The rubric also grades downstream Income Statement/Balance Sheet/Cash Flow linkage that the prompt never requests (prompt/rubric mismatch), keeps a gridlines-hidden presentation check, and uses broad pitfall sweeps across many unrelated tabs (4) Operating Expenses, 9) WACC, Financial Highlights, Sensitivity Analysis, Ratio Analysis, PD Charts, Valuation) rather than scoping to the tabs actually changed. Required revisions: remove the 'test test' filler and rewrite the prompt to explicitly source Old Loans from 8) Opening Balance Sheet while Loan/Mortgage/Other Bank Debt come from 6) Capital, specify compounding monthly rate conversion and a fixed level amortizing payment with interest on prior balance and principal = payment − interest and term/payoff zeroing, add Income Statement interest, Balance Sheet Loans, and Cash Flow issuance/repayment linkage requirements, and add material formatting guidance; correct the input workbook Capital terms to 5/4/3; in the rubric either move the -3225.17 target to Month 37 or replace with the true raw Month 36 value (~-4678.868767), delete the duplicate Loan-Amount perturbation, use exact raw target values (e.g., 2954.985953, 180728.157517, 73979.560146, 16.613982) instead of rounded display values, add a criterion that Old Loans rate/term sourcing comes from 8) Opening Balance Sheet rather than Capital, drop the gridlines check, scope pitfalls to the actually relevant tabs (6) Capital, 8) Opening Balance Sheet, Loan Amortization Schedule, Income Statement, Balance Sheet, Cash Flow), and split bundled presentation criteria.</v>
      </c>
      <c r="AA110" s="43" t="str">
        <f>IFERROR(__xludf.DUMMYFUNCTION("""COMPUTED_VALUE"""),"success")</f>
        <v>success</v>
      </c>
    </row>
    <row r="111">
      <c r="A111" s="110" t="str">
        <f t="shared" si="1"/>
        <v>www.tsip.ai/claim/</v>
      </c>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110" t="str">
        <f t="shared" si="1"/>
        <v>www.tsip.ai/claim/</v>
      </c>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110" t="str">
        <f t="shared" si="1"/>
        <v>www.tsip.ai/claim/</v>
      </c>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110" t="str">
        <f t="shared" si="1"/>
        <v>www.tsip.ai/claim/</v>
      </c>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110" t="str">
        <f t="shared" si="1"/>
        <v>www.tsip.ai/claim/</v>
      </c>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110" t="str">
        <f t="shared" si="1"/>
        <v>www.tsip.ai/claim/</v>
      </c>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110" t="str">
        <f t="shared" si="1"/>
        <v>www.tsip.ai/claim/</v>
      </c>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110" t="str">
        <f t="shared" si="1"/>
        <v>www.tsip.ai/claim/</v>
      </c>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110" t="str">
        <f t="shared" si="1"/>
        <v>www.tsip.ai/claim/</v>
      </c>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110" t="str">
        <f t="shared" si="1"/>
        <v>www.tsip.ai/claim/</v>
      </c>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110" t="str">
        <f t="shared" si="1"/>
        <v>www.tsip.ai/claim/</v>
      </c>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110" t="str">
        <f t="shared" si="1"/>
        <v>www.tsip.ai/claim/</v>
      </c>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110" t="str">
        <f t="shared" si="1"/>
        <v>www.tsip.ai/claim/</v>
      </c>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110" t="str">
        <f t="shared" si="1"/>
        <v>www.tsip.ai/claim/</v>
      </c>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110" t="str">
        <f t="shared" si="1"/>
        <v>www.tsip.ai/claim/</v>
      </c>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110" t="str">
        <f t="shared" si="1"/>
        <v>www.tsip.ai/claim/</v>
      </c>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110" t="str">
        <f t="shared" si="1"/>
        <v>www.tsip.ai/claim/</v>
      </c>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110" t="str">
        <f t="shared" si="1"/>
        <v>www.tsip.ai/claim/</v>
      </c>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110" t="str">
        <f t="shared" si="1"/>
        <v>www.tsip.ai/claim/</v>
      </c>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110" t="str">
        <f t="shared" si="1"/>
        <v>www.tsip.ai/claim/</v>
      </c>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110" t="str">
        <f t="shared" si="1"/>
        <v>www.tsip.ai/claim/</v>
      </c>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110" t="str">
        <f t="shared" si="1"/>
        <v>www.tsip.ai/claim/</v>
      </c>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110" t="str">
        <f t="shared" si="1"/>
        <v>www.tsip.ai/claim/</v>
      </c>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110" t="str">
        <f t="shared" si="1"/>
        <v>www.tsip.ai/claim/</v>
      </c>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110" t="str">
        <f t="shared" si="1"/>
        <v>www.tsip.ai/claim/</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110" t="str">
        <f t="shared" si="1"/>
        <v>www.tsip.ai/claim/</v>
      </c>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110" t="str">
        <f t="shared" si="1"/>
        <v>www.tsip.ai/claim/</v>
      </c>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110" t="str">
        <f t="shared" si="1"/>
        <v>www.tsip.ai/claim/</v>
      </c>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110" t="str">
        <f t="shared" si="1"/>
        <v>www.tsip.ai/claim/</v>
      </c>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110" t="str">
        <f t="shared" si="1"/>
        <v>www.tsip.ai/claim/</v>
      </c>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110" t="str">
        <f t="shared" si="1"/>
        <v>www.tsip.ai/claim/</v>
      </c>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110" t="str">
        <f t="shared" si="1"/>
        <v>www.tsip.ai/claim/</v>
      </c>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110" t="str">
        <f t="shared" si="1"/>
        <v>www.tsip.ai/claim/</v>
      </c>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110" t="str">
        <f t="shared" si="1"/>
        <v>www.tsip.ai/claim/</v>
      </c>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110" t="str">
        <f t="shared" si="1"/>
        <v>www.tsip.ai/claim/</v>
      </c>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110" t="str">
        <f t="shared" si="1"/>
        <v>www.tsip.ai/claim/</v>
      </c>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110" t="str">
        <f t="shared" si="1"/>
        <v>www.tsip.ai/claim/</v>
      </c>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110" t="str">
        <f t="shared" si="1"/>
        <v>www.tsip.ai/claim/</v>
      </c>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110" t="str">
        <f t="shared" si="1"/>
        <v>www.tsip.ai/claim/</v>
      </c>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110" t="str">
        <f t="shared" si="1"/>
        <v>www.tsip.ai/claim/</v>
      </c>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110" t="str">
        <f t="shared" si="1"/>
        <v>www.tsip.ai/claim/</v>
      </c>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110" t="str">
        <f t="shared" si="1"/>
        <v>www.tsip.ai/claim/</v>
      </c>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110" t="str">
        <f t="shared" si="1"/>
        <v>www.tsip.ai/claim/</v>
      </c>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110" t="str">
        <f t="shared" si="1"/>
        <v>www.tsip.ai/claim/</v>
      </c>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110" t="str">
        <f t="shared" si="1"/>
        <v>www.tsip.ai/claim/</v>
      </c>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110" t="str">
        <f t="shared" si="1"/>
        <v>www.tsip.ai/claim/</v>
      </c>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110" t="str">
        <f t="shared" si="1"/>
        <v>www.tsip.ai/claim/</v>
      </c>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110" t="str">
        <f t="shared" si="1"/>
        <v>www.tsip.ai/claim/</v>
      </c>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110" t="str">
        <f t="shared" si="1"/>
        <v>www.tsip.ai/claim/</v>
      </c>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110" t="str">
        <f t="shared" si="1"/>
        <v>www.tsip.ai/claim/</v>
      </c>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110" t="str">
        <f t="shared" si="1"/>
        <v>www.tsip.ai/claim/</v>
      </c>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110" t="str">
        <f t="shared" si="1"/>
        <v>www.tsip.ai/claim/</v>
      </c>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110" t="str">
        <f t="shared" si="1"/>
        <v>www.tsip.ai/claim/</v>
      </c>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110" t="str">
        <f t="shared" si="1"/>
        <v>www.tsip.ai/claim/</v>
      </c>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110" t="str">
        <f t="shared" si="1"/>
        <v>www.tsip.ai/claim/</v>
      </c>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110" t="str">
        <f t="shared" si="1"/>
        <v>www.tsip.ai/claim/</v>
      </c>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110" t="str">
        <f t="shared" si="1"/>
        <v>www.tsip.ai/claim/</v>
      </c>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110" t="str">
        <f t="shared" si="1"/>
        <v>www.tsip.ai/claim/</v>
      </c>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110" t="str">
        <f t="shared" si="1"/>
        <v>www.tsip.ai/claim/</v>
      </c>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110" t="str">
        <f t="shared" si="1"/>
        <v>www.tsip.ai/claim/</v>
      </c>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110" t="str">
        <f t="shared" si="1"/>
        <v>www.tsip.ai/claim/</v>
      </c>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110" t="str">
        <f t="shared" si="1"/>
        <v>www.tsip.ai/claim/</v>
      </c>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110" t="str">
        <f t="shared" si="1"/>
        <v>www.tsip.ai/claim/</v>
      </c>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110" t="str">
        <f t="shared" si="1"/>
        <v>www.tsip.ai/claim/</v>
      </c>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110" t="str">
        <f t="shared" si="1"/>
        <v>www.tsip.ai/claim/</v>
      </c>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110" t="str">
        <f t="shared" si="1"/>
        <v>www.tsip.ai/claim/</v>
      </c>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110" t="str">
        <f t="shared" si="1"/>
        <v>www.tsip.ai/claim/</v>
      </c>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110" t="str">
        <f t="shared" si="1"/>
        <v>www.tsip.ai/claim/</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110" t="str">
        <f t="shared" si="1"/>
        <v>www.tsip.ai/claim/</v>
      </c>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110" t="str">
        <f t="shared" si="1"/>
        <v>www.tsip.ai/claim/</v>
      </c>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110" t="str">
        <f t="shared" si="1"/>
        <v>www.tsip.ai/claim/</v>
      </c>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110" t="str">
        <f t="shared" si="1"/>
        <v>www.tsip.ai/claim/</v>
      </c>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110" t="str">
        <f t="shared" si="1"/>
        <v>www.tsip.ai/claim/</v>
      </c>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110" t="str">
        <f t="shared" si="1"/>
        <v>www.tsip.ai/claim/</v>
      </c>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110" t="str">
        <f t="shared" si="1"/>
        <v>www.tsip.ai/claim/</v>
      </c>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110" t="str">
        <f t="shared" si="1"/>
        <v>www.tsip.ai/claim/</v>
      </c>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110" t="str">
        <f t="shared" si="1"/>
        <v>www.tsip.ai/claim/</v>
      </c>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110" t="str">
        <f t="shared" si="1"/>
        <v>www.tsip.ai/claim/</v>
      </c>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110" t="str">
        <f t="shared" si="1"/>
        <v>www.tsip.ai/claim/</v>
      </c>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110" t="str">
        <f t="shared" si="1"/>
        <v>www.tsip.ai/claim/</v>
      </c>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110" t="str">
        <f t="shared" si="1"/>
        <v>www.tsip.ai/claim/</v>
      </c>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110" t="str">
        <f t="shared" si="1"/>
        <v>www.tsip.ai/claim/</v>
      </c>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110" t="str">
        <f t="shared" si="1"/>
        <v>www.tsip.ai/claim/</v>
      </c>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110" t="str">
        <f t="shared" si="1"/>
        <v>www.tsip.ai/claim/</v>
      </c>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110" t="str">
        <f t="shared" si="1"/>
        <v>www.tsip.ai/claim/</v>
      </c>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110" t="str">
        <f t="shared" si="1"/>
        <v>www.tsip.ai/claim/</v>
      </c>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110" t="str">
        <f t="shared" si="1"/>
        <v>www.tsip.ai/claim/</v>
      </c>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110" t="str">
        <f t="shared" si="1"/>
        <v>www.tsip.ai/claim/</v>
      </c>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110" t="str">
        <f t="shared" si="1"/>
        <v>www.tsip.ai/claim/</v>
      </c>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110" t="str">
        <f t="shared" si="1"/>
        <v>www.tsip.ai/claim/</v>
      </c>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110" t="str">
        <f t="shared" si="1"/>
        <v>www.tsip.ai/claim/</v>
      </c>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110" t="str">
        <f t="shared" si="1"/>
        <v>www.tsip.ai/claim/</v>
      </c>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110" t="str">
        <f t="shared" si="1"/>
        <v>www.tsip.ai/claim/</v>
      </c>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110" t="str">
        <f t="shared" si="1"/>
        <v>www.tsip.ai/claim/</v>
      </c>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110" t="str">
        <f t="shared" si="1"/>
        <v>www.tsip.ai/claim/</v>
      </c>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110" t="str">
        <f t="shared" si="1"/>
        <v>www.tsip.ai/claim/</v>
      </c>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110" t="str">
        <f t="shared" si="1"/>
        <v>www.tsip.ai/claim/</v>
      </c>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110" t="str">
        <f t="shared" si="1"/>
        <v>www.tsip.ai/claim/</v>
      </c>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110" t="str">
        <f t="shared" si="1"/>
        <v>www.tsip.ai/claim/</v>
      </c>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110" t="str">
        <f t="shared" si="1"/>
        <v>www.tsip.ai/claim/</v>
      </c>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110" t="str">
        <f t="shared" si="1"/>
        <v>www.tsip.ai/claim/</v>
      </c>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110" t="str">
        <f t="shared" si="1"/>
        <v>www.tsip.ai/claim/</v>
      </c>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110" t="str">
        <f t="shared" si="1"/>
        <v>www.tsip.ai/claim/</v>
      </c>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110" t="str">
        <f t="shared" si="1"/>
        <v>www.tsip.ai/claim/</v>
      </c>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110" t="str">
        <f t="shared" si="1"/>
        <v>www.tsip.ai/claim/</v>
      </c>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110" t="str">
        <f t="shared" si="1"/>
        <v>www.tsip.ai/claim/</v>
      </c>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110" t="str">
        <f t="shared" si="1"/>
        <v>www.tsip.ai/claim/</v>
      </c>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110" t="str">
        <f t="shared" si="1"/>
        <v>www.tsip.ai/claim/</v>
      </c>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110" t="str">
        <f t="shared" si="1"/>
        <v>www.tsip.ai/claim/</v>
      </c>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110" t="str">
        <f t="shared" si="1"/>
        <v>www.tsip.ai/claim/</v>
      </c>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110" t="str">
        <f t="shared" si="1"/>
        <v>www.tsip.ai/claim/</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110" t="str">
        <f t="shared" si="1"/>
        <v>www.tsip.ai/claim/</v>
      </c>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110" t="str">
        <f t="shared" si="1"/>
        <v>www.tsip.ai/claim/</v>
      </c>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110" t="str">
        <f t="shared" si="1"/>
        <v>www.tsip.ai/claim/</v>
      </c>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110" t="str">
        <f t="shared" si="1"/>
        <v>www.tsip.ai/claim/</v>
      </c>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110" t="str">
        <f t="shared" si="1"/>
        <v>www.tsip.ai/claim/</v>
      </c>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110" t="str">
        <f t="shared" si="1"/>
        <v>www.tsip.ai/claim/</v>
      </c>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110" t="str">
        <f t="shared" si="1"/>
        <v>www.tsip.ai/claim/</v>
      </c>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110" t="str">
        <f t="shared" si="1"/>
        <v>www.tsip.ai/claim/</v>
      </c>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110" t="str">
        <f t="shared" si="1"/>
        <v>www.tsip.ai/claim/</v>
      </c>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110" t="str">
        <f t="shared" si="1"/>
        <v>www.tsip.ai/claim/</v>
      </c>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110" t="str">
        <f t="shared" si="1"/>
        <v>www.tsip.ai/claim/</v>
      </c>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110" t="str">
        <f t="shared" si="1"/>
        <v>www.tsip.ai/claim/</v>
      </c>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110" t="str">
        <f t="shared" si="1"/>
        <v>www.tsip.ai/claim/</v>
      </c>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110" t="str">
        <f t="shared" si="1"/>
        <v>www.tsip.ai/claim/</v>
      </c>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110" t="str">
        <f t="shared" si="1"/>
        <v>www.tsip.ai/claim/</v>
      </c>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110" t="str">
        <f t="shared" si="1"/>
        <v>www.tsip.ai/claim/</v>
      </c>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110" t="str">
        <f t="shared" si="1"/>
        <v>www.tsip.ai/claim/</v>
      </c>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110" t="str">
        <f t="shared" si="1"/>
        <v>www.tsip.ai/claim/</v>
      </c>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110" t="str">
        <f t="shared" si="1"/>
        <v>www.tsip.ai/claim/</v>
      </c>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110" t="str">
        <f t="shared" si="1"/>
        <v>www.tsip.ai/claim/</v>
      </c>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110" t="str">
        <f t="shared" si="1"/>
        <v>www.tsip.ai/claim/</v>
      </c>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110" t="str">
        <f t="shared" si="1"/>
        <v>www.tsip.ai/claim/</v>
      </c>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110" t="str">
        <f t="shared" si="1"/>
        <v>www.tsip.ai/claim/</v>
      </c>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110" t="str">
        <f t="shared" si="1"/>
        <v>www.tsip.ai/claim/</v>
      </c>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110" t="str">
        <f t="shared" si="1"/>
        <v>www.tsip.ai/claim/</v>
      </c>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110" t="str">
        <f t="shared" si="1"/>
        <v>www.tsip.ai/claim/</v>
      </c>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110" t="str">
        <f t="shared" si="1"/>
        <v>www.tsip.ai/claim/</v>
      </c>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110" t="str">
        <f t="shared" si="1"/>
        <v>www.tsip.ai/claim/</v>
      </c>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110" t="str">
        <f t="shared" si="1"/>
        <v>www.tsip.ai/claim/</v>
      </c>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110" t="str">
        <f t="shared" si="1"/>
        <v>www.tsip.ai/claim/</v>
      </c>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110" t="str">
        <f t="shared" si="1"/>
        <v>www.tsip.ai/claim/</v>
      </c>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110" t="str">
        <f t="shared" si="1"/>
        <v>www.tsip.ai/claim/</v>
      </c>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110" t="str">
        <f t="shared" si="1"/>
        <v>www.tsip.ai/claim/</v>
      </c>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110" t="str">
        <f t="shared" si="1"/>
        <v>www.tsip.ai/claim/</v>
      </c>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110" t="str">
        <f t="shared" si="1"/>
        <v>www.tsip.ai/claim/</v>
      </c>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110" t="str">
        <f t="shared" si="1"/>
        <v>www.tsip.ai/claim/</v>
      </c>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110" t="str">
        <f t="shared" si="1"/>
        <v>www.tsip.ai/claim/</v>
      </c>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110" t="str">
        <f t="shared" si="1"/>
        <v>www.tsip.ai/claim/</v>
      </c>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110" t="str">
        <f t="shared" si="1"/>
        <v>www.tsip.ai/claim/</v>
      </c>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110" t="str">
        <f t="shared" si="1"/>
        <v>www.tsip.ai/claim/</v>
      </c>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110" t="str">
        <f t="shared" si="1"/>
        <v>www.tsip.ai/claim/</v>
      </c>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110" t="str">
        <f t="shared" si="1"/>
        <v>www.tsip.ai/claim/</v>
      </c>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110" t="str">
        <f t="shared" si="1"/>
        <v>www.tsip.ai/claim/</v>
      </c>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110" t="str">
        <f t="shared" si="1"/>
        <v>www.tsip.ai/claim/</v>
      </c>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110" t="str">
        <f t="shared" si="1"/>
        <v>www.tsip.ai/claim/</v>
      </c>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110" t="str">
        <f t="shared" si="1"/>
        <v>www.tsip.ai/claim/</v>
      </c>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110" t="str">
        <f t="shared" si="1"/>
        <v>www.tsip.ai/claim/</v>
      </c>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110" t="str">
        <f t="shared" si="1"/>
        <v>www.tsip.ai/claim/</v>
      </c>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110" t="str">
        <f t="shared" si="1"/>
        <v>www.tsip.ai/claim/</v>
      </c>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110" t="str">
        <f t="shared" si="1"/>
        <v>www.tsip.ai/claim/</v>
      </c>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110" t="str">
        <f t="shared" si="1"/>
        <v>www.tsip.ai/claim/</v>
      </c>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110" t="str">
        <f t="shared" si="1"/>
        <v>www.tsip.ai/claim/</v>
      </c>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110" t="str">
        <f t="shared" si="1"/>
        <v>www.tsip.ai/claim/</v>
      </c>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110" t="str">
        <f t="shared" si="1"/>
        <v>www.tsip.ai/claim/</v>
      </c>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110" t="str">
        <f t="shared" si="1"/>
        <v>www.tsip.ai/claim/</v>
      </c>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110" t="str">
        <f t="shared" si="1"/>
        <v>www.tsip.ai/claim/</v>
      </c>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110" t="str">
        <f t="shared" si="1"/>
        <v>www.tsip.ai/claim/</v>
      </c>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110" t="str">
        <f t="shared" si="1"/>
        <v>www.tsip.ai/claim/</v>
      </c>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110" t="str">
        <f t="shared" si="1"/>
        <v>www.tsip.ai/claim/</v>
      </c>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110" t="str">
        <f t="shared" si="1"/>
        <v>www.tsip.ai/claim/</v>
      </c>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110" t="str">
        <f t="shared" si="1"/>
        <v>www.tsip.ai/claim/</v>
      </c>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110" t="str">
        <f t="shared" si="1"/>
        <v>www.tsip.ai/claim/</v>
      </c>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110" t="str">
        <f t="shared" si="1"/>
        <v>www.tsip.ai/claim/</v>
      </c>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110" t="str">
        <f t="shared" si="1"/>
        <v>www.tsip.ai/claim/</v>
      </c>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110" t="str">
        <f t="shared" si="1"/>
        <v>www.tsip.ai/claim/</v>
      </c>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110" t="str">
        <f t="shared" si="1"/>
        <v>www.tsip.ai/claim/</v>
      </c>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110" t="str">
        <f t="shared" si="1"/>
        <v>www.tsip.ai/claim/</v>
      </c>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110" t="str">
        <f t="shared" si="1"/>
        <v>www.tsip.ai/claim/</v>
      </c>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110" t="str">
        <f t="shared" si="1"/>
        <v>www.tsip.ai/claim/</v>
      </c>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110" t="str">
        <f t="shared" si="1"/>
        <v>www.tsip.ai/claim/</v>
      </c>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110" t="str">
        <f t="shared" si="1"/>
        <v>www.tsip.ai/claim/</v>
      </c>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110" t="str">
        <f t="shared" si="1"/>
        <v>www.tsip.ai/claim/</v>
      </c>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110" t="str">
        <f t="shared" si="1"/>
        <v>www.tsip.ai/claim/</v>
      </c>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110" t="str">
        <f t="shared" si="1"/>
        <v>www.tsip.ai/claim/</v>
      </c>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110" t="str">
        <f t="shared" si="1"/>
        <v>www.tsip.ai/claim/</v>
      </c>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110" t="str">
        <f t="shared" si="1"/>
        <v>www.tsip.ai/claim/</v>
      </c>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110" t="str">
        <f t="shared" si="1"/>
        <v>www.tsip.ai/claim/</v>
      </c>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110" t="str">
        <f t="shared" si="1"/>
        <v>www.tsip.ai/claim/</v>
      </c>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110" t="str">
        <f t="shared" si="1"/>
        <v>www.tsip.ai/claim/</v>
      </c>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110" t="str">
        <f t="shared" si="1"/>
        <v>www.tsip.ai/claim/</v>
      </c>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110" t="str">
        <f t="shared" si="1"/>
        <v>www.tsip.ai/claim/</v>
      </c>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110" t="str">
        <f t="shared" si="1"/>
        <v>www.tsip.ai/claim/</v>
      </c>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110" t="str">
        <f t="shared" si="1"/>
        <v>www.tsip.ai/claim/</v>
      </c>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110" t="str">
        <f t="shared" si="1"/>
        <v>www.tsip.ai/claim/</v>
      </c>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110" t="str">
        <f t="shared" si="1"/>
        <v>www.tsip.ai/claim/</v>
      </c>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110" t="str">
        <f t="shared" si="1"/>
        <v>www.tsip.ai/claim/</v>
      </c>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110" t="str">
        <f t="shared" si="1"/>
        <v>www.tsip.ai/claim/</v>
      </c>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110" t="str">
        <f t="shared" si="1"/>
        <v>www.tsip.ai/claim/</v>
      </c>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110" t="str">
        <f t="shared" si="1"/>
        <v>www.tsip.ai/claim/</v>
      </c>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110" t="str">
        <f t="shared" si="1"/>
        <v>www.tsip.ai/claim/</v>
      </c>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110" t="str">
        <f t="shared" si="1"/>
        <v>www.tsip.ai/claim/</v>
      </c>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110" t="str">
        <f t="shared" si="1"/>
        <v>www.tsip.ai/claim/</v>
      </c>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110" t="str">
        <f t="shared" si="1"/>
        <v>www.tsip.ai/claim/</v>
      </c>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110" t="str">
        <f t="shared" si="1"/>
        <v>www.tsip.ai/claim/</v>
      </c>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110" t="str">
        <f t="shared" si="1"/>
        <v>www.tsip.ai/claim/</v>
      </c>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110" t="str">
        <f t="shared" si="1"/>
        <v>www.tsip.ai/claim/</v>
      </c>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110" t="str">
        <f t="shared" si="1"/>
        <v>www.tsip.ai/claim/</v>
      </c>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110" t="str">
        <f t="shared" si="1"/>
        <v>www.tsip.ai/claim/</v>
      </c>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110" t="str">
        <f t="shared" si="1"/>
        <v>www.tsip.ai/claim/</v>
      </c>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110" t="str">
        <f t="shared" si="1"/>
        <v>www.tsip.ai/claim/</v>
      </c>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110" t="str">
        <f t="shared" si="1"/>
        <v>www.tsip.ai/claim/</v>
      </c>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110" t="str">
        <f t="shared" si="1"/>
        <v>www.tsip.ai/claim/</v>
      </c>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110" t="str">
        <f t="shared" si="1"/>
        <v>www.tsip.ai/claim/</v>
      </c>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110" t="str">
        <f t="shared" si="1"/>
        <v>www.tsip.ai/claim/</v>
      </c>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110" t="str">
        <f t="shared" si="1"/>
        <v>www.tsip.ai/claim/</v>
      </c>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110" t="str">
        <f t="shared" si="1"/>
        <v>www.tsip.ai/claim/</v>
      </c>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110" t="str">
        <f t="shared" si="1"/>
        <v>www.tsip.ai/claim/</v>
      </c>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110" t="str">
        <f t="shared" si="1"/>
        <v>www.tsip.ai/claim/</v>
      </c>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110" t="str">
        <f t="shared" si="1"/>
        <v>www.tsip.ai/claim/</v>
      </c>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110" t="str">
        <f t="shared" si="1"/>
        <v>www.tsip.ai/claim/</v>
      </c>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110" t="str">
        <f t="shared" si="1"/>
        <v>www.tsip.ai/claim/</v>
      </c>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110" t="str">
        <f t="shared" si="1"/>
        <v>www.tsip.ai/claim/</v>
      </c>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110" t="str">
        <f t="shared" si="1"/>
        <v>www.tsip.ai/claim/</v>
      </c>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110" t="str">
        <f t="shared" si="1"/>
        <v>www.tsip.ai/claim/</v>
      </c>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110" t="str">
        <f t="shared" si="1"/>
        <v>www.tsip.ai/claim/</v>
      </c>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110" t="str">
        <f t="shared" si="1"/>
        <v>www.tsip.ai/claim/</v>
      </c>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110" t="str">
        <f t="shared" si="1"/>
        <v>www.tsip.ai/claim/</v>
      </c>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110" t="str">
        <f t="shared" si="1"/>
        <v>www.tsip.ai/claim/</v>
      </c>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110" t="str">
        <f t="shared" si="1"/>
        <v>www.tsip.ai/claim/</v>
      </c>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110" t="str">
        <f t="shared" si="1"/>
        <v>www.tsip.ai/claim/</v>
      </c>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110" t="str">
        <f t="shared" si="1"/>
        <v>www.tsip.ai/claim/</v>
      </c>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110" t="str">
        <f t="shared" si="1"/>
        <v>www.tsip.ai/claim/</v>
      </c>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110" t="str">
        <f t="shared" si="1"/>
        <v>www.tsip.ai/claim/</v>
      </c>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110" t="str">
        <f t="shared" si="1"/>
        <v>www.tsip.ai/claim/</v>
      </c>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110" t="str">
        <f t="shared" si="1"/>
        <v>www.tsip.ai/claim/</v>
      </c>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110" t="str">
        <f t="shared" si="1"/>
        <v>www.tsip.ai/claim/</v>
      </c>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110" t="str">
        <f t="shared" si="1"/>
        <v>www.tsip.ai/claim/</v>
      </c>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110" t="str">
        <f t="shared" si="1"/>
        <v>www.tsip.ai/claim/</v>
      </c>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110" t="str">
        <f t="shared" si="1"/>
        <v>www.tsip.ai/claim/</v>
      </c>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110" t="str">
        <f t="shared" si="1"/>
        <v>www.tsip.ai/claim/</v>
      </c>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110" t="str">
        <f t="shared" si="1"/>
        <v>www.tsip.ai/claim/</v>
      </c>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110" t="str">
        <f t="shared" si="1"/>
        <v>www.tsip.ai/claim/</v>
      </c>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110" t="str">
        <f t="shared" si="1"/>
        <v>www.tsip.ai/claim/</v>
      </c>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110" t="str">
        <f t="shared" si="1"/>
        <v>www.tsip.ai/claim/</v>
      </c>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110" t="str">
        <f t="shared" si="1"/>
        <v>www.tsip.ai/claim/</v>
      </c>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110" t="str">
        <f t="shared" si="1"/>
        <v>www.tsip.ai/claim/</v>
      </c>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110" t="str">
        <f t="shared" si="1"/>
        <v>www.tsip.ai/claim/</v>
      </c>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110" t="str">
        <f t="shared" si="1"/>
        <v>www.tsip.ai/claim/</v>
      </c>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110" t="str">
        <f t="shared" si="1"/>
        <v>www.tsip.ai/claim/</v>
      </c>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110" t="str">
        <f t="shared" si="1"/>
        <v>www.tsip.ai/claim/</v>
      </c>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110" t="str">
        <f t="shared" si="1"/>
        <v>www.tsip.ai/claim/</v>
      </c>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110" t="str">
        <f t="shared" si="1"/>
        <v>www.tsip.ai/claim/</v>
      </c>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110" t="str">
        <f t="shared" si="1"/>
        <v>www.tsip.ai/claim/</v>
      </c>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110" t="str">
        <f t="shared" si="1"/>
        <v>www.tsip.ai/claim/</v>
      </c>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110" t="str">
        <f t="shared" si="1"/>
        <v>www.tsip.ai/claim/</v>
      </c>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110" t="str">
        <f t="shared" si="1"/>
        <v>www.tsip.ai/claim/</v>
      </c>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110" t="str">
        <f t="shared" si="1"/>
        <v>www.tsip.ai/claim/</v>
      </c>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110" t="str">
        <f t="shared" si="1"/>
        <v>www.tsip.ai/claim/</v>
      </c>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110" t="str">
        <f t="shared" si="1"/>
        <v>www.tsip.ai/claim/</v>
      </c>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110" t="str">
        <f t="shared" si="1"/>
        <v>www.tsip.ai/claim/</v>
      </c>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110" t="str">
        <f t="shared" si="1"/>
        <v>www.tsip.ai/claim/</v>
      </c>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110" t="str">
        <f t="shared" si="1"/>
        <v>www.tsip.ai/claim/</v>
      </c>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110" t="str">
        <f t="shared" si="1"/>
        <v>www.tsip.ai/claim/</v>
      </c>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110" t="str">
        <f t="shared" si="1"/>
        <v>www.tsip.ai/claim/</v>
      </c>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110" t="str">
        <f t="shared" si="1"/>
        <v>www.tsip.ai/claim/</v>
      </c>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110" t="str">
        <f t="shared" si="1"/>
        <v>www.tsip.ai/claim/</v>
      </c>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110" t="str">
        <f t="shared" si="1"/>
        <v>www.tsip.ai/claim/</v>
      </c>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110" t="str">
        <f t="shared" si="1"/>
        <v>www.tsip.ai/claim/</v>
      </c>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110" t="str">
        <f t="shared" si="1"/>
        <v>www.tsip.ai/claim/</v>
      </c>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110" t="str">
        <f t="shared" si="1"/>
        <v>www.tsip.ai/claim/</v>
      </c>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110" t="str">
        <f t="shared" si="1"/>
        <v>www.tsip.ai/claim/</v>
      </c>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110" t="str">
        <f t="shared" si="1"/>
        <v>www.tsip.ai/claim/</v>
      </c>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110" t="str">
        <f t="shared" si="1"/>
        <v>www.tsip.ai/claim/</v>
      </c>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110" t="str">
        <f t="shared" si="1"/>
        <v>www.tsip.ai/claim/</v>
      </c>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110" t="str">
        <f t="shared" si="1"/>
        <v>www.tsip.ai/claim/</v>
      </c>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110" t="str">
        <f t="shared" si="1"/>
        <v>www.tsip.ai/claim/</v>
      </c>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110" t="str">
        <f t="shared" si="1"/>
        <v>www.tsip.ai/claim/</v>
      </c>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110" t="str">
        <f t="shared" si="1"/>
        <v>www.tsip.ai/claim/</v>
      </c>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110" t="str">
        <f t="shared" si="1"/>
        <v>www.tsip.ai/claim/</v>
      </c>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110" t="str">
        <f t="shared" si="1"/>
        <v>www.tsip.ai/claim/</v>
      </c>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110" t="str">
        <f t="shared" si="1"/>
        <v>www.tsip.ai/claim/</v>
      </c>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110" t="str">
        <f t="shared" si="1"/>
        <v>www.tsip.ai/claim/</v>
      </c>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110" t="str">
        <f t="shared" si="1"/>
        <v>www.tsip.ai/claim/</v>
      </c>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110" t="str">
        <f t="shared" si="1"/>
        <v>www.tsip.ai/claim/</v>
      </c>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110" t="str">
        <f t="shared" si="1"/>
        <v>www.tsip.ai/claim/</v>
      </c>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110" t="str">
        <f t="shared" si="1"/>
        <v>www.tsip.ai/claim/</v>
      </c>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110" t="str">
        <f t="shared" si="1"/>
        <v>www.tsip.ai/claim/</v>
      </c>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110" t="str">
        <f t="shared" si="1"/>
        <v>www.tsip.ai/claim/</v>
      </c>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110" t="str">
        <f t="shared" si="1"/>
        <v>www.tsip.ai/claim/</v>
      </c>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110" t="str">
        <f t="shared" si="1"/>
        <v>www.tsip.ai/claim/</v>
      </c>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110" t="str">
        <f t="shared" si="1"/>
        <v>www.tsip.ai/claim/</v>
      </c>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110" t="str">
        <f t="shared" si="1"/>
        <v>www.tsip.ai/claim/</v>
      </c>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110" t="str">
        <f t="shared" si="1"/>
        <v>www.tsip.ai/claim/</v>
      </c>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110" t="str">
        <f t="shared" si="1"/>
        <v>www.tsip.ai/claim/</v>
      </c>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110" t="str">
        <f t="shared" si="1"/>
        <v>www.tsip.ai/claim/</v>
      </c>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110" t="str">
        <f t="shared" si="1"/>
        <v>www.tsip.ai/claim/</v>
      </c>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110" t="str">
        <f t="shared" si="1"/>
        <v>www.tsip.ai/claim/</v>
      </c>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110" t="str">
        <f t="shared" si="1"/>
        <v>www.tsip.ai/claim/</v>
      </c>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110" t="str">
        <f t="shared" si="1"/>
        <v>www.tsip.ai/claim/</v>
      </c>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110" t="str">
        <f t="shared" si="1"/>
        <v>www.tsip.ai/claim/</v>
      </c>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110" t="str">
        <f t="shared" si="1"/>
        <v>www.tsip.ai/claim/</v>
      </c>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110" t="str">
        <f t="shared" si="1"/>
        <v>www.tsip.ai/claim/</v>
      </c>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110" t="str">
        <f t="shared" si="1"/>
        <v>www.tsip.ai/claim/</v>
      </c>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110" t="str">
        <f t="shared" si="1"/>
        <v>www.tsip.ai/claim/</v>
      </c>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110" t="str">
        <f t="shared" si="1"/>
        <v>www.tsip.ai/claim/</v>
      </c>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110" t="str">
        <f t="shared" si="1"/>
        <v>www.tsip.ai/claim/</v>
      </c>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110" t="str">
        <f t="shared" si="1"/>
        <v>www.tsip.ai/claim/</v>
      </c>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110" t="str">
        <f t="shared" si="1"/>
        <v>www.tsip.ai/claim/</v>
      </c>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110" t="str">
        <f t="shared" si="1"/>
        <v>www.tsip.ai/claim/</v>
      </c>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110" t="str">
        <f t="shared" si="1"/>
        <v>www.tsip.ai/claim/</v>
      </c>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110" t="str">
        <f t="shared" si="1"/>
        <v>www.tsip.ai/claim/</v>
      </c>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110" t="str">
        <f t="shared" si="1"/>
        <v>www.tsip.ai/claim/</v>
      </c>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110" t="str">
        <f t="shared" si="1"/>
        <v>www.tsip.ai/claim/</v>
      </c>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110" t="str">
        <f t="shared" si="1"/>
        <v>www.tsip.ai/claim/</v>
      </c>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110" t="str">
        <f t="shared" si="1"/>
        <v>www.tsip.ai/claim/</v>
      </c>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110" t="str">
        <f t="shared" si="1"/>
        <v>www.tsip.ai/claim/</v>
      </c>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110" t="str">
        <f t="shared" si="1"/>
        <v>www.tsip.ai/claim/</v>
      </c>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110" t="str">
        <f t="shared" si="1"/>
        <v>www.tsip.ai/claim/</v>
      </c>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110" t="str">
        <f t="shared" si="1"/>
        <v>www.tsip.ai/claim/</v>
      </c>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110" t="str">
        <f t="shared" si="1"/>
        <v>www.tsip.ai/claim/</v>
      </c>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110" t="str">
        <f t="shared" si="1"/>
        <v>www.tsip.ai/claim/</v>
      </c>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110" t="str">
        <f t="shared" si="1"/>
        <v>www.tsip.ai/claim/</v>
      </c>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110" t="str">
        <f t="shared" si="1"/>
        <v>www.tsip.ai/claim/</v>
      </c>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110" t="str">
        <f t="shared" si="1"/>
        <v>www.tsip.ai/claim/</v>
      </c>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110" t="str">
        <f t="shared" si="1"/>
        <v>www.tsip.ai/claim/</v>
      </c>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110" t="str">
        <f t="shared" si="1"/>
        <v>www.tsip.ai/claim/</v>
      </c>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110" t="str">
        <f t="shared" si="1"/>
        <v>www.tsip.ai/claim/</v>
      </c>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110" t="str">
        <f t="shared" si="1"/>
        <v>www.tsip.ai/claim/</v>
      </c>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110" t="str">
        <f t="shared" si="1"/>
        <v>www.tsip.ai/claim/</v>
      </c>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110" t="str">
        <f t="shared" si="1"/>
        <v>www.tsip.ai/claim/</v>
      </c>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110" t="str">
        <f t="shared" si="1"/>
        <v>www.tsip.ai/claim/</v>
      </c>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110" t="str">
        <f t="shared" si="1"/>
        <v>www.tsip.ai/claim/</v>
      </c>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110" t="str">
        <f t="shared" si="1"/>
        <v>www.tsip.ai/claim/</v>
      </c>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110" t="str">
        <f t="shared" si="1"/>
        <v>www.tsip.ai/claim/</v>
      </c>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110" t="str">
        <f t="shared" si="1"/>
        <v>www.tsip.ai/claim/</v>
      </c>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110" t="str">
        <f t="shared" si="1"/>
        <v>www.tsip.ai/claim/</v>
      </c>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110" t="str">
        <f t="shared" si="1"/>
        <v>www.tsip.ai/claim/</v>
      </c>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110" t="str">
        <f t="shared" si="1"/>
        <v>www.tsip.ai/claim/</v>
      </c>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110" t="str">
        <f t="shared" si="1"/>
        <v>www.tsip.ai/claim/</v>
      </c>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110" t="str">
        <f t="shared" si="1"/>
        <v>www.tsip.ai/claim/</v>
      </c>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110" t="str">
        <f t="shared" si="1"/>
        <v>www.tsip.ai/claim/</v>
      </c>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110" t="str">
        <f t="shared" si="1"/>
        <v>www.tsip.ai/claim/</v>
      </c>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110" t="str">
        <f t="shared" si="1"/>
        <v>www.tsip.ai/claim/</v>
      </c>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110" t="str">
        <f t="shared" si="1"/>
        <v>www.tsip.ai/claim/</v>
      </c>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110" t="str">
        <f t="shared" si="1"/>
        <v>www.tsip.ai/claim/</v>
      </c>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110" t="str">
        <f t="shared" si="1"/>
        <v>www.tsip.ai/claim/</v>
      </c>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110" t="str">
        <f t="shared" si="1"/>
        <v>www.tsip.ai/claim/</v>
      </c>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110" t="str">
        <f t="shared" si="1"/>
        <v>www.tsip.ai/claim/</v>
      </c>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110" t="str">
        <f t="shared" si="1"/>
        <v>www.tsip.ai/claim/</v>
      </c>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110" t="str">
        <f t="shared" si="1"/>
        <v>www.tsip.ai/claim/</v>
      </c>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110" t="str">
        <f t="shared" si="1"/>
        <v>www.tsip.ai/claim/</v>
      </c>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110" t="str">
        <f t="shared" si="1"/>
        <v>www.tsip.ai/claim/</v>
      </c>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110" t="str">
        <f t="shared" si="1"/>
        <v>www.tsip.ai/claim/</v>
      </c>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110" t="str">
        <f t="shared" si="1"/>
        <v>www.tsip.ai/claim/</v>
      </c>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110" t="str">
        <f t="shared" si="1"/>
        <v>www.tsip.ai/claim/</v>
      </c>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110" t="str">
        <f t="shared" si="1"/>
        <v>www.tsip.ai/claim/</v>
      </c>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110" t="str">
        <f t="shared" si="1"/>
        <v>www.tsip.ai/claim/</v>
      </c>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110" t="str">
        <f t="shared" si="1"/>
        <v>www.tsip.ai/claim/</v>
      </c>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110" t="str">
        <f t="shared" si="1"/>
        <v>www.tsip.ai/claim/</v>
      </c>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110" t="str">
        <f t="shared" si="1"/>
        <v>www.tsip.ai/claim/</v>
      </c>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110" t="str">
        <f t="shared" si="1"/>
        <v>www.tsip.ai/claim/</v>
      </c>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110" t="str">
        <f t="shared" si="1"/>
        <v>www.tsip.ai/claim/</v>
      </c>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110" t="str">
        <f t="shared" si="1"/>
        <v>www.tsip.ai/claim/</v>
      </c>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110" t="str">
        <f t="shared" si="1"/>
        <v>www.tsip.ai/claim/</v>
      </c>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110" t="str">
        <f t="shared" si="1"/>
        <v>www.tsip.ai/claim/</v>
      </c>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110" t="str">
        <f t="shared" si="1"/>
        <v>www.tsip.ai/claim/</v>
      </c>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110" t="str">
        <f t="shared" si="1"/>
        <v>www.tsip.ai/claim/</v>
      </c>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110" t="str">
        <f t="shared" si="1"/>
        <v>www.tsip.ai/claim/</v>
      </c>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110" t="str">
        <f t="shared" si="1"/>
        <v>www.tsip.ai/claim/</v>
      </c>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110" t="str">
        <f t="shared" si="1"/>
        <v>www.tsip.ai/claim/</v>
      </c>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110" t="str">
        <f t="shared" si="1"/>
        <v>www.tsip.ai/claim/</v>
      </c>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110" t="str">
        <f t="shared" si="1"/>
        <v>www.tsip.ai/claim/</v>
      </c>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110" t="str">
        <f t="shared" si="1"/>
        <v>www.tsip.ai/claim/</v>
      </c>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110" t="str">
        <f t="shared" si="1"/>
        <v>www.tsip.ai/claim/</v>
      </c>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110" t="str">
        <f t="shared" si="1"/>
        <v>www.tsip.ai/claim/</v>
      </c>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110" t="str">
        <f t="shared" si="1"/>
        <v>www.tsip.ai/claim/</v>
      </c>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110" t="str">
        <f t="shared" si="1"/>
        <v>www.tsip.ai/claim/</v>
      </c>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110" t="str">
        <f t="shared" si="1"/>
        <v>www.tsip.ai/claim/</v>
      </c>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110" t="str">
        <f t="shared" si="1"/>
        <v>www.tsip.ai/claim/</v>
      </c>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110" t="str">
        <f t="shared" si="1"/>
        <v>www.tsip.ai/claim/</v>
      </c>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110" t="str">
        <f t="shared" si="1"/>
        <v>www.tsip.ai/claim/</v>
      </c>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110" t="str">
        <f t="shared" si="1"/>
        <v>www.tsip.ai/claim/</v>
      </c>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110" t="str">
        <f t="shared" si="1"/>
        <v>www.tsip.ai/claim/</v>
      </c>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110" t="str">
        <f t="shared" si="1"/>
        <v>www.tsip.ai/claim/</v>
      </c>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110" t="str">
        <f t="shared" si="1"/>
        <v>www.tsip.ai/claim/</v>
      </c>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110" t="str">
        <f t="shared" si="1"/>
        <v>www.tsip.ai/claim/</v>
      </c>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110" t="str">
        <f t="shared" si="1"/>
        <v>www.tsip.ai/claim/</v>
      </c>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110" t="str">
        <f t="shared" si="1"/>
        <v>www.tsip.ai/claim/</v>
      </c>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110" t="str">
        <f t="shared" si="1"/>
        <v>www.tsip.ai/claim/</v>
      </c>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110" t="str">
        <f t="shared" si="1"/>
        <v>www.tsip.ai/claim/</v>
      </c>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110" t="str">
        <f t="shared" si="1"/>
        <v>www.tsip.ai/claim/</v>
      </c>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110" t="str">
        <f t="shared" si="1"/>
        <v>www.tsip.ai/claim/</v>
      </c>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110" t="str">
        <f t="shared" si="1"/>
        <v>www.tsip.ai/claim/</v>
      </c>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110" t="str">
        <f t="shared" si="1"/>
        <v>www.tsip.ai/claim/</v>
      </c>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110" t="str">
        <f t="shared" si="1"/>
        <v>www.tsip.ai/claim/</v>
      </c>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110" t="str">
        <f t="shared" si="1"/>
        <v>www.tsip.ai/claim/</v>
      </c>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110" t="str">
        <f t="shared" si="1"/>
        <v>www.tsip.ai/claim/</v>
      </c>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110" t="str">
        <f t="shared" si="1"/>
        <v>www.tsip.ai/claim/</v>
      </c>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110" t="str">
        <f t="shared" si="1"/>
        <v>www.tsip.ai/claim/</v>
      </c>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110" t="str">
        <f t="shared" si="1"/>
        <v>www.tsip.ai/claim/</v>
      </c>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110" t="str">
        <f t="shared" si="1"/>
        <v>www.tsip.ai/claim/</v>
      </c>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110" t="str">
        <f t="shared" si="1"/>
        <v>www.tsip.ai/claim/</v>
      </c>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110" t="str">
        <f t="shared" si="1"/>
        <v>www.tsip.ai/claim/</v>
      </c>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110" t="str">
        <f t="shared" si="1"/>
        <v>www.tsip.ai/claim/</v>
      </c>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110" t="str">
        <f t="shared" si="1"/>
        <v>www.tsip.ai/claim/</v>
      </c>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110" t="str">
        <f t="shared" si="1"/>
        <v>www.tsip.ai/claim/</v>
      </c>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110" t="str">
        <f t="shared" si="1"/>
        <v>www.tsip.ai/claim/</v>
      </c>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110" t="str">
        <f t="shared" si="1"/>
        <v>www.tsip.ai/claim/</v>
      </c>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110" t="str">
        <f t="shared" si="1"/>
        <v>www.tsip.ai/claim/</v>
      </c>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110" t="str">
        <f t="shared" si="1"/>
        <v>www.tsip.ai/claim/</v>
      </c>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110" t="str">
        <f t="shared" si="1"/>
        <v>www.tsip.ai/claim/</v>
      </c>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110" t="str">
        <f t="shared" si="1"/>
        <v>www.tsip.ai/claim/</v>
      </c>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110" t="str">
        <f t="shared" si="1"/>
        <v>www.tsip.ai/claim/</v>
      </c>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110" t="str">
        <f t="shared" si="1"/>
        <v>www.tsip.ai/claim/</v>
      </c>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110" t="str">
        <f t="shared" si="1"/>
        <v>www.tsip.ai/claim/</v>
      </c>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110" t="str">
        <f t="shared" si="1"/>
        <v>www.tsip.ai/claim/</v>
      </c>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110" t="str">
        <f t="shared" si="1"/>
        <v>www.tsip.ai/claim/</v>
      </c>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110" t="str">
        <f t="shared" si="1"/>
        <v>www.tsip.ai/claim/</v>
      </c>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110" t="str">
        <f t="shared" si="1"/>
        <v>www.tsip.ai/claim/</v>
      </c>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110" t="str">
        <f t="shared" si="1"/>
        <v>www.tsip.ai/claim/</v>
      </c>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110" t="str">
        <f t="shared" si="1"/>
        <v>www.tsip.ai/claim/</v>
      </c>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110" t="str">
        <f t="shared" si="1"/>
        <v>www.tsip.ai/claim/</v>
      </c>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110" t="str">
        <f t="shared" si="1"/>
        <v>www.tsip.ai/claim/</v>
      </c>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110" t="str">
        <f t="shared" si="1"/>
        <v>www.tsip.ai/claim/</v>
      </c>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110" t="str">
        <f t="shared" si="1"/>
        <v>www.tsip.ai/claim/</v>
      </c>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110" t="str">
        <f t="shared" si="1"/>
        <v>www.tsip.ai/claim/</v>
      </c>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110" t="str">
        <f t="shared" si="1"/>
        <v>www.tsip.ai/claim/</v>
      </c>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110" t="str">
        <f t="shared" si="1"/>
        <v>www.tsip.ai/claim/</v>
      </c>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110" t="str">
        <f t="shared" si="1"/>
        <v>www.tsip.ai/claim/</v>
      </c>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110" t="str">
        <f t="shared" si="1"/>
        <v>www.tsip.ai/claim/</v>
      </c>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110" t="str">
        <f t="shared" si="1"/>
        <v>www.tsip.ai/claim/</v>
      </c>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110" t="str">
        <f t="shared" si="1"/>
        <v>www.tsip.ai/claim/</v>
      </c>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110" t="str">
        <f t="shared" si="1"/>
        <v>www.tsip.ai/claim/</v>
      </c>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110" t="str">
        <f t="shared" si="1"/>
        <v>www.tsip.ai/claim/</v>
      </c>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110" t="str">
        <f t="shared" si="1"/>
        <v>www.tsip.ai/claim/</v>
      </c>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110" t="str">
        <f t="shared" si="1"/>
        <v>www.tsip.ai/claim/</v>
      </c>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110" t="str">
        <f t="shared" si="1"/>
        <v>www.tsip.ai/claim/</v>
      </c>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110" t="str">
        <f t="shared" si="1"/>
        <v>www.tsip.ai/claim/</v>
      </c>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110" t="str">
        <f t="shared" si="1"/>
        <v>www.tsip.ai/claim/</v>
      </c>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110" t="str">
        <f t="shared" si="1"/>
        <v>www.tsip.ai/claim/</v>
      </c>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110" t="str">
        <f t="shared" si="1"/>
        <v>www.tsip.ai/claim/</v>
      </c>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110" t="str">
        <f t="shared" si="1"/>
        <v>www.tsip.ai/claim/</v>
      </c>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110" t="str">
        <f t="shared" si="1"/>
        <v>www.tsip.ai/claim/</v>
      </c>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110" t="str">
        <f t="shared" si="1"/>
        <v>www.tsip.ai/claim/</v>
      </c>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110" t="str">
        <f t="shared" si="1"/>
        <v>www.tsip.ai/claim/</v>
      </c>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110" t="str">
        <f t="shared" si="1"/>
        <v>www.tsip.ai/claim/</v>
      </c>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110" t="str">
        <f t="shared" si="1"/>
        <v>www.tsip.ai/claim/</v>
      </c>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110" t="str">
        <f t="shared" si="1"/>
        <v>www.tsip.ai/claim/</v>
      </c>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110" t="str">
        <f t="shared" si="1"/>
        <v>www.tsip.ai/claim/</v>
      </c>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110" t="str">
        <f t="shared" si="1"/>
        <v>www.tsip.ai/claim/</v>
      </c>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110" t="str">
        <f t="shared" si="1"/>
        <v>www.tsip.ai/claim/</v>
      </c>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110" t="str">
        <f t="shared" si="1"/>
        <v>www.tsip.ai/claim/</v>
      </c>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110" t="str">
        <f t="shared" si="1"/>
        <v>www.tsip.ai/claim/</v>
      </c>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110" t="str">
        <f t="shared" si="1"/>
        <v>www.tsip.ai/claim/</v>
      </c>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110" t="str">
        <f t="shared" si="1"/>
        <v>www.tsip.ai/claim/</v>
      </c>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110" t="str">
        <f t="shared" si="1"/>
        <v>www.tsip.ai/claim/</v>
      </c>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110" t="str">
        <f t="shared" si="1"/>
        <v>www.tsip.ai/claim/</v>
      </c>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110" t="str">
        <f t="shared" si="1"/>
        <v>www.tsip.ai/claim/</v>
      </c>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110" t="str">
        <f t="shared" si="1"/>
        <v>www.tsip.ai/claim/</v>
      </c>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110" t="str">
        <f t="shared" si="1"/>
        <v>www.tsip.ai/claim/</v>
      </c>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110" t="str">
        <f t="shared" si="1"/>
        <v>www.tsip.ai/claim/</v>
      </c>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110" t="str">
        <f t="shared" si="1"/>
        <v>www.tsip.ai/claim/</v>
      </c>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110" t="str">
        <f t="shared" si="1"/>
        <v>www.tsip.ai/claim/</v>
      </c>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110" t="str">
        <f t="shared" si="1"/>
        <v>www.tsip.ai/claim/</v>
      </c>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110" t="str">
        <f t="shared" si="1"/>
        <v>www.tsip.ai/claim/</v>
      </c>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110" t="str">
        <f t="shared" si="1"/>
        <v>www.tsip.ai/claim/</v>
      </c>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110" t="str">
        <f t="shared" si="1"/>
        <v>www.tsip.ai/claim/</v>
      </c>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110" t="str">
        <f t="shared" si="1"/>
        <v>www.tsip.ai/claim/</v>
      </c>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110" t="str">
        <f t="shared" si="1"/>
        <v>www.tsip.ai/claim/</v>
      </c>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110" t="str">
        <f t="shared" si="1"/>
        <v>www.tsip.ai/claim/</v>
      </c>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110" t="str">
        <f t="shared" si="1"/>
        <v>www.tsip.ai/claim/</v>
      </c>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110" t="str">
        <f t="shared" si="1"/>
        <v>www.tsip.ai/claim/</v>
      </c>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110" t="str">
        <f t="shared" si="1"/>
        <v>www.tsip.ai/claim/</v>
      </c>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110" t="str">
        <f t="shared" si="1"/>
        <v>www.tsip.ai/claim/</v>
      </c>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110" t="str">
        <f t="shared" si="1"/>
        <v>www.tsip.ai/claim/</v>
      </c>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110" t="str">
        <f t="shared" si="1"/>
        <v>www.tsip.ai/claim/</v>
      </c>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110" t="str">
        <f t="shared" si="1"/>
        <v>www.tsip.ai/claim/</v>
      </c>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110" t="str">
        <f t="shared" si="1"/>
        <v>www.tsip.ai/claim/</v>
      </c>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110" t="str">
        <f t="shared" si="1"/>
        <v>www.tsip.ai/claim/</v>
      </c>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110" t="str">
        <f t="shared" si="1"/>
        <v>www.tsip.ai/claim/</v>
      </c>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110" t="str">
        <f t="shared" si="1"/>
        <v>www.tsip.ai/claim/</v>
      </c>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110" t="str">
        <f t="shared" si="1"/>
        <v>www.tsip.ai/claim/</v>
      </c>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110" t="str">
        <f t="shared" si="1"/>
        <v>www.tsip.ai/claim/</v>
      </c>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110" t="str">
        <f t="shared" si="1"/>
        <v>www.tsip.ai/claim/</v>
      </c>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110" t="str">
        <f t="shared" si="1"/>
        <v>www.tsip.ai/claim/</v>
      </c>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110" t="str">
        <f t="shared" si="1"/>
        <v>www.tsip.ai/claim/</v>
      </c>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110" t="str">
        <f t="shared" si="1"/>
        <v>www.tsip.ai/claim/</v>
      </c>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110" t="str">
        <f t="shared" si="1"/>
        <v>www.tsip.ai/claim/</v>
      </c>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110" t="str">
        <f t="shared" si="1"/>
        <v>www.tsip.ai/claim/</v>
      </c>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110" t="str">
        <f t="shared" si="1"/>
        <v>www.tsip.ai/claim/</v>
      </c>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110" t="str">
        <f t="shared" si="1"/>
        <v>www.tsip.ai/claim/</v>
      </c>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110" t="str">
        <f t="shared" si="1"/>
        <v>www.tsip.ai/claim/</v>
      </c>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110" t="str">
        <f t="shared" si="1"/>
        <v>www.tsip.ai/claim/</v>
      </c>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110" t="str">
        <f t="shared" si="1"/>
        <v>www.tsip.ai/claim/</v>
      </c>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110" t="str">
        <f t="shared" si="1"/>
        <v>www.tsip.ai/claim/</v>
      </c>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110" t="str">
        <f t="shared" si="1"/>
        <v>www.tsip.ai/claim/</v>
      </c>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110" t="str">
        <f t="shared" si="1"/>
        <v>www.tsip.ai/claim/</v>
      </c>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110" t="str">
        <f t="shared" si="1"/>
        <v>www.tsip.ai/claim/</v>
      </c>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110" t="str">
        <f t="shared" si="1"/>
        <v>www.tsip.ai/claim/</v>
      </c>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110" t="str">
        <f t="shared" si="1"/>
        <v>www.tsip.ai/claim/</v>
      </c>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110" t="str">
        <f t="shared" si="1"/>
        <v>www.tsip.ai/claim/</v>
      </c>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110" t="str">
        <f t="shared" si="1"/>
        <v>www.tsip.ai/claim/</v>
      </c>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110" t="str">
        <f t="shared" si="1"/>
        <v>www.tsip.ai/claim/</v>
      </c>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110" t="str">
        <f t="shared" si="1"/>
        <v>www.tsip.ai/claim/</v>
      </c>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110" t="str">
        <f t="shared" si="1"/>
        <v>www.tsip.ai/claim/</v>
      </c>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110" t="str">
        <f t="shared" si="1"/>
        <v>www.tsip.ai/claim/</v>
      </c>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110" t="str">
        <f t="shared" si="1"/>
        <v>www.tsip.ai/claim/</v>
      </c>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110" t="str">
        <f t="shared" si="1"/>
        <v>www.tsip.ai/claim/</v>
      </c>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110" t="str">
        <f t="shared" si="1"/>
        <v>www.tsip.ai/claim/</v>
      </c>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110" t="str">
        <f t="shared" si="1"/>
        <v>www.tsip.ai/claim/</v>
      </c>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110" t="str">
        <f t="shared" si="1"/>
        <v>www.tsip.ai/claim/</v>
      </c>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110" t="str">
        <f t="shared" si="1"/>
        <v>www.tsip.ai/claim/</v>
      </c>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110" t="str">
        <f t="shared" si="1"/>
        <v>www.tsip.ai/claim/</v>
      </c>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110" t="str">
        <f t="shared" si="1"/>
        <v>www.tsip.ai/claim/</v>
      </c>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110" t="str">
        <f t="shared" si="1"/>
        <v>www.tsip.ai/claim/</v>
      </c>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110" t="str">
        <f t="shared" si="1"/>
        <v>www.tsip.ai/claim/</v>
      </c>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110" t="str">
        <f t="shared" si="1"/>
        <v>www.tsip.ai/claim/</v>
      </c>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110" t="str">
        <f t="shared" si="1"/>
        <v>www.tsip.ai/claim/</v>
      </c>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110" t="str">
        <f t="shared" si="1"/>
        <v>www.tsip.ai/claim/</v>
      </c>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110" t="str">
        <f t="shared" si="1"/>
        <v>www.tsip.ai/claim/</v>
      </c>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110" t="str">
        <f t="shared" si="1"/>
        <v>www.tsip.ai/claim/</v>
      </c>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110" t="str">
        <f t="shared" si="1"/>
        <v>www.tsip.ai/claim/</v>
      </c>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110" t="str">
        <f t="shared" si="1"/>
        <v>www.tsip.ai/claim/</v>
      </c>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110" t="str">
        <f t="shared" si="1"/>
        <v>www.tsip.ai/claim/</v>
      </c>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110" t="str">
        <f t="shared" si="1"/>
        <v>www.tsip.ai/claim/</v>
      </c>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110" t="str">
        <f t="shared" si="1"/>
        <v>www.tsip.ai/claim/</v>
      </c>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110" t="str">
        <f t="shared" si="1"/>
        <v>www.tsip.ai/claim/</v>
      </c>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110" t="str">
        <f t="shared" si="1"/>
        <v>www.tsip.ai/claim/</v>
      </c>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110" t="str">
        <f t="shared" si="1"/>
        <v>www.tsip.ai/claim/</v>
      </c>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110" t="str">
        <f t="shared" si="1"/>
        <v>www.tsip.ai/claim/</v>
      </c>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110" t="str">
        <f t="shared" si="1"/>
        <v>www.tsip.ai/claim/</v>
      </c>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110" t="str">
        <f t="shared" si="1"/>
        <v>www.tsip.ai/claim/</v>
      </c>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110" t="str">
        <f t="shared" si="1"/>
        <v>www.tsip.ai/claim/</v>
      </c>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110" t="str">
        <f t="shared" si="1"/>
        <v>www.tsip.ai/claim/</v>
      </c>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110" t="str">
        <f t="shared" si="1"/>
        <v>www.tsip.ai/claim/</v>
      </c>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110" t="str">
        <f t="shared" si="1"/>
        <v>www.tsip.ai/claim/</v>
      </c>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110" t="str">
        <f t="shared" si="1"/>
        <v>www.tsip.ai/claim/</v>
      </c>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110" t="str">
        <f t="shared" si="1"/>
        <v>www.tsip.ai/claim/</v>
      </c>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110" t="str">
        <f t="shared" si="1"/>
        <v>www.tsip.ai/claim/</v>
      </c>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110" t="str">
        <f t="shared" si="1"/>
        <v>www.tsip.ai/claim/</v>
      </c>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110" t="str">
        <f t="shared" si="1"/>
        <v>www.tsip.ai/claim/</v>
      </c>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110" t="str">
        <f t="shared" si="1"/>
        <v>www.tsip.ai/claim/</v>
      </c>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110" t="str">
        <f t="shared" si="1"/>
        <v>www.tsip.ai/claim/</v>
      </c>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110" t="str">
        <f t="shared" si="1"/>
        <v>www.tsip.ai/claim/</v>
      </c>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110" t="str">
        <f t="shared" si="1"/>
        <v>www.tsip.ai/claim/</v>
      </c>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110" t="str">
        <f t="shared" si="1"/>
        <v>www.tsip.ai/claim/</v>
      </c>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110" t="str">
        <f t="shared" si="1"/>
        <v>www.tsip.ai/claim/</v>
      </c>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110" t="str">
        <f t="shared" si="1"/>
        <v>www.tsip.ai/claim/</v>
      </c>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110" t="str">
        <f t="shared" si="1"/>
        <v>www.tsip.ai/claim/</v>
      </c>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110" t="str">
        <f t="shared" si="1"/>
        <v>www.tsip.ai/claim/</v>
      </c>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110" t="str">
        <f t="shared" si="1"/>
        <v>www.tsip.ai/claim/</v>
      </c>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110" t="str">
        <f t="shared" si="1"/>
        <v>www.tsip.ai/claim/</v>
      </c>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110" t="str">
        <f t="shared" si="1"/>
        <v>www.tsip.ai/claim/</v>
      </c>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110" t="str">
        <f t="shared" si="1"/>
        <v>www.tsip.ai/claim/</v>
      </c>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110" t="str">
        <f t="shared" si="1"/>
        <v>www.tsip.ai/claim/</v>
      </c>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110" t="str">
        <f t="shared" si="1"/>
        <v>www.tsip.ai/claim/</v>
      </c>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110" t="str">
        <f t="shared" si="1"/>
        <v>www.tsip.ai/claim/</v>
      </c>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110" t="str">
        <f t="shared" si="1"/>
        <v>www.tsip.ai/claim/</v>
      </c>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110" t="str">
        <f t="shared" si="1"/>
        <v>www.tsip.ai/claim/</v>
      </c>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110" t="str">
        <f t="shared" si="1"/>
        <v>www.tsip.ai/claim/</v>
      </c>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110" t="str">
        <f t="shared" si="1"/>
        <v>www.tsip.ai/claim/</v>
      </c>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110" t="str">
        <f t="shared" si="1"/>
        <v>www.tsip.ai/claim/</v>
      </c>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110" t="str">
        <f t="shared" si="1"/>
        <v>www.tsip.ai/claim/</v>
      </c>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110" t="str">
        <f t="shared" si="1"/>
        <v>www.tsip.ai/claim/</v>
      </c>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110" t="str">
        <f t="shared" si="1"/>
        <v>www.tsip.ai/claim/</v>
      </c>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110" t="str">
        <f t="shared" si="1"/>
        <v>www.tsip.ai/claim/</v>
      </c>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110" t="str">
        <f t="shared" si="1"/>
        <v>www.tsip.ai/claim/</v>
      </c>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110" t="str">
        <f t="shared" si="1"/>
        <v>www.tsip.ai/claim/</v>
      </c>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110" t="str">
        <f t="shared" si="1"/>
        <v>www.tsip.ai/claim/</v>
      </c>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110" t="str">
        <f t="shared" si="1"/>
        <v>www.tsip.ai/claim/</v>
      </c>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110" t="str">
        <f t="shared" si="1"/>
        <v>www.tsip.ai/claim/</v>
      </c>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110" t="str">
        <f t="shared" si="1"/>
        <v>www.tsip.ai/claim/</v>
      </c>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110" t="str">
        <f t="shared" si="1"/>
        <v>www.tsip.ai/claim/</v>
      </c>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110" t="str">
        <f t="shared" si="1"/>
        <v>www.tsip.ai/claim/</v>
      </c>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110" t="str">
        <f t="shared" si="1"/>
        <v>www.tsip.ai/claim/</v>
      </c>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110" t="str">
        <f t="shared" si="1"/>
        <v>www.tsip.ai/claim/</v>
      </c>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110" t="str">
        <f t="shared" si="1"/>
        <v>www.tsip.ai/claim/</v>
      </c>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110" t="str">
        <f t="shared" si="1"/>
        <v>www.tsip.ai/claim/</v>
      </c>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110" t="str">
        <f t="shared" si="1"/>
        <v>www.tsip.ai/claim/</v>
      </c>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110" t="str">
        <f t="shared" si="1"/>
        <v>www.tsip.ai/claim/</v>
      </c>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110" t="str">
        <f t="shared" si="1"/>
        <v>www.tsip.ai/claim/</v>
      </c>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110" t="str">
        <f t="shared" si="1"/>
        <v>www.tsip.ai/claim/</v>
      </c>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110" t="str">
        <f t="shared" si="1"/>
        <v>www.tsip.ai/claim/</v>
      </c>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110" t="str">
        <f t="shared" si="1"/>
        <v>www.tsip.ai/claim/</v>
      </c>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110" t="str">
        <f t="shared" si="1"/>
        <v>www.tsip.ai/claim/</v>
      </c>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110" t="str">
        <f t="shared" si="1"/>
        <v>www.tsip.ai/claim/</v>
      </c>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110" t="str">
        <f t="shared" si="1"/>
        <v>www.tsip.ai/claim/</v>
      </c>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110" t="str">
        <f t="shared" si="1"/>
        <v>www.tsip.ai/claim/</v>
      </c>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110" t="str">
        <f t="shared" si="1"/>
        <v>www.tsip.ai/claim/</v>
      </c>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110" t="str">
        <f t="shared" si="1"/>
        <v>www.tsip.ai/claim/</v>
      </c>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110" t="str">
        <f t="shared" si="1"/>
        <v>www.tsip.ai/claim/</v>
      </c>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110" t="str">
        <f t="shared" si="1"/>
        <v>www.tsip.ai/claim/</v>
      </c>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110" t="str">
        <f t="shared" si="1"/>
        <v>www.tsip.ai/claim/</v>
      </c>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110" t="str">
        <f t="shared" si="1"/>
        <v>www.tsip.ai/claim/</v>
      </c>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110" t="str">
        <f t="shared" si="1"/>
        <v>www.tsip.ai/claim/</v>
      </c>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110" t="str">
        <f t="shared" si="1"/>
        <v>www.tsip.ai/claim/</v>
      </c>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110" t="str">
        <f t="shared" si="1"/>
        <v>www.tsip.ai/claim/</v>
      </c>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110" t="str">
        <f t="shared" si="1"/>
        <v>www.tsip.ai/claim/</v>
      </c>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110" t="str">
        <f t="shared" si="1"/>
        <v>www.tsip.ai/claim/</v>
      </c>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110" t="str">
        <f t="shared" si="1"/>
        <v>www.tsip.ai/claim/</v>
      </c>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110" t="str">
        <f t="shared" si="1"/>
        <v>www.tsip.ai/claim/</v>
      </c>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110" t="str">
        <f t="shared" si="1"/>
        <v>www.tsip.ai/claim/</v>
      </c>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110" t="str">
        <f t="shared" si="1"/>
        <v>www.tsip.ai/claim/</v>
      </c>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110" t="str">
        <f t="shared" si="1"/>
        <v>www.tsip.ai/claim/</v>
      </c>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110" t="str">
        <f t="shared" si="1"/>
        <v>www.tsip.ai/claim/</v>
      </c>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110" t="str">
        <f t="shared" si="1"/>
        <v>www.tsip.ai/claim/</v>
      </c>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110" t="str">
        <f t="shared" si="1"/>
        <v>www.tsip.ai/claim/</v>
      </c>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110" t="str">
        <f t="shared" si="1"/>
        <v>www.tsip.ai/claim/</v>
      </c>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110" t="str">
        <f t="shared" si="1"/>
        <v>www.tsip.ai/claim/</v>
      </c>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110" t="str">
        <f t="shared" si="1"/>
        <v>www.tsip.ai/claim/</v>
      </c>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110" t="str">
        <f t="shared" si="1"/>
        <v>www.tsip.ai/claim/</v>
      </c>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110" t="str">
        <f t="shared" si="1"/>
        <v>www.tsip.ai/claim/</v>
      </c>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110" t="str">
        <f t="shared" si="1"/>
        <v>www.tsip.ai/claim/</v>
      </c>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110" t="str">
        <f t="shared" si="1"/>
        <v>www.tsip.ai/claim/</v>
      </c>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110" t="str">
        <f t="shared" si="1"/>
        <v>www.tsip.ai/claim/</v>
      </c>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110" t="str">
        <f t="shared" si="1"/>
        <v>www.tsip.ai/claim/</v>
      </c>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110" t="str">
        <f t="shared" si="1"/>
        <v>www.tsip.ai/claim/</v>
      </c>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110" t="str">
        <f t="shared" si="1"/>
        <v>www.tsip.ai/claim/</v>
      </c>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110" t="str">
        <f t="shared" si="1"/>
        <v>www.tsip.ai/claim/</v>
      </c>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110" t="str">
        <f t="shared" si="1"/>
        <v>www.tsip.ai/claim/</v>
      </c>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110" t="str">
        <f t="shared" si="1"/>
        <v>www.tsip.ai/claim/</v>
      </c>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110" t="str">
        <f t="shared" si="1"/>
        <v>www.tsip.ai/claim/</v>
      </c>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110" t="str">
        <f t="shared" si="1"/>
        <v>www.tsip.ai/claim/</v>
      </c>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110" t="str">
        <f t="shared" si="1"/>
        <v>www.tsip.ai/claim/</v>
      </c>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110" t="str">
        <f t="shared" si="1"/>
        <v>www.tsip.ai/claim/</v>
      </c>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110" t="str">
        <f t="shared" si="1"/>
        <v>www.tsip.ai/claim/</v>
      </c>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110" t="str">
        <f t="shared" si="1"/>
        <v>www.tsip.ai/claim/</v>
      </c>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110" t="str">
        <f t="shared" si="1"/>
        <v>www.tsip.ai/claim/</v>
      </c>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110" t="str">
        <f t="shared" si="1"/>
        <v>www.tsip.ai/claim/</v>
      </c>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110" t="str">
        <f t="shared" si="1"/>
        <v>www.tsip.ai/claim/</v>
      </c>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110" t="str">
        <f t="shared" si="1"/>
        <v>www.tsip.ai/claim/</v>
      </c>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110" t="str">
        <f t="shared" si="1"/>
        <v>www.tsip.ai/claim/</v>
      </c>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110" t="str">
        <f t="shared" si="1"/>
        <v>www.tsip.ai/claim/</v>
      </c>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110" t="str">
        <f t="shared" si="1"/>
        <v>www.tsip.ai/claim/</v>
      </c>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110" t="str">
        <f t="shared" si="1"/>
        <v>www.tsip.ai/claim/</v>
      </c>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110" t="str">
        <f t="shared" si="1"/>
        <v>www.tsip.ai/claim/</v>
      </c>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110" t="str">
        <f t="shared" si="1"/>
        <v>www.tsip.ai/claim/</v>
      </c>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110" t="str">
        <f t="shared" si="1"/>
        <v>www.tsip.ai/claim/</v>
      </c>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110" t="str">
        <f t="shared" si="1"/>
        <v>www.tsip.ai/claim/</v>
      </c>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110" t="str">
        <f t="shared" si="1"/>
        <v>www.tsip.ai/claim/</v>
      </c>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110" t="str">
        <f t="shared" si="1"/>
        <v>www.tsip.ai/claim/</v>
      </c>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110" t="str">
        <f t="shared" si="1"/>
        <v>www.tsip.ai/claim/</v>
      </c>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110" t="str">
        <f t="shared" si="1"/>
        <v>www.tsip.ai/claim/</v>
      </c>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110" t="str">
        <f t="shared" si="1"/>
        <v>www.tsip.ai/claim/</v>
      </c>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110" t="str">
        <f t="shared" si="1"/>
        <v>www.tsip.ai/claim/</v>
      </c>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110" t="str">
        <f t="shared" si="1"/>
        <v>www.tsip.ai/claim/</v>
      </c>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110" t="str">
        <f t="shared" si="1"/>
        <v>www.tsip.ai/claim/</v>
      </c>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110" t="str">
        <f t="shared" si="1"/>
        <v>www.tsip.ai/claim/</v>
      </c>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110" t="str">
        <f t="shared" si="1"/>
        <v>www.tsip.ai/claim/</v>
      </c>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110" t="str">
        <f t="shared" si="1"/>
        <v>www.tsip.ai/claim/</v>
      </c>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110" t="str">
        <f t="shared" si="1"/>
        <v>www.tsip.ai/claim/</v>
      </c>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110" t="str">
        <f t="shared" si="1"/>
        <v>www.tsip.ai/claim/</v>
      </c>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110" t="str">
        <f t="shared" si="1"/>
        <v>www.tsip.ai/claim/</v>
      </c>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110" t="str">
        <f t="shared" si="1"/>
        <v>www.tsip.ai/claim/</v>
      </c>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110" t="str">
        <f t="shared" si="1"/>
        <v>www.tsip.ai/claim/</v>
      </c>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110" t="str">
        <f t="shared" si="1"/>
        <v>www.tsip.ai/claim/</v>
      </c>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110" t="str">
        <f t="shared" si="1"/>
        <v>www.tsip.ai/claim/</v>
      </c>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110" t="str">
        <f t="shared" si="1"/>
        <v>www.tsip.ai/claim/</v>
      </c>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110" t="str">
        <f t="shared" si="1"/>
        <v>www.tsip.ai/claim/</v>
      </c>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110" t="str">
        <f t="shared" si="1"/>
        <v>www.tsip.ai/claim/</v>
      </c>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110" t="str">
        <f t="shared" si="1"/>
        <v>www.tsip.ai/claim/</v>
      </c>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110" t="str">
        <f t="shared" si="1"/>
        <v>www.tsip.ai/claim/</v>
      </c>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110" t="str">
        <f t="shared" si="1"/>
        <v>www.tsip.ai/claim/</v>
      </c>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110" t="str">
        <f t="shared" si="1"/>
        <v>www.tsip.ai/claim/</v>
      </c>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110" t="str">
        <f t="shared" si="1"/>
        <v>www.tsip.ai/claim/</v>
      </c>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110" t="str">
        <f t="shared" si="1"/>
        <v>www.tsip.ai/claim/</v>
      </c>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110" t="str">
        <f t="shared" si="1"/>
        <v>www.tsip.ai/claim/</v>
      </c>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110" t="str">
        <f t="shared" si="1"/>
        <v>www.tsip.ai/claim/</v>
      </c>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110" t="str">
        <f t="shared" si="1"/>
        <v>www.tsip.ai/claim/</v>
      </c>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110" t="str">
        <f t="shared" si="1"/>
        <v>www.tsip.ai/claim/</v>
      </c>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110" t="str">
        <f t="shared" si="1"/>
        <v>www.tsip.ai/claim/</v>
      </c>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110" t="str">
        <f t="shared" si="1"/>
        <v>www.tsip.ai/claim/</v>
      </c>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110" t="str">
        <f t="shared" si="1"/>
        <v>www.tsip.ai/claim/</v>
      </c>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110" t="str">
        <f t="shared" si="1"/>
        <v>www.tsip.ai/claim/</v>
      </c>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110" t="str">
        <f t="shared" si="1"/>
        <v>www.tsip.ai/claim/</v>
      </c>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110" t="str">
        <f t="shared" si="1"/>
        <v>www.tsip.ai/claim/</v>
      </c>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110" t="str">
        <f t="shared" si="1"/>
        <v>www.tsip.ai/claim/</v>
      </c>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110" t="str">
        <f t="shared" si="1"/>
        <v>www.tsip.ai/claim/</v>
      </c>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110" t="str">
        <f t="shared" si="1"/>
        <v>www.tsip.ai/claim/</v>
      </c>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110" t="str">
        <f t="shared" si="1"/>
        <v>www.tsip.ai/claim/</v>
      </c>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110" t="str">
        <f t="shared" si="1"/>
        <v>www.tsip.ai/claim/</v>
      </c>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110" t="str">
        <f t="shared" si="1"/>
        <v>www.tsip.ai/claim/</v>
      </c>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110" t="str">
        <f t="shared" si="1"/>
        <v>www.tsip.ai/claim/</v>
      </c>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110" t="str">
        <f t="shared" si="1"/>
        <v>www.tsip.ai/claim/</v>
      </c>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110" t="str">
        <f t="shared" si="1"/>
        <v>www.tsip.ai/claim/</v>
      </c>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110" t="str">
        <f t="shared" si="1"/>
        <v>www.tsip.ai/claim/</v>
      </c>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110" t="str">
        <f t="shared" si="1"/>
        <v>www.tsip.ai/claim/</v>
      </c>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110" t="str">
        <f t="shared" si="1"/>
        <v>www.tsip.ai/claim/</v>
      </c>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110" t="str">
        <f t="shared" si="1"/>
        <v>www.tsip.ai/claim/</v>
      </c>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110" t="str">
        <f t="shared" si="1"/>
        <v>www.tsip.ai/claim/</v>
      </c>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110" t="str">
        <f t="shared" si="1"/>
        <v>www.tsip.ai/claim/</v>
      </c>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110" t="str">
        <f t="shared" si="1"/>
        <v>www.tsip.ai/claim/</v>
      </c>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110" t="str">
        <f t="shared" si="1"/>
        <v>www.tsip.ai/claim/</v>
      </c>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110" t="str">
        <f t="shared" si="1"/>
        <v>www.tsip.ai/claim/</v>
      </c>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110" t="str">
        <f t="shared" si="1"/>
        <v>www.tsip.ai/claim/</v>
      </c>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110" t="str">
        <f t="shared" si="1"/>
        <v>www.tsip.ai/claim/</v>
      </c>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110" t="str">
        <f t="shared" si="1"/>
        <v>www.tsip.ai/claim/</v>
      </c>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110" t="str">
        <f t="shared" si="1"/>
        <v>www.tsip.ai/claim/</v>
      </c>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110" t="str">
        <f t="shared" si="1"/>
        <v>www.tsip.ai/claim/</v>
      </c>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110" t="str">
        <f t="shared" si="1"/>
        <v>www.tsip.ai/claim/</v>
      </c>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110" t="str">
        <f t="shared" si="1"/>
        <v>www.tsip.ai/claim/</v>
      </c>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110" t="str">
        <f t="shared" si="1"/>
        <v>www.tsip.ai/claim/</v>
      </c>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110" t="str">
        <f t="shared" si="1"/>
        <v>www.tsip.ai/claim/</v>
      </c>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110" t="str">
        <f t="shared" si="1"/>
        <v>www.tsip.ai/claim/</v>
      </c>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110" t="str">
        <f t="shared" si="1"/>
        <v>www.tsip.ai/claim/</v>
      </c>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110" t="str">
        <f t="shared" si="1"/>
        <v>www.tsip.ai/claim/</v>
      </c>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110" t="str">
        <f t="shared" si="1"/>
        <v>www.tsip.ai/claim/</v>
      </c>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110" t="str">
        <f t="shared" si="1"/>
        <v>www.tsip.ai/claim/</v>
      </c>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110" t="str">
        <f t="shared" si="1"/>
        <v>www.tsip.ai/claim/</v>
      </c>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110" t="str">
        <f t="shared" si="1"/>
        <v>www.tsip.ai/claim/</v>
      </c>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110" t="str">
        <f t="shared" si="1"/>
        <v>www.tsip.ai/claim/</v>
      </c>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110" t="str">
        <f t="shared" si="1"/>
        <v>www.tsip.ai/claim/</v>
      </c>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110" t="str">
        <f t="shared" si="1"/>
        <v>www.tsip.ai/claim/</v>
      </c>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110" t="str">
        <f t="shared" si="1"/>
        <v>www.tsip.ai/claim/</v>
      </c>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110" t="str">
        <f t="shared" si="1"/>
        <v>www.tsip.ai/claim/</v>
      </c>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110" t="str">
        <f t="shared" si="1"/>
        <v>www.tsip.ai/claim/</v>
      </c>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110" t="str">
        <f t="shared" si="1"/>
        <v>www.tsip.ai/claim/</v>
      </c>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110" t="str">
        <f t="shared" si="1"/>
        <v>www.tsip.ai/claim/</v>
      </c>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110" t="str">
        <f t="shared" si="1"/>
        <v>www.tsip.ai/claim/</v>
      </c>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110" t="str">
        <f t="shared" si="1"/>
        <v>www.tsip.ai/claim/</v>
      </c>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110" t="str">
        <f t="shared" si="1"/>
        <v>www.tsip.ai/claim/</v>
      </c>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110" t="str">
        <f t="shared" si="1"/>
        <v>www.tsip.ai/claim/</v>
      </c>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110" t="str">
        <f t="shared" si="1"/>
        <v>www.tsip.ai/claim/</v>
      </c>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110" t="str">
        <f t="shared" si="1"/>
        <v>www.tsip.ai/claim/</v>
      </c>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110" t="str">
        <f t="shared" si="1"/>
        <v>www.tsip.ai/claim/</v>
      </c>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110" t="str">
        <f t="shared" si="1"/>
        <v>www.tsip.ai/claim/</v>
      </c>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110" t="str">
        <f t="shared" si="1"/>
        <v>www.tsip.ai/claim/</v>
      </c>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110" t="str">
        <f t="shared" si="1"/>
        <v>www.tsip.ai/claim/</v>
      </c>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110" t="str">
        <f t="shared" si="1"/>
        <v>www.tsip.ai/claim/</v>
      </c>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110" t="str">
        <f t="shared" si="1"/>
        <v>www.tsip.ai/claim/</v>
      </c>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110" t="str">
        <f t="shared" si="1"/>
        <v>www.tsip.ai/claim/</v>
      </c>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110" t="str">
        <f t="shared" si="1"/>
        <v>www.tsip.ai/claim/</v>
      </c>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110" t="str">
        <f t="shared" si="1"/>
        <v>www.tsip.ai/claim/</v>
      </c>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110" t="str">
        <f t="shared" si="1"/>
        <v>www.tsip.ai/claim/</v>
      </c>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110" t="str">
        <f t="shared" si="1"/>
        <v>www.tsip.ai/claim/</v>
      </c>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110" t="str">
        <f t="shared" si="1"/>
        <v>www.tsip.ai/claim/</v>
      </c>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110" t="str">
        <f t="shared" si="1"/>
        <v>www.tsip.ai/claim/</v>
      </c>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110" t="str">
        <f t="shared" si="1"/>
        <v>www.tsip.ai/claim/</v>
      </c>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110" t="str">
        <f t="shared" si="1"/>
        <v>www.tsip.ai/claim/</v>
      </c>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110" t="str">
        <f t="shared" si="1"/>
        <v>www.tsip.ai/claim/</v>
      </c>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110" t="str">
        <f t="shared" si="1"/>
        <v>www.tsip.ai/claim/</v>
      </c>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110" t="str">
        <f t="shared" si="1"/>
        <v>www.tsip.ai/claim/</v>
      </c>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110" t="str">
        <f t="shared" si="1"/>
        <v>www.tsip.ai/claim/</v>
      </c>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110" t="str">
        <f t="shared" si="1"/>
        <v>www.tsip.ai/claim/</v>
      </c>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110" t="str">
        <f t="shared" si="1"/>
        <v>www.tsip.ai/claim/</v>
      </c>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110" t="str">
        <f t="shared" si="1"/>
        <v>www.tsip.ai/claim/</v>
      </c>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110" t="str">
        <f t="shared" si="1"/>
        <v>www.tsip.ai/claim/</v>
      </c>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110" t="str">
        <f t="shared" si="1"/>
        <v>www.tsip.ai/claim/</v>
      </c>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110" t="str">
        <f t="shared" si="1"/>
        <v>www.tsip.ai/claim/</v>
      </c>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110" t="str">
        <f t="shared" si="1"/>
        <v>www.tsip.ai/claim/</v>
      </c>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110" t="str">
        <f t="shared" si="1"/>
        <v>www.tsip.ai/claim/</v>
      </c>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110" t="str">
        <f t="shared" si="1"/>
        <v>www.tsip.ai/claim/</v>
      </c>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110" t="str">
        <f t="shared" si="1"/>
        <v>www.tsip.ai/claim/</v>
      </c>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110" t="str">
        <f t="shared" si="1"/>
        <v>www.tsip.ai/claim/</v>
      </c>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110" t="str">
        <f t="shared" si="1"/>
        <v>www.tsip.ai/claim/</v>
      </c>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110" t="str">
        <f t="shared" si="1"/>
        <v>www.tsip.ai/claim/</v>
      </c>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110" t="str">
        <f t="shared" si="1"/>
        <v>www.tsip.ai/claim/</v>
      </c>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110" t="str">
        <f t="shared" si="1"/>
        <v>www.tsip.ai/claim/</v>
      </c>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110" t="str">
        <f t="shared" si="1"/>
        <v>www.tsip.ai/claim/</v>
      </c>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110" t="str">
        <f t="shared" si="1"/>
        <v>www.tsip.ai/claim/</v>
      </c>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110" t="str">
        <f t="shared" si="1"/>
        <v>www.tsip.ai/claim/</v>
      </c>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110" t="str">
        <f t="shared" si="1"/>
        <v>www.tsip.ai/claim/</v>
      </c>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110" t="str">
        <f t="shared" si="1"/>
        <v>www.tsip.ai/claim/</v>
      </c>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110" t="str">
        <f t="shared" si="1"/>
        <v>www.tsip.ai/claim/</v>
      </c>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110" t="str">
        <f t="shared" si="1"/>
        <v>www.tsip.ai/claim/</v>
      </c>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110" t="str">
        <f t="shared" si="1"/>
        <v>www.tsip.ai/claim/</v>
      </c>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110" t="str">
        <f t="shared" si="1"/>
        <v>www.tsip.ai/claim/</v>
      </c>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110" t="str">
        <f t="shared" si="1"/>
        <v>www.tsip.ai/claim/</v>
      </c>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110" t="str">
        <f t="shared" si="1"/>
        <v>www.tsip.ai/claim/</v>
      </c>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110" t="str">
        <f t="shared" si="1"/>
        <v>www.tsip.ai/claim/</v>
      </c>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110" t="str">
        <f t="shared" si="1"/>
        <v>www.tsip.ai/claim/</v>
      </c>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110" t="str">
        <f t="shared" si="1"/>
        <v>www.tsip.ai/claim/</v>
      </c>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110" t="str">
        <f t="shared" si="1"/>
        <v>www.tsip.ai/claim/</v>
      </c>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110" t="str">
        <f t="shared" si="1"/>
        <v>www.tsip.ai/claim/</v>
      </c>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110" t="str">
        <f t="shared" si="1"/>
        <v>www.tsip.ai/claim/</v>
      </c>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110" t="str">
        <f t="shared" si="1"/>
        <v>www.tsip.ai/claim/</v>
      </c>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110" t="str">
        <f t="shared" si="1"/>
        <v>www.tsip.ai/claim/</v>
      </c>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110" t="str">
        <f t="shared" si="1"/>
        <v>www.tsip.ai/claim/</v>
      </c>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110" t="str">
        <f t="shared" si="1"/>
        <v>www.tsip.ai/claim/</v>
      </c>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110" t="str">
        <f t="shared" si="1"/>
        <v>www.tsip.ai/claim/</v>
      </c>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110" t="str">
        <f t="shared" si="1"/>
        <v>www.tsip.ai/claim/</v>
      </c>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110" t="str">
        <f t="shared" si="1"/>
        <v>www.tsip.ai/claim/</v>
      </c>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110" t="str">
        <f t="shared" si="1"/>
        <v>www.tsip.ai/claim/</v>
      </c>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110" t="str">
        <f t="shared" si="1"/>
        <v>www.tsip.ai/claim/</v>
      </c>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110" t="str">
        <f t="shared" si="1"/>
        <v>www.tsip.ai/claim/</v>
      </c>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110" t="str">
        <f t="shared" si="1"/>
        <v>www.tsip.ai/claim/</v>
      </c>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110" t="str">
        <f t="shared" si="1"/>
        <v>www.tsip.ai/claim/</v>
      </c>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110" t="str">
        <f t="shared" si="1"/>
        <v>www.tsip.ai/claim/</v>
      </c>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110" t="str">
        <f t="shared" si="1"/>
        <v>www.tsip.ai/claim/</v>
      </c>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110" t="str">
        <f t="shared" si="1"/>
        <v>www.tsip.ai/claim/</v>
      </c>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110" t="str">
        <f t="shared" si="1"/>
        <v>www.tsip.ai/claim/</v>
      </c>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110" t="str">
        <f t="shared" si="1"/>
        <v>www.tsip.ai/claim/</v>
      </c>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110" t="str">
        <f t="shared" si="1"/>
        <v>www.tsip.ai/claim/</v>
      </c>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110" t="str">
        <f t="shared" si="1"/>
        <v>www.tsip.ai/claim/</v>
      </c>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110" t="str">
        <f t="shared" si="1"/>
        <v>www.tsip.ai/claim/</v>
      </c>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110" t="str">
        <f t="shared" si="1"/>
        <v>www.tsip.ai/claim/</v>
      </c>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110" t="str">
        <f t="shared" si="1"/>
        <v>www.tsip.ai/claim/</v>
      </c>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110" t="str">
        <f t="shared" si="1"/>
        <v>www.tsip.ai/claim/</v>
      </c>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110" t="str">
        <f t="shared" si="1"/>
        <v>www.tsip.ai/claim/</v>
      </c>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110" t="str">
        <f t="shared" si="1"/>
        <v>www.tsip.ai/claim/</v>
      </c>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110" t="str">
        <f t="shared" si="1"/>
        <v>www.tsip.ai/claim/</v>
      </c>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110" t="str">
        <f t="shared" si="1"/>
        <v>www.tsip.ai/claim/</v>
      </c>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110" t="str">
        <f t="shared" si="1"/>
        <v>www.tsip.ai/claim/</v>
      </c>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110" t="str">
        <f t="shared" si="1"/>
        <v>www.tsip.ai/claim/</v>
      </c>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110" t="str">
        <f t="shared" si="1"/>
        <v>www.tsip.ai/claim/</v>
      </c>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110" t="str">
        <f t="shared" si="1"/>
        <v>www.tsip.ai/claim/</v>
      </c>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110" t="str">
        <f t="shared" si="1"/>
        <v>www.tsip.ai/claim/</v>
      </c>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110" t="str">
        <f t="shared" si="1"/>
        <v>www.tsip.ai/claim/</v>
      </c>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110" t="str">
        <f t="shared" si="1"/>
        <v>www.tsip.ai/claim/</v>
      </c>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110" t="str">
        <f t="shared" si="1"/>
        <v>www.tsip.ai/claim/</v>
      </c>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110" t="str">
        <f t="shared" si="1"/>
        <v>www.tsip.ai/claim/</v>
      </c>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110" t="str">
        <f t="shared" si="1"/>
        <v>www.tsip.ai/claim/</v>
      </c>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110" t="str">
        <f t="shared" si="1"/>
        <v>www.tsip.ai/claim/</v>
      </c>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110" t="str">
        <f t="shared" si="1"/>
        <v>www.tsip.ai/claim/</v>
      </c>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110" t="str">
        <f t="shared" si="1"/>
        <v>www.tsip.ai/claim/</v>
      </c>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110" t="str">
        <f t="shared" si="1"/>
        <v>www.tsip.ai/claim/</v>
      </c>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110" t="str">
        <f t="shared" si="1"/>
        <v>www.tsip.ai/claim/</v>
      </c>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110" t="str">
        <f t="shared" si="1"/>
        <v>www.tsip.ai/claim/</v>
      </c>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110" t="str">
        <f t="shared" si="1"/>
        <v>www.tsip.ai/claim/</v>
      </c>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110" t="str">
        <f t="shared" si="1"/>
        <v>www.tsip.ai/claim/</v>
      </c>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110" t="str">
        <f t="shared" si="1"/>
        <v>www.tsip.ai/claim/</v>
      </c>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110" t="str">
        <f t="shared" si="1"/>
        <v>www.tsip.ai/claim/</v>
      </c>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110" t="str">
        <f t="shared" si="1"/>
        <v>www.tsip.ai/claim/</v>
      </c>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110" t="str">
        <f t="shared" si="1"/>
        <v>www.tsip.ai/claim/</v>
      </c>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110" t="str">
        <f t="shared" si="1"/>
        <v>www.tsip.ai/claim/</v>
      </c>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110" t="str">
        <f t="shared" si="1"/>
        <v>www.tsip.ai/claim/</v>
      </c>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110" t="str">
        <f t="shared" si="1"/>
        <v>www.tsip.ai/claim/</v>
      </c>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110" t="str">
        <f t="shared" si="1"/>
        <v>www.tsip.ai/claim/</v>
      </c>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110" t="str">
        <f t="shared" si="1"/>
        <v>www.tsip.ai/claim/</v>
      </c>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110" t="str">
        <f t="shared" si="1"/>
        <v>www.tsip.ai/claim/</v>
      </c>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110" t="str">
        <f t="shared" si="1"/>
        <v>www.tsip.ai/claim/</v>
      </c>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110" t="str">
        <f t="shared" si="1"/>
        <v>www.tsip.ai/claim/</v>
      </c>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110" t="str">
        <f t="shared" si="1"/>
        <v>www.tsip.ai/claim/</v>
      </c>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110" t="str">
        <f t="shared" si="1"/>
        <v>www.tsip.ai/claim/</v>
      </c>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110" t="str">
        <f t="shared" si="1"/>
        <v>www.tsip.ai/claim/</v>
      </c>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110" t="str">
        <f t="shared" si="1"/>
        <v>www.tsip.ai/claim/</v>
      </c>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110" t="str">
        <f t="shared" si="1"/>
        <v>www.tsip.ai/claim/</v>
      </c>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110" t="str">
        <f t="shared" si="1"/>
        <v>www.tsip.ai/claim/</v>
      </c>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110" t="str">
        <f t="shared" si="1"/>
        <v>www.tsip.ai/claim/</v>
      </c>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110" t="str">
        <f t="shared" si="1"/>
        <v>www.tsip.ai/claim/</v>
      </c>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110" t="str">
        <f t="shared" si="1"/>
        <v>www.tsip.ai/claim/</v>
      </c>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110" t="str">
        <f t="shared" si="1"/>
        <v>www.tsip.ai/claim/</v>
      </c>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110" t="str">
        <f t="shared" si="1"/>
        <v>www.tsip.ai/claim/</v>
      </c>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110" t="str">
        <f t="shared" si="1"/>
        <v>www.tsip.ai/claim/</v>
      </c>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110" t="str">
        <f t="shared" si="1"/>
        <v>www.tsip.ai/claim/</v>
      </c>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110" t="str">
        <f t="shared" si="1"/>
        <v>www.tsip.ai/claim/</v>
      </c>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110" t="str">
        <f t="shared" si="1"/>
        <v>www.tsip.ai/claim/</v>
      </c>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110" t="str">
        <f t="shared" si="1"/>
        <v>www.tsip.ai/claim/</v>
      </c>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110" t="str">
        <f t="shared" si="1"/>
        <v>www.tsip.ai/claim/</v>
      </c>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110" t="str">
        <f t="shared" si="1"/>
        <v>www.tsip.ai/claim/</v>
      </c>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110" t="str">
        <f t="shared" si="1"/>
        <v>www.tsip.ai/claim/</v>
      </c>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110" t="str">
        <f t="shared" si="1"/>
        <v>www.tsip.ai/claim/</v>
      </c>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110" t="str">
        <f t="shared" si="1"/>
        <v>www.tsip.ai/claim/</v>
      </c>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110" t="str">
        <f t="shared" si="1"/>
        <v>www.tsip.ai/claim/</v>
      </c>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110" t="str">
        <f t="shared" si="1"/>
        <v>www.tsip.ai/claim/</v>
      </c>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110" t="str">
        <f t="shared" si="1"/>
        <v>www.tsip.ai/claim/</v>
      </c>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110" t="str">
        <f t="shared" si="1"/>
        <v>www.tsip.ai/claim/</v>
      </c>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110" t="str">
        <f t="shared" si="1"/>
        <v>www.tsip.ai/claim/</v>
      </c>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110" t="str">
        <f t="shared" si="1"/>
        <v>www.tsip.ai/claim/</v>
      </c>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110" t="str">
        <f t="shared" si="1"/>
        <v>www.tsip.ai/claim/</v>
      </c>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110" t="str">
        <f t="shared" si="1"/>
        <v>www.tsip.ai/claim/</v>
      </c>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110" t="str">
        <f t="shared" si="1"/>
        <v>www.tsip.ai/claim/</v>
      </c>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110" t="str">
        <f t="shared" si="1"/>
        <v>www.tsip.ai/claim/</v>
      </c>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110" t="str">
        <f t="shared" si="1"/>
        <v>www.tsip.ai/claim/</v>
      </c>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110" t="str">
        <f t="shared" si="1"/>
        <v>www.tsip.ai/claim/</v>
      </c>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110" t="str">
        <f t="shared" si="1"/>
        <v>www.tsip.ai/claim/</v>
      </c>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110" t="str">
        <f t="shared" si="1"/>
        <v>www.tsip.ai/claim/</v>
      </c>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110" t="str">
        <f t="shared" si="1"/>
        <v>www.tsip.ai/claim/</v>
      </c>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110" t="str">
        <f t="shared" si="1"/>
        <v>www.tsip.ai/claim/</v>
      </c>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110" t="str">
        <f t="shared" si="1"/>
        <v>www.tsip.ai/claim/</v>
      </c>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110" t="str">
        <f t="shared" si="1"/>
        <v>www.tsip.ai/claim/</v>
      </c>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110" t="str">
        <f t="shared" si="1"/>
        <v>www.tsip.ai/claim/</v>
      </c>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110" t="str">
        <f t="shared" si="1"/>
        <v>www.tsip.ai/claim/</v>
      </c>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110" t="str">
        <f t="shared" si="1"/>
        <v>www.tsip.ai/claim/</v>
      </c>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110" t="str">
        <f t="shared" si="1"/>
        <v>www.tsip.ai/claim/</v>
      </c>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110" t="str">
        <f t="shared" si="1"/>
        <v>www.tsip.ai/claim/</v>
      </c>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110" t="str">
        <f t="shared" si="1"/>
        <v>www.tsip.ai/claim/</v>
      </c>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110" t="str">
        <f t="shared" si="1"/>
        <v>www.tsip.ai/claim/</v>
      </c>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110" t="str">
        <f t="shared" si="1"/>
        <v>www.tsip.ai/claim/</v>
      </c>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110" t="str">
        <f t="shared" si="1"/>
        <v>www.tsip.ai/claim/</v>
      </c>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110" t="str">
        <f t="shared" si="1"/>
        <v>www.tsip.ai/claim/</v>
      </c>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110" t="str">
        <f t="shared" si="1"/>
        <v>www.tsip.ai/claim/</v>
      </c>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110" t="str">
        <f t="shared" si="1"/>
        <v>www.tsip.ai/claim/</v>
      </c>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110" t="str">
        <f t="shared" si="1"/>
        <v>www.tsip.ai/claim/</v>
      </c>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110" t="str">
        <f t="shared" si="1"/>
        <v>www.tsip.ai/claim/</v>
      </c>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110" t="str">
        <f t="shared" si="1"/>
        <v>www.tsip.ai/claim/</v>
      </c>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110" t="str">
        <f t="shared" si="1"/>
        <v>www.tsip.ai/claim/</v>
      </c>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110" t="str">
        <f t="shared" si="1"/>
        <v>www.tsip.ai/claim/</v>
      </c>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110" t="str">
        <f t="shared" si="1"/>
        <v>www.tsip.ai/claim/</v>
      </c>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hyperlinks>
    <hyperlink r:id="rId1" ref="V2"/>
    <hyperlink r:id="rId2" ref="W2"/>
    <hyperlink r:id="rId3" ref="V3"/>
    <hyperlink r:id="rId4" ref="W3"/>
    <hyperlink r:id="rId5" ref="V4"/>
    <hyperlink r:id="rId6" ref="W4"/>
    <hyperlink r:id="rId7" ref="V5"/>
    <hyperlink r:id="rId8" ref="W5"/>
    <hyperlink r:id="rId9" ref="V6"/>
    <hyperlink r:id="rId10" ref="W6"/>
    <hyperlink r:id="rId11" ref="V7"/>
    <hyperlink r:id="rId12" ref="W7"/>
    <hyperlink r:id="rId13" ref="V8"/>
    <hyperlink r:id="rId14" ref="W8"/>
    <hyperlink r:id="rId15" ref="V9"/>
    <hyperlink r:id="rId16" ref="W9"/>
    <hyperlink r:id="rId17" ref="V10"/>
    <hyperlink r:id="rId18" ref="W10"/>
    <hyperlink r:id="rId19" ref="V11"/>
    <hyperlink r:id="rId20" ref="W11"/>
    <hyperlink r:id="rId21" ref="V12"/>
    <hyperlink r:id="rId22" ref="W12"/>
    <hyperlink r:id="rId23" ref="V13"/>
    <hyperlink r:id="rId24" ref="W13"/>
    <hyperlink r:id="rId25" ref="V14"/>
    <hyperlink r:id="rId26" ref="W14"/>
    <hyperlink r:id="rId27" ref="V15"/>
    <hyperlink r:id="rId28" ref="W15"/>
    <hyperlink r:id="rId29" ref="V16"/>
    <hyperlink r:id="rId30" ref="W16"/>
    <hyperlink r:id="rId31" ref="V17"/>
    <hyperlink r:id="rId32" ref="W17"/>
    <hyperlink r:id="rId33" ref="V18"/>
    <hyperlink r:id="rId34" ref="W18"/>
    <hyperlink r:id="rId35" ref="V19"/>
    <hyperlink r:id="rId36" ref="W19"/>
    <hyperlink r:id="rId37" ref="V20"/>
    <hyperlink r:id="rId38" ref="W20"/>
    <hyperlink r:id="rId39" ref="V21"/>
    <hyperlink r:id="rId40" ref="W21"/>
    <hyperlink r:id="rId41" ref="V22"/>
    <hyperlink r:id="rId42" ref="W22"/>
    <hyperlink r:id="rId43" ref="V23"/>
    <hyperlink r:id="rId44" ref="W23"/>
    <hyperlink r:id="rId45" ref="V24"/>
    <hyperlink r:id="rId46" ref="W24"/>
    <hyperlink r:id="rId47" ref="V25"/>
    <hyperlink r:id="rId48" ref="W25"/>
    <hyperlink r:id="rId49" ref="V26"/>
    <hyperlink r:id="rId50" ref="W26"/>
    <hyperlink r:id="rId51" ref="V27"/>
    <hyperlink r:id="rId52" ref="W27"/>
    <hyperlink r:id="rId53" ref="V28"/>
    <hyperlink r:id="rId54" ref="W28"/>
    <hyperlink r:id="rId55" ref="V29"/>
    <hyperlink r:id="rId56" ref="W29"/>
    <hyperlink r:id="rId57" ref="V30"/>
    <hyperlink r:id="rId58" ref="W30"/>
    <hyperlink r:id="rId59" ref="V31"/>
    <hyperlink r:id="rId60" ref="W31"/>
    <hyperlink r:id="rId61" ref="V32"/>
    <hyperlink r:id="rId62" ref="W32"/>
    <hyperlink r:id="rId63" ref="V33"/>
    <hyperlink r:id="rId64" ref="W33"/>
    <hyperlink r:id="rId65" ref="V34"/>
    <hyperlink r:id="rId66" ref="W34"/>
    <hyperlink r:id="rId67" ref="V35"/>
    <hyperlink r:id="rId68" ref="W35"/>
    <hyperlink r:id="rId69" ref="V36"/>
    <hyperlink r:id="rId70" ref="W36"/>
    <hyperlink r:id="rId71" ref="V37"/>
    <hyperlink r:id="rId72" ref="W37"/>
    <hyperlink r:id="rId73" ref="V38"/>
    <hyperlink r:id="rId74" ref="W38"/>
    <hyperlink r:id="rId75" ref="V39"/>
    <hyperlink r:id="rId76" ref="W39"/>
    <hyperlink r:id="rId77" ref="V40"/>
    <hyperlink r:id="rId78" ref="W40"/>
    <hyperlink r:id="rId79" ref="V41"/>
    <hyperlink r:id="rId80" ref="W41"/>
    <hyperlink r:id="rId81" ref="V42"/>
    <hyperlink r:id="rId82" ref="W42"/>
    <hyperlink r:id="rId83" ref="V43"/>
    <hyperlink r:id="rId84" ref="W43"/>
    <hyperlink r:id="rId85" ref="V44"/>
    <hyperlink r:id="rId86" ref="W44"/>
    <hyperlink r:id="rId87" ref="V45"/>
    <hyperlink r:id="rId88" ref="W45"/>
    <hyperlink r:id="rId89" ref="V46"/>
    <hyperlink r:id="rId90" ref="W46"/>
    <hyperlink r:id="rId91" ref="V47"/>
    <hyperlink r:id="rId92" ref="W47"/>
    <hyperlink r:id="rId93" ref="V48"/>
    <hyperlink r:id="rId94" ref="W48"/>
    <hyperlink r:id="rId95" ref="V49"/>
    <hyperlink r:id="rId96" ref="W49"/>
    <hyperlink r:id="rId97" ref="V50"/>
    <hyperlink r:id="rId98" ref="W50"/>
    <hyperlink r:id="rId99" ref="V51"/>
    <hyperlink r:id="rId100" ref="W51"/>
    <hyperlink r:id="rId101" ref="V52"/>
    <hyperlink r:id="rId102" ref="W52"/>
    <hyperlink r:id="rId103" ref="V53"/>
    <hyperlink r:id="rId104" ref="W53"/>
    <hyperlink r:id="rId105" ref="V54"/>
    <hyperlink r:id="rId106" ref="W54"/>
    <hyperlink r:id="rId107" ref="V55"/>
    <hyperlink r:id="rId108" ref="W55"/>
    <hyperlink r:id="rId109" ref="V56"/>
    <hyperlink r:id="rId110" ref="W56"/>
    <hyperlink r:id="rId111" ref="V57"/>
    <hyperlink r:id="rId112" ref="W57"/>
    <hyperlink r:id="rId113" ref="V58"/>
    <hyperlink r:id="rId114" ref="W58"/>
    <hyperlink r:id="rId115" ref="V59"/>
    <hyperlink r:id="rId116" ref="W59"/>
    <hyperlink r:id="rId117" ref="V60"/>
    <hyperlink r:id="rId118" ref="W60"/>
    <hyperlink r:id="rId119" ref="V61"/>
    <hyperlink r:id="rId120" ref="W61"/>
    <hyperlink r:id="rId121" ref="V62"/>
    <hyperlink r:id="rId122" ref="W62"/>
    <hyperlink r:id="rId123" ref="V63"/>
    <hyperlink r:id="rId124" ref="W63"/>
    <hyperlink r:id="rId125" ref="V64"/>
    <hyperlink r:id="rId126" ref="W64"/>
    <hyperlink r:id="rId127" ref="V65"/>
    <hyperlink r:id="rId128" ref="W65"/>
    <hyperlink r:id="rId129" ref="V66"/>
    <hyperlink r:id="rId130" ref="W66"/>
    <hyperlink r:id="rId131" ref="V67"/>
    <hyperlink r:id="rId132" ref="W67"/>
    <hyperlink r:id="rId133" ref="V68"/>
    <hyperlink r:id="rId134" ref="W68"/>
    <hyperlink r:id="rId135" ref="V69"/>
    <hyperlink r:id="rId136" ref="W69"/>
    <hyperlink r:id="rId137" ref="V70"/>
    <hyperlink r:id="rId138" ref="W70"/>
    <hyperlink r:id="rId139" ref="V71"/>
    <hyperlink r:id="rId140" ref="W71"/>
    <hyperlink r:id="rId141" ref="V72"/>
    <hyperlink r:id="rId142" ref="W72"/>
    <hyperlink r:id="rId143" ref="V73"/>
    <hyperlink r:id="rId144" ref="W73"/>
    <hyperlink r:id="rId145" ref="V74"/>
    <hyperlink r:id="rId146" ref="W74"/>
    <hyperlink r:id="rId147" ref="V75"/>
    <hyperlink r:id="rId148" ref="W75"/>
    <hyperlink r:id="rId149" ref="V76"/>
    <hyperlink r:id="rId150" ref="W76"/>
    <hyperlink r:id="rId151" ref="V77"/>
    <hyperlink r:id="rId152" ref="W77"/>
    <hyperlink r:id="rId153" ref="V78"/>
    <hyperlink r:id="rId154" ref="W78"/>
    <hyperlink r:id="rId155" ref="V79"/>
    <hyperlink r:id="rId156" ref="W79"/>
    <hyperlink r:id="rId157" ref="V80"/>
    <hyperlink r:id="rId158" ref="W80"/>
    <hyperlink r:id="rId159" ref="V81"/>
    <hyperlink r:id="rId160" ref="W81"/>
    <hyperlink r:id="rId161" ref="V82"/>
    <hyperlink r:id="rId162" ref="W82"/>
    <hyperlink r:id="rId163" ref="V83"/>
    <hyperlink r:id="rId164" ref="W83"/>
    <hyperlink r:id="rId165" ref="V84"/>
    <hyperlink r:id="rId166" ref="W84"/>
    <hyperlink r:id="rId167" ref="V85"/>
    <hyperlink r:id="rId168" ref="W85"/>
    <hyperlink r:id="rId169" ref="V86"/>
    <hyperlink r:id="rId170" ref="W86"/>
    <hyperlink r:id="rId171" ref="V87"/>
    <hyperlink r:id="rId172" ref="W87"/>
    <hyperlink r:id="rId173" ref="V88"/>
    <hyperlink r:id="rId174" ref="W88"/>
    <hyperlink r:id="rId175" ref="V89"/>
    <hyperlink r:id="rId176" ref="W89"/>
    <hyperlink r:id="rId177" ref="V90"/>
    <hyperlink r:id="rId178" ref="W90"/>
    <hyperlink r:id="rId179" ref="V91"/>
    <hyperlink r:id="rId180" ref="W91"/>
    <hyperlink r:id="rId181" ref="V92"/>
    <hyperlink r:id="rId182" ref="W92"/>
    <hyperlink r:id="rId183" ref="V93"/>
    <hyperlink r:id="rId184" ref="W93"/>
    <hyperlink r:id="rId185" ref="V94"/>
    <hyperlink r:id="rId186" ref="W94"/>
    <hyperlink r:id="rId187" ref="V95"/>
    <hyperlink r:id="rId188" ref="W95"/>
    <hyperlink r:id="rId189" ref="V96"/>
    <hyperlink r:id="rId190" ref="W96"/>
    <hyperlink r:id="rId191" ref="V97"/>
    <hyperlink r:id="rId192" ref="W97"/>
    <hyperlink r:id="rId193" ref="V98"/>
    <hyperlink r:id="rId194" ref="W98"/>
    <hyperlink r:id="rId195" ref="V99"/>
    <hyperlink r:id="rId196" ref="W99"/>
    <hyperlink r:id="rId197" ref="V100"/>
    <hyperlink r:id="rId198" ref="W100"/>
    <hyperlink r:id="rId199" ref="V101"/>
    <hyperlink r:id="rId200" ref="W101"/>
    <hyperlink r:id="rId201" ref="V102"/>
    <hyperlink r:id="rId202" ref="W102"/>
    <hyperlink r:id="rId203" ref="V103"/>
    <hyperlink r:id="rId204" ref="W103"/>
    <hyperlink r:id="rId205" ref="V104"/>
    <hyperlink r:id="rId206" ref="W104"/>
    <hyperlink r:id="rId207" ref="V105"/>
    <hyperlink r:id="rId208" ref="W105"/>
    <hyperlink r:id="rId209" ref="V106"/>
    <hyperlink r:id="rId210" ref="W106"/>
    <hyperlink r:id="rId211" ref="V107"/>
    <hyperlink r:id="rId212" ref="W107"/>
    <hyperlink r:id="rId213" ref="V108"/>
    <hyperlink r:id="rId214" ref="W108"/>
    <hyperlink r:id="rId215" ref="V109"/>
    <hyperlink r:id="rId216" ref="W109"/>
    <hyperlink r:id="rId217" ref="V110"/>
    <hyperlink r:id="rId218" ref="W110"/>
  </hyperlinks>
  <drawing r:id="rId21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1725</v>
      </c>
    </row>
  </sheetData>
  <drawing r:id="rId1"/>
</worksheet>
</file>